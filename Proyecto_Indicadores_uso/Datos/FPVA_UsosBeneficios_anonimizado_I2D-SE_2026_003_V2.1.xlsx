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Override PartName="/xl/commentsmeta0" ContentType="application/binary"/>
  <Override PartName="/xl/commentsmeta2" ContentType="application/binary"/>
  <Override PartName="/xl/commentsmeta3"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diego.perez\Downloads\"/>
    </mc:Choice>
  </mc:AlternateContent>
  <xr:revisionPtr revIDLastSave="0" documentId="13_ncr:1_{68CFDAA8-4E1A-417E-9C8D-9FEB708FFF3C}" xr6:coauthVersionLast="47" xr6:coauthVersionMax="47" xr10:uidLastSave="{00000000-0000-0000-0000-000000000000}"/>
  <bookViews>
    <workbookView xWindow="-120" yWindow="-120" windowWidth="20730" windowHeight="11040" activeTab="1" xr2:uid="{00000000-000D-0000-FFFF-FFFF00000000}"/>
  </bookViews>
  <sheets>
    <sheet name="Instrucciones" sheetId="1" r:id="rId1"/>
    <sheet name="Usuario" sheetId="2" r:id="rId2"/>
    <sheet name="Practica de Uso" sheetId="3" r:id="rId3"/>
    <sheet name="Especie" sheetId="4" r:id="rId4"/>
    <sheet name="Espacialidad" sheetId="5" r:id="rId5"/>
    <sheet name="Producto" sheetId="6" state="hidden" r:id="rId6"/>
    <sheet name="Referencias" sheetId="7" r:id="rId7"/>
    <sheet name="Diccionario" sheetId="8" r:id="rId8"/>
  </sheets>
  <externalReferences>
    <externalReference r:id="rId9"/>
  </externalReferences>
  <definedNames>
    <definedName name="_xlnm._FilterDatabase" localSheetId="4" hidden="1">Espacialidad!$A$1:$R$987</definedName>
    <definedName name="_xlnm._FilterDatabase" localSheetId="3" hidden="1">Especie!$B$1:$U$74</definedName>
    <definedName name="_xlnm._FilterDatabase" localSheetId="2" hidden="1">'Practica de Uso'!$A$1:$AI$228</definedName>
    <definedName name="_xlnm._FilterDatabase" localSheetId="5" hidden="1">Producto!$A$1:$P$998</definedName>
  </definedNames>
  <calcPr calcId="191029"/>
  <extLst>
    <ext uri="GoogleSheetsCustomDataVersion2">
      <go:sheetsCustomData xmlns:go="http://customooxmlschemas.google.com/" r:id="rId13" roundtripDataChecksum="glmMUezkLOdMT590aaJDyhsUcxU3NKZjJlaWHGdcg+Q="/>
    </ext>
  </extLst>
</workbook>
</file>

<file path=xl/calcChain.xml><?xml version="1.0" encoding="utf-8"?>
<calcChain xmlns="http://schemas.openxmlformats.org/spreadsheetml/2006/main">
  <c r="G1123" i="7" l="1"/>
  <c r="F1123" i="7"/>
  <c r="G1122" i="7"/>
  <c r="F1122" i="7"/>
  <c r="G1121" i="7"/>
  <c r="F1121" i="7"/>
  <c r="G1120" i="7"/>
  <c r="F1120" i="7"/>
  <c r="G1119" i="7"/>
  <c r="F1119" i="7"/>
  <c r="G1118" i="7"/>
  <c r="F1118" i="7"/>
  <c r="G1117" i="7"/>
  <c r="F1117" i="7"/>
  <c r="G1116" i="7"/>
  <c r="F1116" i="7"/>
  <c r="G1115" i="7"/>
  <c r="F1115" i="7"/>
  <c r="G1114" i="7"/>
  <c r="F1114" i="7"/>
  <c r="G1113" i="7"/>
  <c r="F1113" i="7"/>
  <c r="G1112" i="7"/>
  <c r="F1112" i="7"/>
  <c r="G1111" i="7"/>
  <c r="F1111" i="7"/>
  <c r="G1110" i="7"/>
  <c r="F1110" i="7"/>
  <c r="G1109" i="7"/>
  <c r="F1109" i="7"/>
  <c r="G1108" i="7"/>
  <c r="F1108" i="7"/>
  <c r="G1107" i="7"/>
  <c r="F1107" i="7"/>
  <c r="G1106" i="7"/>
  <c r="F1106" i="7"/>
  <c r="G1105" i="7"/>
  <c r="F1105" i="7"/>
  <c r="G1104" i="7"/>
  <c r="F1104" i="7"/>
  <c r="G1103" i="7"/>
  <c r="F1103" i="7"/>
  <c r="G1102" i="7"/>
  <c r="F1102" i="7"/>
  <c r="G1101" i="7"/>
  <c r="F1101" i="7"/>
  <c r="G1100" i="7"/>
  <c r="F1100" i="7"/>
  <c r="G1099" i="7"/>
  <c r="F1099" i="7"/>
  <c r="G1098" i="7"/>
  <c r="F1098" i="7"/>
  <c r="G1097" i="7"/>
  <c r="F1097" i="7"/>
  <c r="G1096" i="7"/>
  <c r="F1096" i="7"/>
  <c r="G1095" i="7"/>
  <c r="F1095" i="7"/>
  <c r="G1094" i="7"/>
  <c r="F1094" i="7"/>
  <c r="G1093" i="7"/>
  <c r="F1093" i="7"/>
  <c r="G1092" i="7"/>
  <c r="F1092" i="7"/>
  <c r="G1091" i="7"/>
  <c r="F1091" i="7"/>
  <c r="G1090" i="7"/>
  <c r="F1090" i="7"/>
  <c r="G1089" i="7"/>
  <c r="F1089" i="7"/>
  <c r="G1088" i="7"/>
  <c r="F1088" i="7"/>
  <c r="G1087" i="7"/>
  <c r="F1087" i="7"/>
  <c r="G1086" i="7"/>
  <c r="F1086" i="7"/>
  <c r="G1085" i="7"/>
  <c r="F1085" i="7"/>
  <c r="G1084" i="7"/>
  <c r="F1084" i="7"/>
  <c r="G1083" i="7"/>
  <c r="F1083" i="7"/>
  <c r="G1082" i="7"/>
  <c r="F1082" i="7"/>
  <c r="G1081" i="7"/>
  <c r="F1081" i="7"/>
  <c r="G1080" i="7"/>
  <c r="F1080" i="7"/>
  <c r="G1079" i="7"/>
  <c r="F1079" i="7"/>
  <c r="G1078" i="7"/>
  <c r="F1078" i="7"/>
  <c r="G1077" i="7"/>
  <c r="F1077" i="7"/>
  <c r="G1076" i="7"/>
  <c r="F1076" i="7"/>
  <c r="G1075" i="7"/>
  <c r="F1075" i="7"/>
  <c r="G1074" i="7"/>
  <c r="F1074" i="7"/>
  <c r="G1073" i="7"/>
  <c r="F1073" i="7"/>
  <c r="G1072" i="7"/>
  <c r="F1072" i="7"/>
  <c r="G1071" i="7"/>
  <c r="F1071" i="7"/>
  <c r="G1070" i="7"/>
  <c r="F1070" i="7"/>
  <c r="G1069" i="7"/>
  <c r="F1069" i="7"/>
  <c r="G1068" i="7"/>
  <c r="F1068" i="7"/>
  <c r="G1067" i="7"/>
  <c r="F1067" i="7"/>
  <c r="G1066" i="7"/>
  <c r="F1066" i="7"/>
  <c r="G1065" i="7"/>
  <c r="F1065" i="7"/>
  <c r="G1064" i="7"/>
  <c r="F1064" i="7"/>
  <c r="G1063" i="7"/>
  <c r="F1063" i="7"/>
  <c r="G1062" i="7"/>
  <c r="F1062" i="7"/>
  <c r="G1061" i="7"/>
  <c r="F1061" i="7"/>
  <c r="G1060" i="7"/>
  <c r="F1060" i="7"/>
  <c r="G1059" i="7"/>
  <c r="F1059" i="7"/>
  <c r="G1058" i="7"/>
  <c r="F1058" i="7"/>
  <c r="G1057" i="7"/>
  <c r="F1057" i="7"/>
  <c r="G1056" i="7"/>
  <c r="F1056" i="7"/>
  <c r="G1055" i="7"/>
  <c r="F1055" i="7"/>
  <c r="G1054" i="7"/>
  <c r="F1054" i="7"/>
  <c r="G1053" i="7"/>
  <c r="F1053" i="7"/>
  <c r="G1052" i="7"/>
  <c r="F1052" i="7"/>
  <c r="G1051" i="7"/>
  <c r="F1051" i="7"/>
  <c r="G1050" i="7"/>
  <c r="F1050" i="7"/>
  <c r="G1049" i="7"/>
  <c r="F1049" i="7"/>
  <c r="G1048" i="7"/>
  <c r="F1048" i="7"/>
  <c r="G1047" i="7"/>
  <c r="F1047" i="7"/>
  <c r="G1046" i="7"/>
  <c r="F1046" i="7"/>
  <c r="G1045" i="7"/>
  <c r="F1045" i="7"/>
  <c r="G1044" i="7"/>
  <c r="F1044" i="7"/>
  <c r="G1043" i="7"/>
  <c r="F1043" i="7"/>
  <c r="G1042" i="7"/>
  <c r="F1042" i="7"/>
  <c r="G1041" i="7"/>
  <c r="F1041" i="7"/>
  <c r="G1040" i="7"/>
  <c r="F1040" i="7"/>
  <c r="G1039" i="7"/>
  <c r="F1039" i="7"/>
  <c r="G1038" i="7"/>
  <c r="F1038" i="7"/>
  <c r="G1037" i="7"/>
  <c r="F1037" i="7"/>
  <c r="G1036" i="7"/>
  <c r="F1036" i="7"/>
  <c r="G1035" i="7"/>
  <c r="F1035" i="7"/>
  <c r="G1034" i="7"/>
  <c r="F1034" i="7"/>
  <c r="G1033" i="7"/>
  <c r="F1033" i="7"/>
  <c r="G1032" i="7"/>
  <c r="F1032" i="7"/>
  <c r="G1031" i="7"/>
  <c r="F1031" i="7"/>
  <c r="G1030" i="7"/>
  <c r="F1030" i="7"/>
  <c r="G1029" i="7"/>
  <c r="F1029" i="7"/>
  <c r="G1028" i="7"/>
  <c r="F1028" i="7"/>
  <c r="G1027" i="7"/>
  <c r="F1027" i="7"/>
  <c r="G1026" i="7"/>
  <c r="F1026" i="7"/>
  <c r="G1025" i="7"/>
  <c r="F1025" i="7"/>
  <c r="G1024" i="7"/>
  <c r="F1024" i="7"/>
  <c r="G1023" i="7"/>
  <c r="F1023" i="7"/>
  <c r="G1022" i="7"/>
  <c r="F1022" i="7"/>
  <c r="G1021" i="7"/>
  <c r="F1021" i="7"/>
  <c r="G1020" i="7"/>
  <c r="F1020" i="7"/>
  <c r="G1019" i="7"/>
  <c r="F1019" i="7"/>
  <c r="G1018" i="7"/>
  <c r="F1018" i="7"/>
  <c r="G1017" i="7"/>
  <c r="F1017" i="7"/>
  <c r="G1016" i="7"/>
  <c r="F1016" i="7"/>
  <c r="G1015" i="7"/>
  <c r="F1015" i="7"/>
  <c r="G1014" i="7"/>
  <c r="F1014" i="7"/>
  <c r="G1013" i="7"/>
  <c r="F1013" i="7"/>
  <c r="G1012" i="7"/>
  <c r="F1012" i="7"/>
  <c r="G1011" i="7"/>
  <c r="F1011" i="7"/>
  <c r="G1010" i="7"/>
  <c r="F1010" i="7"/>
  <c r="G1009" i="7"/>
  <c r="F1009" i="7"/>
  <c r="G1008" i="7"/>
  <c r="F1008" i="7"/>
  <c r="G1007" i="7"/>
  <c r="F1007" i="7"/>
  <c r="G1006" i="7"/>
  <c r="F1006" i="7"/>
  <c r="G1005" i="7"/>
  <c r="F1005" i="7"/>
  <c r="G1004" i="7"/>
  <c r="F1004" i="7"/>
  <c r="G1003" i="7"/>
  <c r="F1003" i="7"/>
  <c r="G1002" i="7"/>
  <c r="F1002" i="7"/>
  <c r="G1001" i="7"/>
  <c r="F1001" i="7"/>
  <c r="G1000" i="7"/>
  <c r="F1000" i="7"/>
  <c r="G999" i="7"/>
  <c r="F999" i="7"/>
  <c r="G998" i="7"/>
  <c r="F998" i="7"/>
  <c r="G997" i="7"/>
  <c r="F997" i="7"/>
  <c r="G996" i="7"/>
  <c r="F996" i="7"/>
  <c r="G995" i="7"/>
  <c r="F995" i="7"/>
  <c r="G994" i="7"/>
  <c r="F994" i="7"/>
  <c r="G993" i="7"/>
  <c r="F993" i="7"/>
  <c r="G992" i="7"/>
  <c r="F992" i="7"/>
  <c r="G991" i="7"/>
  <c r="F991" i="7"/>
  <c r="G990" i="7"/>
  <c r="F990" i="7"/>
  <c r="G989" i="7"/>
  <c r="F989" i="7"/>
  <c r="G988" i="7"/>
  <c r="F988" i="7"/>
  <c r="G987" i="7"/>
  <c r="F987" i="7"/>
  <c r="G986" i="7"/>
  <c r="F986" i="7"/>
  <c r="G985" i="7"/>
  <c r="F985" i="7"/>
  <c r="G984" i="7"/>
  <c r="F984" i="7"/>
  <c r="G983" i="7"/>
  <c r="F983" i="7"/>
  <c r="G982" i="7"/>
  <c r="F982" i="7"/>
  <c r="G981" i="7"/>
  <c r="F981" i="7"/>
  <c r="G980" i="7"/>
  <c r="F980" i="7"/>
  <c r="G979" i="7"/>
  <c r="F979" i="7"/>
  <c r="G978" i="7"/>
  <c r="F978" i="7"/>
  <c r="G977" i="7"/>
  <c r="F977" i="7"/>
  <c r="G976" i="7"/>
  <c r="F976" i="7"/>
  <c r="G975" i="7"/>
  <c r="F975" i="7"/>
  <c r="G974" i="7"/>
  <c r="F974" i="7"/>
  <c r="G973" i="7"/>
  <c r="F973" i="7"/>
  <c r="G972" i="7"/>
  <c r="F972" i="7"/>
  <c r="G971" i="7"/>
  <c r="F971" i="7"/>
  <c r="G970" i="7"/>
  <c r="F970" i="7"/>
  <c r="G969" i="7"/>
  <c r="F969" i="7"/>
  <c r="G968" i="7"/>
  <c r="F968" i="7"/>
  <c r="G967" i="7"/>
  <c r="F967" i="7"/>
  <c r="G966" i="7"/>
  <c r="F966" i="7"/>
  <c r="G965" i="7"/>
  <c r="F965" i="7"/>
  <c r="G964" i="7"/>
  <c r="F964" i="7"/>
  <c r="G963" i="7"/>
  <c r="F963" i="7"/>
  <c r="G962" i="7"/>
  <c r="F962" i="7"/>
  <c r="G961" i="7"/>
  <c r="F961" i="7"/>
  <c r="G960" i="7"/>
  <c r="F960" i="7"/>
  <c r="G959" i="7"/>
  <c r="F959" i="7"/>
  <c r="G958" i="7"/>
  <c r="F958" i="7"/>
  <c r="G957" i="7"/>
  <c r="F957" i="7"/>
  <c r="G956" i="7"/>
  <c r="F956" i="7"/>
  <c r="G955" i="7"/>
  <c r="F955" i="7"/>
  <c r="G954" i="7"/>
  <c r="F954" i="7"/>
  <c r="G953" i="7"/>
  <c r="F953" i="7"/>
  <c r="G952" i="7"/>
  <c r="F952" i="7"/>
  <c r="G951" i="7"/>
  <c r="F951" i="7"/>
  <c r="G950" i="7"/>
  <c r="F950" i="7"/>
  <c r="G949" i="7"/>
  <c r="F949" i="7"/>
  <c r="G948" i="7"/>
  <c r="F948" i="7"/>
  <c r="G947" i="7"/>
  <c r="F947" i="7"/>
  <c r="G946" i="7"/>
  <c r="F946" i="7"/>
  <c r="G945" i="7"/>
  <c r="F945" i="7"/>
  <c r="G944" i="7"/>
  <c r="F944" i="7"/>
  <c r="G943" i="7"/>
  <c r="F943" i="7"/>
  <c r="G942" i="7"/>
  <c r="F942" i="7"/>
  <c r="G941" i="7"/>
  <c r="F941" i="7"/>
  <c r="G940" i="7"/>
  <c r="F940" i="7"/>
  <c r="G939" i="7"/>
  <c r="F939" i="7"/>
  <c r="G938" i="7"/>
  <c r="F938" i="7"/>
  <c r="G937" i="7"/>
  <c r="F937" i="7"/>
  <c r="G936" i="7"/>
  <c r="F936" i="7"/>
  <c r="G935" i="7"/>
  <c r="F935" i="7"/>
  <c r="G934" i="7"/>
  <c r="F934" i="7"/>
  <c r="G933" i="7"/>
  <c r="F933" i="7"/>
  <c r="G932" i="7"/>
  <c r="F932" i="7"/>
  <c r="G931" i="7"/>
  <c r="F931" i="7"/>
  <c r="G930" i="7"/>
  <c r="F930" i="7"/>
  <c r="G929" i="7"/>
  <c r="F929" i="7"/>
  <c r="G928" i="7"/>
  <c r="F928" i="7"/>
  <c r="G927" i="7"/>
  <c r="F927" i="7"/>
  <c r="G926" i="7"/>
  <c r="F926" i="7"/>
  <c r="G925" i="7"/>
  <c r="F925" i="7"/>
  <c r="G924" i="7"/>
  <c r="F924" i="7"/>
  <c r="G923" i="7"/>
  <c r="F923" i="7"/>
  <c r="G922" i="7"/>
  <c r="F922" i="7"/>
  <c r="G921" i="7"/>
  <c r="F921" i="7"/>
  <c r="G920" i="7"/>
  <c r="F920" i="7"/>
  <c r="G919" i="7"/>
  <c r="F919" i="7"/>
  <c r="G918" i="7"/>
  <c r="F918" i="7"/>
  <c r="G917" i="7"/>
  <c r="F917" i="7"/>
  <c r="G916" i="7"/>
  <c r="F916" i="7"/>
  <c r="G915" i="7"/>
  <c r="F915" i="7"/>
  <c r="G914" i="7"/>
  <c r="F914" i="7"/>
  <c r="G913" i="7"/>
  <c r="F913" i="7"/>
  <c r="G912" i="7"/>
  <c r="F912" i="7"/>
  <c r="G911" i="7"/>
  <c r="F911" i="7"/>
  <c r="G910" i="7"/>
  <c r="F910" i="7"/>
  <c r="G909" i="7"/>
  <c r="F909" i="7"/>
  <c r="G908" i="7"/>
  <c r="F908" i="7"/>
  <c r="G907" i="7"/>
  <c r="F907" i="7"/>
  <c r="G906" i="7"/>
  <c r="F906" i="7"/>
  <c r="G905" i="7"/>
  <c r="F905" i="7"/>
  <c r="G904" i="7"/>
  <c r="F904" i="7"/>
  <c r="G903" i="7"/>
  <c r="F903" i="7"/>
  <c r="G902" i="7"/>
  <c r="F902" i="7"/>
  <c r="G901" i="7"/>
  <c r="F901" i="7"/>
  <c r="G900" i="7"/>
  <c r="F900" i="7"/>
  <c r="G899" i="7"/>
  <c r="F899" i="7"/>
  <c r="G898" i="7"/>
  <c r="F898" i="7"/>
  <c r="G897" i="7"/>
  <c r="F897" i="7"/>
  <c r="G896" i="7"/>
  <c r="F896" i="7"/>
  <c r="G895" i="7"/>
  <c r="F895" i="7"/>
  <c r="G894" i="7"/>
  <c r="F894" i="7"/>
  <c r="G893" i="7"/>
  <c r="F893" i="7"/>
  <c r="G892" i="7"/>
  <c r="F892" i="7"/>
  <c r="G891" i="7"/>
  <c r="F891" i="7"/>
  <c r="G890" i="7"/>
  <c r="F890" i="7"/>
  <c r="G889" i="7"/>
  <c r="F889" i="7"/>
  <c r="G888" i="7"/>
  <c r="F888" i="7"/>
  <c r="G887" i="7"/>
  <c r="F887" i="7"/>
  <c r="G886" i="7"/>
  <c r="F886" i="7"/>
  <c r="G885" i="7"/>
  <c r="F885" i="7"/>
  <c r="G884" i="7"/>
  <c r="F884" i="7"/>
  <c r="G883" i="7"/>
  <c r="F883" i="7"/>
  <c r="G882" i="7"/>
  <c r="F882" i="7"/>
  <c r="G881" i="7"/>
  <c r="F881" i="7"/>
  <c r="G880" i="7"/>
  <c r="F880" i="7"/>
  <c r="G879" i="7"/>
  <c r="F879" i="7"/>
  <c r="G878" i="7"/>
  <c r="F878" i="7"/>
  <c r="G877" i="7"/>
  <c r="F877" i="7"/>
  <c r="G876" i="7"/>
  <c r="F876" i="7"/>
  <c r="G875" i="7"/>
  <c r="F875" i="7"/>
  <c r="G874" i="7"/>
  <c r="F874" i="7"/>
  <c r="G873" i="7"/>
  <c r="F873" i="7"/>
  <c r="G872" i="7"/>
  <c r="F872" i="7"/>
  <c r="G871" i="7"/>
  <c r="F871" i="7"/>
  <c r="G870" i="7"/>
  <c r="F870" i="7"/>
  <c r="G869" i="7"/>
  <c r="F869" i="7"/>
  <c r="G868" i="7"/>
  <c r="F868" i="7"/>
  <c r="G867" i="7"/>
  <c r="F867" i="7"/>
  <c r="G866" i="7"/>
  <c r="F866" i="7"/>
  <c r="G865" i="7"/>
  <c r="F865" i="7"/>
  <c r="G864" i="7"/>
  <c r="F864" i="7"/>
  <c r="G863" i="7"/>
  <c r="F863" i="7"/>
  <c r="G862" i="7"/>
  <c r="F862" i="7"/>
  <c r="G861" i="7"/>
  <c r="F861" i="7"/>
  <c r="G860" i="7"/>
  <c r="F860" i="7"/>
  <c r="G859" i="7"/>
  <c r="F859" i="7"/>
  <c r="G858" i="7"/>
  <c r="F858" i="7"/>
  <c r="G857" i="7"/>
  <c r="F857" i="7"/>
  <c r="G856" i="7"/>
  <c r="F856" i="7"/>
  <c r="G855" i="7"/>
  <c r="F855" i="7"/>
  <c r="G854" i="7"/>
  <c r="F854" i="7"/>
  <c r="G853" i="7"/>
  <c r="F853" i="7"/>
  <c r="G852" i="7"/>
  <c r="F852" i="7"/>
  <c r="G851" i="7"/>
  <c r="F851" i="7"/>
  <c r="G850" i="7"/>
  <c r="F850" i="7"/>
  <c r="G849" i="7"/>
  <c r="F849" i="7"/>
  <c r="G848" i="7"/>
  <c r="F848" i="7"/>
  <c r="G847" i="7"/>
  <c r="F847" i="7"/>
  <c r="G846" i="7"/>
  <c r="F846" i="7"/>
  <c r="G845" i="7"/>
  <c r="F845" i="7"/>
  <c r="G844" i="7"/>
  <c r="F844" i="7"/>
  <c r="G843" i="7"/>
  <c r="F843" i="7"/>
  <c r="G842" i="7"/>
  <c r="F842" i="7"/>
  <c r="G841" i="7"/>
  <c r="F841" i="7"/>
  <c r="G840" i="7"/>
  <c r="F840" i="7"/>
  <c r="G839" i="7"/>
  <c r="F839" i="7"/>
  <c r="G838" i="7"/>
  <c r="F838" i="7"/>
  <c r="G837" i="7"/>
  <c r="F837" i="7"/>
  <c r="G836" i="7"/>
  <c r="F836" i="7"/>
  <c r="G835" i="7"/>
  <c r="F835" i="7"/>
  <c r="G834" i="7"/>
  <c r="F834" i="7"/>
  <c r="G833" i="7"/>
  <c r="F833" i="7"/>
  <c r="G832" i="7"/>
  <c r="F832" i="7"/>
  <c r="G831" i="7"/>
  <c r="F831" i="7"/>
  <c r="G830" i="7"/>
  <c r="F830" i="7"/>
  <c r="G829" i="7"/>
  <c r="F829" i="7"/>
  <c r="G828" i="7"/>
  <c r="F828" i="7"/>
  <c r="G827" i="7"/>
  <c r="F827" i="7"/>
  <c r="G826" i="7"/>
  <c r="F826" i="7"/>
  <c r="G825" i="7"/>
  <c r="F825" i="7"/>
  <c r="G824" i="7"/>
  <c r="F824" i="7"/>
  <c r="G823" i="7"/>
  <c r="F823" i="7"/>
  <c r="G822" i="7"/>
  <c r="F822" i="7"/>
  <c r="G821" i="7"/>
  <c r="F821" i="7"/>
  <c r="G820" i="7"/>
  <c r="F820" i="7"/>
  <c r="G819" i="7"/>
  <c r="F819" i="7"/>
  <c r="G818" i="7"/>
  <c r="F818" i="7"/>
  <c r="G817" i="7"/>
  <c r="F817" i="7"/>
  <c r="G816" i="7"/>
  <c r="F816" i="7"/>
  <c r="G815" i="7"/>
  <c r="F815" i="7"/>
  <c r="G814" i="7"/>
  <c r="F814" i="7"/>
  <c r="G813" i="7"/>
  <c r="F813" i="7"/>
  <c r="G812" i="7"/>
  <c r="F812" i="7"/>
  <c r="G811" i="7"/>
  <c r="F811" i="7"/>
  <c r="G810" i="7"/>
  <c r="F810" i="7"/>
  <c r="G809" i="7"/>
  <c r="F809" i="7"/>
  <c r="G808" i="7"/>
  <c r="F808" i="7"/>
  <c r="G807" i="7"/>
  <c r="F807" i="7"/>
  <c r="G806" i="7"/>
  <c r="F806" i="7"/>
  <c r="G805" i="7"/>
  <c r="F805" i="7"/>
  <c r="G804" i="7"/>
  <c r="F804" i="7"/>
  <c r="G803" i="7"/>
  <c r="F803" i="7"/>
  <c r="G802" i="7"/>
  <c r="F802" i="7"/>
  <c r="G801" i="7"/>
  <c r="F801" i="7"/>
  <c r="G800" i="7"/>
  <c r="F800" i="7"/>
  <c r="G799" i="7"/>
  <c r="F799" i="7"/>
  <c r="G798" i="7"/>
  <c r="F798" i="7"/>
  <c r="G797" i="7"/>
  <c r="F797" i="7"/>
  <c r="G796" i="7"/>
  <c r="F796" i="7"/>
  <c r="G795" i="7"/>
  <c r="F795" i="7"/>
  <c r="G794" i="7"/>
  <c r="F794" i="7"/>
  <c r="G793" i="7"/>
  <c r="F793" i="7"/>
  <c r="G792" i="7"/>
  <c r="F792" i="7"/>
  <c r="G791" i="7"/>
  <c r="F791" i="7"/>
  <c r="G790" i="7"/>
  <c r="F790" i="7"/>
  <c r="G789" i="7"/>
  <c r="F789" i="7"/>
  <c r="G788" i="7"/>
  <c r="F788" i="7"/>
  <c r="G787" i="7"/>
  <c r="F787" i="7"/>
  <c r="G786" i="7"/>
  <c r="F786" i="7"/>
  <c r="G785" i="7"/>
  <c r="F785" i="7"/>
  <c r="G784" i="7"/>
  <c r="F784" i="7"/>
  <c r="G783" i="7"/>
  <c r="F783" i="7"/>
  <c r="G782" i="7"/>
  <c r="F782" i="7"/>
  <c r="G781" i="7"/>
  <c r="F781" i="7"/>
  <c r="G780" i="7"/>
  <c r="F780" i="7"/>
  <c r="G779" i="7"/>
  <c r="F779" i="7"/>
  <c r="G778" i="7"/>
  <c r="F778" i="7"/>
  <c r="G777" i="7"/>
  <c r="F777" i="7"/>
  <c r="G776" i="7"/>
  <c r="F776" i="7"/>
  <c r="G775" i="7"/>
  <c r="F775" i="7"/>
  <c r="G774" i="7"/>
  <c r="F774" i="7"/>
  <c r="G773" i="7"/>
  <c r="F773" i="7"/>
  <c r="G772" i="7"/>
  <c r="F772" i="7"/>
  <c r="G771" i="7"/>
  <c r="F771" i="7"/>
  <c r="G770" i="7"/>
  <c r="F770" i="7"/>
  <c r="G769" i="7"/>
  <c r="F769" i="7"/>
  <c r="G768" i="7"/>
  <c r="F768" i="7"/>
  <c r="G767" i="7"/>
  <c r="F767" i="7"/>
  <c r="G766" i="7"/>
  <c r="F766" i="7"/>
  <c r="G765" i="7"/>
  <c r="F765" i="7"/>
  <c r="G764" i="7"/>
  <c r="F764" i="7"/>
  <c r="G763" i="7"/>
  <c r="F763" i="7"/>
  <c r="G762" i="7"/>
  <c r="F762" i="7"/>
  <c r="G761" i="7"/>
  <c r="F761" i="7"/>
  <c r="G760" i="7"/>
  <c r="F760" i="7"/>
  <c r="G759" i="7"/>
  <c r="F759" i="7"/>
  <c r="G758" i="7"/>
  <c r="F758" i="7"/>
  <c r="G757" i="7"/>
  <c r="F757" i="7"/>
  <c r="G756" i="7"/>
  <c r="F756" i="7"/>
  <c r="G755" i="7"/>
  <c r="F755" i="7"/>
  <c r="G754" i="7"/>
  <c r="F754" i="7"/>
  <c r="G753" i="7"/>
  <c r="F753" i="7"/>
  <c r="G752" i="7"/>
  <c r="F752" i="7"/>
  <c r="G751" i="7"/>
  <c r="F751" i="7"/>
  <c r="G750" i="7"/>
  <c r="F750" i="7"/>
  <c r="G749" i="7"/>
  <c r="F749" i="7"/>
  <c r="G748" i="7"/>
  <c r="F748" i="7"/>
  <c r="G747" i="7"/>
  <c r="F747" i="7"/>
  <c r="G746" i="7"/>
  <c r="F746" i="7"/>
  <c r="G745" i="7"/>
  <c r="F745" i="7"/>
  <c r="G744" i="7"/>
  <c r="F744" i="7"/>
  <c r="G743" i="7"/>
  <c r="F743" i="7"/>
  <c r="G742" i="7"/>
  <c r="F742" i="7"/>
  <c r="G741" i="7"/>
  <c r="F741" i="7"/>
  <c r="G740" i="7"/>
  <c r="F740" i="7"/>
  <c r="G739" i="7"/>
  <c r="F739" i="7"/>
  <c r="G738" i="7"/>
  <c r="F738" i="7"/>
  <c r="G737" i="7"/>
  <c r="F737" i="7"/>
  <c r="G736" i="7"/>
  <c r="F736" i="7"/>
  <c r="G735" i="7"/>
  <c r="F735" i="7"/>
  <c r="G734" i="7"/>
  <c r="F734" i="7"/>
  <c r="G733" i="7"/>
  <c r="F733" i="7"/>
  <c r="G732" i="7"/>
  <c r="F732" i="7"/>
  <c r="G731" i="7"/>
  <c r="F731" i="7"/>
  <c r="G730" i="7"/>
  <c r="F730" i="7"/>
  <c r="G729" i="7"/>
  <c r="F729" i="7"/>
  <c r="G728" i="7"/>
  <c r="F728" i="7"/>
  <c r="G727" i="7"/>
  <c r="F727" i="7"/>
  <c r="G726" i="7"/>
  <c r="F726" i="7"/>
  <c r="G725" i="7"/>
  <c r="F725" i="7"/>
  <c r="G724" i="7"/>
  <c r="F724" i="7"/>
  <c r="G723" i="7"/>
  <c r="F723" i="7"/>
  <c r="G722" i="7"/>
  <c r="F722" i="7"/>
  <c r="G721" i="7"/>
  <c r="F721" i="7"/>
  <c r="G720" i="7"/>
  <c r="F720" i="7"/>
  <c r="G719" i="7"/>
  <c r="F719" i="7"/>
  <c r="G718" i="7"/>
  <c r="F718" i="7"/>
  <c r="G717" i="7"/>
  <c r="F717" i="7"/>
  <c r="G716" i="7"/>
  <c r="F716" i="7"/>
  <c r="G715" i="7"/>
  <c r="F715" i="7"/>
  <c r="G714" i="7"/>
  <c r="F714" i="7"/>
  <c r="G713" i="7"/>
  <c r="F713" i="7"/>
  <c r="G712" i="7"/>
  <c r="F712" i="7"/>
  <c r="G711" i="7"/>
  <c r="F711" i="7"/>
  <c r="G710" i="7"/>
  <c r="F710" i="7"/>
  <c r="G709" i="7"/>
  <c r="F709" i="7"/>
  <c r="G708" i="7"/>
  <c r="F708" i="7"/>
  <c r="G707" i="7"/>
  <c r="F707" i="7"/>
  <c r="G706" i="7"/>
  <c r="F706" i="7"/>
  <c r="G705" i="7"/>
  <c r="F705" i="7"/>
  <c r="G704" i="7"/>
  <c r="F704" i="7"/>
  <c r="G703" i="7"/>
  <c r="F703" i="7"/>
  <c r="G702" i="7"/>
  <c r="F702" i="7"/>
  <c r="G701" i="7"/>
  <c r="F701" i="7"/>
  <c r="G700" i="7"/>
  <c r="F700" i="7"/>
  <c r="G699" i="7"/>
  <c r="F699" i="7"/>
  <c r="G698" i="7"/>
  <c r="F698" i="7"/>
  <c r="G697" i="7"/>
  <c r="F697" i="7"/>
  <c r="G696" i="7"/>
  <c r="F696" i="7"/>
  <c r="G695" i="7"/>
  <c r="F695" i="7"/>
  <c r="G694" i="7"/>
  <c r="F694" i="7"/>
  <c r="G693" i="7"/>
  <c r="F693" i="7"/>
  <c r="G692" i="7"/>
  <c r="F692" i="7"/>
  <c r="G691" i="7"/>
  <c r="F691" i="7"/>
  <c r="G690" i="7"/>
  <c r="F690" i="7"/>
  <c r="G689" i="7"/>
  <c r="F689" i="7"/>
  <c r="G688" i="7"/>
  <c r="F688" i="7"/>
  <c r="G687" i="7"/>
  <c r="F687" i="7"/>
  <c r="G686" i="7"/>
  <c r="F686" i="7"/>
  <c r="G685" i="7"/>
  <c r="F685" i="7"/>
  <c r="G684" i="7"/>
  <c r="F684" i="7"/>
  <c r="G683" i="7"/>
  <c r="F683" i="7"/>
  <c r="G682" i="7"/>
  <c r="F682" i="7"/>
  <c r="G681" i="7"/>
  <c r="F681" i="7"/>
  <c r="G680" i="7"/>
  <c r="F680" i="7"/>
  <c r="G679" i="7"/>
  <c r="F679" i="7"/>
  <c r="G678" i="7"/>
  <c r="F678" i="7"/>
  <c r="G677" i="7"/>
  <c r="F677" i="7"/>
  <c r="G676" i="7"/>
  <c r="F676" i="7"/>
  <c r="G675" i="7"/>
  <c r="F675" i="7"/>
  <c r="G674" i="7"/>
  <c r="F674" i="7"/>
  <c r="G673" i="7"/>
  <c r="F673" i="7"/>
  <c r="G672" i="7"/>
  <c r="F672" i="7"/>
  <c r="G671" i="7"/>
  <c r="F671" i="7"/>
  <c r="G670" i="7"/>
  <c r="F670" i="7"/>
  <c r="G669" i="7"/>
  <c r="F669" i="7"/>
  <c r="G668" i="7"/>
  <c r="F668" i="7"/>
  <c r="G667" i="7"/>
  <c r="F667" i="7"/>
  <c r="G666" i="7"/>
  <c r="F666" i="7"/>
  <c r="G665" i="7"/>
  <c r="F665" i="7"/>
  <c r="G664" i="7"/>
  <c r="F664" i="7"/>
  <c r="G663" i="7"/>
  <c r="F663" i="7"/>
  <c r="G662" i="7"/>
  <c r="F662" i="7"/>
  <c r="G661" i="7"/>
  <c r="F661" i="7"/>
  <c r="G660" i="7"/>
  <c r="F660" i="7"/>
  <c r="G659" i="7"/>
  <c r="F659" i="7"/>
  <c r="G658" i="7"/>
  <c r="F658" i="7"/>
  <c r="G657" i="7"/>
  <c r="F657" i="7"/>
  <c r="G656" i="7"/>
  <c r="F656" i="7"/>
  <c r="G655" i="7"/>
  <c r="F655" i="7"/>
  <c r="G654" i="7"/>
  <c r="F654" i="7"/>
  <c r="G653" i="7"/>
  <c r="F653" i="7"/>
  <c r="G652" i="7"/>
  <c r="F652" i="7"/>
  <c r="G651" i="7"/>
  <c r="F651" i="7"/>
  <c r="G650" i="7"/>
  <c r="F650" i="7"/>
  <c r="G649" i="7"/>
  <c r="F649" i="7"/>
  <c r="G648" i="7"/>
  <c r="F648" i="7"/>
  <c r="G647" i="7"/>
  <c r="F647" i="7"/>
  <c r="G646" i="7"/>
  <c r="F646" i="7"/>
  <c r="G645" i="7"/>
  <c r="F645" i="7"/>
  <c r="G644" i="7"/>
  <c r="F644" i="7"/>
  <c r="G643" i="7"/>
  <c r="F643" i="7"/>
  <c r="G642" i="7"/>
  <c r="F642" i="7"/>
  <c r="G641" i="7"/>
  <c r="F641" i="7"/>
  <c r="G640" i="7"/>
  <c r="F640" i="7"/>
  <c r="G639" i="7"/>
  <c r="F639" i="7"/>
  <c r="G638" i="7"/>
  <c r="F638" i="7"/>
  <c r="G637" i="7"/>
  <c r="F637" i="7"/>
  <c r="G636" i="7"/>
  <c r="F636" i="7"/>
  <c r="G635" i="7"/>
  <c r="F635" i="7"/>
  <c r="G634" i="7"/>
  <c r="F634" i="7"/>
  <c r="G633" i="7"/>
  <c r="F633" i="7"/>
  <c r="G632" i="7"/>
  <c r="F632" i="7"/>
  <c r="G631" i="7"/>
  <c r="F631" i="7"/>
  <c r="G630" i="7"/>
  <c r="F630" i="7"/>
  <c r="G629" i="7"/>
  <c r="F629" i="7"/>
  <c r="G628" i="7"/>
  <c r="F628" i="7"/>
  <c r="G627" i="7"/>
  <c r="F627" i="7"/>
  <c r="G626" i="7"/>
  <c r="F626" i="7"/>
  <c r="G625" i="7"/>
  <c r="F625" i="7"/>
  <c r="G624" i="7"/>
  <c r="F624" i="7"/>
  <c r="G623" i="7"/>
  <c r="F623" i="7"/>
  <c r="G622" i="7"/>
  <c r="F622" i="7"/>
  <c r="G621" i="7"/>
  <c r="F621" i="7"/>
  <c r="G620" i="7"/>
  <c r="F620" i="7"/>
  <c r="G619" i="7"/>
  <c r="F619" i="7"/>
  <c r="G618" i="7"/>
  <c r="F618" i="7"/>
  <c r="G617" i="7"/>
  <c r="F617" i="7"/>
  <c r="G616" i="7"/>
  <c r="F616" i="7"/>
  <c r="G615" i="7"/>
  <c r="F615" i="7"/>
  <c r="G614" i="7"/>
  <c r="F614" i="7"/>
  <c r="G613" i="7"/>
  <c r="F613" i="7"/>
  <c r="G612" i="7"/>
  <c r="F612" i="7"/>
  <c r="G611" i="7"/>
  <c r="F611" i="7"/>
  <c r="G610" i="7"/>
  <c r="F610" i="7"/>
  <c r="G609" i="7"/>
  <c r="F609" i="7"/>
  <c r="G608" i="7"/>
  <c r="F608" i="7"/>
  <c r="G607" i="7"/>
  <c r="F607" i="7"/>
  <c r="G606" i="7"/>
  <c r="F606" i="7"/>
  <c r="G605" i="7"/>
  <c r="F605" i="7"/>
  <c r="G604" i="7"/>
  <c r="F604" i="7"/>
  <c r="G603" i="7"/>
  <c r="F603" i="7"/>
  <c r="G602" i="7"/>
  <c r="F602" i="7"/>
  <c r="G601" i="7"/>
  <c r="F601" i="7"/>
  <c r="G600" i="7"/>
  <c r="F600" i="7"/>
  <c r="G599" i="7"/>
  <c r="F599" i="7"/>
  <c r="G598" i="7"/>
  <c r="F598" i="7"/>
  <c r="G597" i="7"/>
  <c r="F597" i="7"/>
  <c r="G596" i="7"/>
  <c r="F596" i="7"/>
  <c r="G595" i="7"/>
  <c r="F595" i="7"/>
  <c r="G594" i="7"/>
  <c r="F594" i="7"/>
  <c r="G593" i="7"/>
  <c r="F593" i="7"/>
  <c r="G592" i="7"/>
  <c r="F592" i="7"/>
  <c r="G591" i="7"/>
  <c r="F591" i="7"/>
  <c r="G590" i="7"/>
  <c r="F590" i="7"/>
  <c r="G589" i="7"/>
  <c r="F589" i="7"/>
  <c r="G588" i="7"/>
  <c r="F588" i="7"/>
  <c r="G587" i="7"/>
  <c r="F587" i="7"/>
  <c r="G586" i="7"/>
  <c r="F586" i="7"/>
  <c r="G585" i="7"/>
  <c r="F585" i="7"/>
  <c r="G584" i="7"/>
  <c r="F584" i="7"/>
  <c r="G583" i="7"/>
  <c r="F583" i="7"/>
  <c r="G582" i="7"/>
  <c r="F582" i="7"/>
  <c r="G581" i="7"/>
  <c r="F581" i="7"/>
  <c r="G580" i="7"/>
  <c r="F580" i="7"/>
  <c r="G579" i="7"/>
  <c r="F579" i="7"/>
  <c r="G578" i="7"/>
  <c r="F578" i="7"/>
  <c r="G577" i="7"/>
  <c r="F577" i="7"/>
  <c r="G576" i="7"/>
  <c r="F576" i="7"/>
  <c r="G575" i="7"/>
  <c r="F575" i="7"/>
  <c r="G574" i="7"/>
  <c r="F574" i="7"/>
  <c r="G573" i="7"/>
  <c r="F573" i="7"/>
  <c r="G572" i="7"/>
  <c r="F572" i="7"/>
  <c r="G571" i="7"/>
  <c r="F571" i="7"/>
  <c r="G570" i="7"/>
  <c r="F570" i="7"/>
  <c r="G569" i="7"/>
  <c r="F569" i="7"/>
  <c r="G568" i="7"/>
  <c r="F568" i="7"/>
  <c r="G567" i="7"/>
  <c r="F567" i="7"/>
  <c r="G566" i="7"/>
  <c r="F566" i="7"/>
  <c r="G565" i="7"/>
  <c r="F565" i="7"/>
  <c r="G564" i="7"/>
  <c r="F564" i="7"/>
  <c r="G563" i="7"/>
  <c r="F563" i="7"/>
  <c r="G562" i="7"/>
  <c r="F562" i="7"/>
  <c r="G561" i="7"/>
  <c r="F561" i="7"/>
  <c r="G560" i="7"/>
  <c r="F560" i="7"/>
  <c r="G559" i="7"/>
  <c r="F559" i="7"/>
  <c r="G558" i="7"/>
  <c r="F558" i="7"/>
  <c r="G557" i="7"/>
  <c r="F557" i="7"/>
  <c r="G556" i="7"/>
  <c r="F556" i="7"/>
  <c r="G555" i="7"/>
  <c r="F555" i="7"/>
  <c r="G554" i="7"/>
  <c r="F554" i="7"/>
  <c r="G553" i="7"/>
  <c r="F553" i="7"/>
  <c r="G552" i="7"/>
  <c r="F552" i="7"/>
  <c r="G551" i="7"/>
  <c r="F551" i="7"/>
  <c r="G550" i="7"/>
  <c r="F550" i="7"/>
  <c r="G549" i="7"/>
  <c r="F549" i="7"/>
  <c r="G548" i="7"/>
  <c r="F548" i="7"/>
  <c r="G547" i="7"/>
  <c r="F547" i="7"/>
  <c r="G546" i="7"/>
  <c r="F546" i="7"/>
  <c r="G545" i="7"/>
  <c r="F545" i="7"/>
  <c r="G544" i="7"/>
  <c r="F544" i="7"/>
  <c r="G543" i="7"/>
  <c r="F543" i="7"/>
  <c r="G542" i="7"/>
  <c r="F542" i="7"/>
  <c r="G541" i="7"/>
  <c r="F541" i="7"/>
  <c r="G540" i="7"/>
  <c r="F540" i="7"/>
  <c r="G539" i="7"/>
  <c r="F539" i="7"/>
  <c r="G538" i="7"/>
  <c r="F538" i="7"/>
  <c r="G537" i="7"/>
  <c r="F537" i="7"/>
  <c r="G536" i="7"/>
  <c r="F536" i="7"/>
  <c r="G535" i="7"/>
  <c r="F535" i="7"/>
  <c r="G534" i="7"/>
  <c r="F534" i="7"/>
  <c r="G533" i="7"/>
  <c r="F533" i="7"/>
  <c r="G532" i="7"/>
  <c r="F532" i="7"/>
  <c r="G531" i="7"/>
  <c r="F531" i="7"/>
  <c r="G530" i="7"/>
  <c r="F530" i="7"/>
  <c r="G529" i="7"/>
  <c r="F529" i="7"/>
  <c r="G528" i="7"/>
  <c r="F528" i="7"/>
  <c r="G527" i="7"/>
  <c r="F527" i="7"/>
  <c r="G526" i="7"/>
  <c r="F526" i="7"/>
  <c r="G525" i="7"/>
  <c r="F525" i="7"/>
  <c r="G524" i="7"/>
  <c r="F524" i="7"/>
  <c r="G523" i="7"/>
  <c r="F523" i="7"/>
  <c r="G522" i="7"/>
  <c r="F522" i="7"/>
  <c r="G521" i="7"/>
  <c r="F521" i="7"/>
  <c r="G520" i="7"/>
  <c r="F520" i="7"/>
  <c r="G519" i="7"/>
  <c r="F519" i="7"/>
  <c r="G518" i="7"/>
  <c r="F518" i="7"/>
  <c r="G517" i="7"/>
  <c r="F517" i="7"/>
  <c r="G516" i="7"/>
  <c r="F516" i="7"/>
  <c r="G515" i="7"/>
  <c r="F515" i="7"/>
  <c r="G514" i="7"/>
  <c r="F514" i="7"/>
  <c r="G513" i="7"/>
  <c r="F513" i="7"/>
  <c r="G512" i="7"/>
  <c r="F512" i="7"/>
  <c r="G511" i="7"/>
  <c r="F511" i="7"/>
  <c r="G510" i="7"/>
  <c r="F510" i="7"/>
  <c r="G509" i="7"/>
  <c r="F509" i="7"/>
  <c r="G508" i="7"/>
  <c r="F508" i="7"/>
  <c r="G507" i="7"/>
  <c r="F507" i="7"/>
  <c r="G506" i="7"/>
  <c r="F506" i="7"/>
  <c r="G505" i="7"/>
  <c r="F505" i="7"/>
  <c r="G504" i="7"/>
  <c r="F504" i="7"/>
  <c r="G503" i="7"/>
  <c r="F503" i="7"/>
  <c r="G502" i="7"/>
  <c r="F502" i="7"/>
  <c r="G501" i="7"/>
  <c r="F501" i="7"/>
  <c r="G500" i="7"/>
  <c r="F500" i="7"/>
  <c r="G499" i="7"/>
  <c r="F499" i="7"/>
  <c r="G498" i="7"/>
  <c r="F498" i="7"/>
  <c r="G497" i="7"/>
  <c r="F497" i="7"/>
  <c r="G496" i="7"/>
  <c r="F496" i="7"/>
  <c r="G495" i="7"/>
  <c r="F495" i="7"/>
  <c r="G494" i="7"/>
  <c r="F494" i="7"/>
  <c r="G493" i="7"/>
  <c r="F493" i="7"/>
  <c r="G492" i="7"/>
  <c r="F492" i="7"/>
  <c r="G491" i="7"/>
  <c r="F491" i="7"/>
  <c r="G490" i="7"/>
  <c r="F490" i="7"/>
  <c r="G489" i="7"/>
  <c r="F489" i="7"/>
  <c r="G488" i="7"/>
  <c r="F488" i="7"/>
  <c r="G487" i="7"/>
  <c r="F487" i="7"/>
  <c r="G486" i="7"/>
  <c r="F486" i="7"/>
  <c r="G485" i="7"/>
  <c r="F485" i="7"/>
  <c r="G484" i="7"/>
  <c r="F484" i="7"/>
  <c r="G483" i="7"/>
  <c r="F483" i="7"/>
  <c r="G482" i="7"/>
  <c r="F482" i="7"/>
  <c r="G481" i="7"/>
  <c r="F481" i="7"/>
  <c r="G480" i="7"/>
  <c r="F480" i="7"/>
  <c r="G479" i="7"/>
  <c r="F479" i="7"/>
  <c r="G478" i="7"/>
  <c r="F478" i="7"/>
  <c r="G477" i="7"/>
  <c r="F477" i="7"/>
  <c r="G476" i="7"/>
  <c r="F476" i="7"/>
  <c r="G475" i="7"/>
  <c r="F475" i="7"/>
  <c r="G474" i="7"/>
  <c r="F474" i="7"/>
  <c r="G473" i="7"/>
  <c r="F473" i="7"/>
  <c r="G472" i="7"/>
  <c r="F472" i="7"/>
  <c r="G471" i="7"/>
  <c r="F471" i="7"/>
  <c r="G470" i="7"/>
  <c r="F470" i="7"/>
  <c r="G469" i="7"/>
  <c r="F469" i="7"/>
  <c r="G468" i="7"/>
  <c r="F468" i="7"/>
  <c r="G467" i="7"/>
  <c r="F467" i="7"/>
  <c r="G466" i="7"/>
  <c r="F466" i="7"/>
  <c r="G465" i="7"/>
  <c r="F465" i="7"/>
  <c r="G464" i="7"/>
  <c r="F464" i="7"/>
  <c r="G463" i="7"/>
  <c r="F463" i="7"/>
  <c r="G462" i="7"/>
  <c r="F462" i="7"/>
  <c r="G461" i="7"/>
  <c r="F461" i="7"/>
  <c r="G460" i="7"/>
  <c r="F460" i="7"/>
  <c r="G459" i="7"/>
  <c r="F459" i="7"/>
  <c r="G458" i="7"/>
  <c r="F458" i="7"/>
  <c r="G457" i="7"/>
  <c r="F457" i="7"/>
  <c r="G456" i="7"/>
  <c r="F456" i="7"/>
  <c r="G455" i="7"/>
  <c r="F455" i="7"/>
  <c r="G454" i="7"/>
  <c r="F454" i="7"/>
  <c r="G453" i="7"/>
  <c r="F453" i="7"/>
  <c r="G452" i="7"/>
  <c r="F452" i="7"/>
  <c r="G451" i="7"/>
  <c r="F451" i="7"/>
  <c r="G450" i="7"/>
  <c r="F450" i="7"/>
  <c r="G449" i="7"/>
  <c r="F449" i="7"/>
  <c r="G448" i="7"/>
  <c r="F448" i="7"/>
  <c r="G447" i="7"/>
  <c r="F447" i="7"/>
  <c r="G446" i="7"/>
  <c r="F446" i="7"/>
  <c r="G445" i="7"/>
  <c r="F445" i="7"/>
  <c r="G444" i="7"/>
  <c r="F444" i="7"/>
  <c r="G443" i="7"/>
  <c r="F443" i="7"/>
  <c r="G442" i="7"/>
  <c r="F442" i="7"/>
  <c r="G441" i="7"/>
  <c r="F441" i="7"/>
  <c r="G440" i="7"/>
  <c r="F440" i="7"/>
  <c r="G439" i="7"/>
  <c r="F439" i="7"/>
  <c r="G438" i="7"/>
  <c r="F438" i="7"/>
  <c r="G437" i="7"/>
  <c r="F437" i="7"/>
  <c r="G436" i="7"/>
  <c r="F436" i="7"/>
  <c r="G435" i="7"/>
  <c r="F435" i="7"/>
  <c r="G434" i="7"/>
  <c r="F434" i="7"/>
  <c r="G433" i="7"/>
  <c r="F433" i="7"/>
  <c r="G432" i="7"/>
  <c r="F432" i="7"/>
  <c r="G431" i="7"/>
  <c r="F431" i="7"/>
  <c r="G430" i="7"/>
  <c r="F430" i="7"/>
  <c r="G429" i="7"/>
  <c r="F429" i="7"/>
  <c r="G428" i="7"/>
  <c r="F428" i="7"/>
  <c r="G427" i="7"/>
  <c r="F427" i="7"/>
  <c r="G426" i="7"/>
  <c r="F426" i="7"/>
  <c r="G425" i="7"/>
  <c r="F425" i="7"/>
  <c r="G424" i="7"/>
  <c r="F424" i="7"/>
  <c r="G423" i="7"/>
  <c r="F423" i="7"/>
  <c r="G422" i="7"/>
  <c r="F422" i="7"/>
  <c r="G421" i="7"/>
  <c r="F421" i="7"/>
  <c r="G420" i="7"/>
  <c r="F420" i="7"/>
  <c r="G419" i="7"/>
  <c r="F419" i="7"/>
  <c r="G418" i="7"/>
  <c r="F418" i="7"/>
  <c r="G417" i="7"/>
  <c r="F417" i="7"/>
  <c r="G416" i="7"/>
  <c r="F416" i="7"/>
  <c r="G415" i="7"/>
  <c r="F415" i="7"/>
  <c r="G414" i="7"/>
  <c r="F414" i="7"/>
  <c r="G413" i="7"/>
  <c r="F413" i="7"/>
  <c r="G412" i="7"/>
  <c r="F412" i="7"/>
  <c r="G411" i="7"/>
  <c r="F411" i="7"/>
  <c r="G410" i="7"/>
  <c r="F410" i="7"/>
  <c r="G409" i="7"/>
  <c r="F409" i="7"/>
  <c r="G408" i="7"/>
  <c r="F408" i="7"/>
  <c r="G407" i="7"/>
  <c r="F407" i="7"/>
  <c r="G406" i="7"/>
  <c r="F406" i="7"/>
  <c r="G405" i="7"/>
  <c r="F405" i="7"/>
  <c r="G404" i="7"/>
  <c r="F404" i="7"/>
  <c r="G403" i="7"/>
  <c r="F403" i="7"/>
  <c r="G402" i="7"/>
  <c r="F402" i="7"/>
  <c r="G401" i="7"/>
  <c r="F401" i="7"/>
  <c r="G400" i="7"/>
  <c r="F400" i="7"/>
  <c r="G399" i="7"/>
  <c r="F399" i="7"/>
  <c r="G398" i="7"/>
  <c r="F398" i="7"/>
  <c r="G397" i="7"/>
  <c r="F397" i="7"/>
  <c r="G396" i="7"/>
  <c r="F396" i="7"/>
  <c r="G395" i="7"/>
  <c r="F395" i="7"/>
  <c r="G394" i="7"/>
  <c r="F394" i="7"/>
  <c r="G393" i="7"/>
  <c r="F393" i="7"/>
  <c r="G392" i="7"/>
  <c r="F392" i="7"/>
  <c r="G391" i="7"/>
  <c r="F391" i="7"/>
  <c r="G390" i="7"/>
  <c r="F390" i="7"/>
  <c r="G389" i="7"/>
  <c r="F389" i="7"/>
  <c r="G388" i="7"/>
  <c r="F388" i="7"/>
  <c r="G387" i="7"/>
  <c r="F387" i="7"/>
  <c r="G386" i="7"/>
  <c r="F386" i="7"/>
  <c r="G385" i="7"/>
  <c r="F385" i="7"/>
  <c r="G384" i="7"/>
  <c r="F384" i="7"/>
  <c r="G383" i="7"/>
  <c r="F383" i="7"/>
  <c r="G382" i="7"/>
  <c r="F382" i="7"/>
  <c r="G381" i="7"/>
  <c r="F381" i="7"/>
  <c r="G380" i="7"/>
  <c r="F380" i="7"/>
  <c r="G379" i="7"/>
  <c r="F379" i="7"/>
  <c r="G378" i="7"/>
  <c r="F378" i="7"/>
  <c r="G377" i="7"/>
  <c r="F377" i="7"/>
  <c r="G376" i="7"/>
  <c r="F376" i="7"/>
  <c r="G375" i="7"/>
  <c r="F375" i="7"/>
  <c r="G374" i="7"/>
  <c r="F374" i="7"/>
  <c r="G373" i="7"/>
  <c r="F373" i="7"/>
  <c r="G372" i="7"/>
  <c r="F372" i="7"/>
  <c r="G371" i="7"/>
  <c r="F371" i="7"/>
  <c r="G370" i="7"/>
  <c r="F370" i="7"/>
  <c r="G369" i="7"/>
  <c r="F369" i="7"/>
  <c r="G368" i="7"/>
  <c r="F368" i="7"/>
  <c r="G367" i="7"/>
  <c r="F367" i="7"/>
  <c r="G366" i="7"/>
  <c r="F366" i="7"/>
  <c r="G365" i="7"/>
  <c r="F365" i="7"/>
  <c r="G364" i="7"/>
  <c r="F364" i="7"/>
  <c r="G363" i="7"/>
  <c r="F363" i="7"/>
  <c r="G362" i="7"/>
  <c r="F362" i="7"/>
  <c r="G361" i="7"/>
  <c r="F361" i="7"/>
  <c r="G360" i="7"/>
  <c r="F360" i="7"/>
  <c r="G359" i="7"/>
  <c r="F359" i="7"/>
  <c r="G358" i="7"/>
  <c r="F358" i="7"/>
  <c r="G357" i="7"/>
  <c r="F357" i="7"/>
  <c r="G356" i="7"/>
  <c r="F356" i="7"/>
  <c r="G355" i="7"/>
  <c r="F355" i="7"/>
  <c r="G354" i="7"/>
  <c r="F354" i="7"/>
  <c r="G353" i="7"/>
  <c r="F353" i="7"/>
  <c r="G352" i="7"/>
  <c r="F352" i="7"/>
  <c r="G351" i="7"/>
  <c r="F351" i="7"/>
  <c r="G350" i="7"/>
  <c r="F350" i="7"/>
  <c r="G349" i="7"/>
  <c r="F349" i="7"/>
  <c r="G348" i="7"/>
  <c r="F348" i="7"/>
  <c r="G347" i="7"/>
  <c r="F347" i="7"/>
  <c r="G346" i="7"/>
  <c r="F346" i="7"/>
  <c r="G345" i="7"/>
  <c r="F345" i="7"/>
  <c r="G344" i="7"/>
  <c r="F344" i="7"/>
  <c r="G343" i="7"/>
  <c r="F343" i="7"/>
  <c r="G342" i="7"/>
  <c r="F342" i="7"/>
  <c r="G341" i="7"/>
  <c r="F341" i="7"/>
  <c r="G340" i="7"/>
  <c r="F340" i="7"/>
  <c r="G339" i="7"/>
  <c r="F339" i="7"/>
  <c r="G338" i="7"/>
  <c r="F338" i="7"/>
  <c r="G337" i="7"/>
  <c r="F337" i="7"/>
  <c r="G336" i="7"/>
  <c r="F336" i="7"/>
  <c r="G335" i="7"/>
  <c r="F335" i="7"/>
  <c r="G334" i="7"/>
  <c r="F334" i="7"/>
  <c r="G333" i="7"/>
  <c r="F333" i="7"/>
  <c r="G332" i="7"/>
  <c r="F332" i="7"/>
  <c r="G331" i="7"/>
  <c r="F331" i="7"/>
  <c r="G330" i="7"/>
  <c r="F330" i="7"/>
  <c r="G329" i="7"/>
  <c r="F329" i="7"/>
  <c r="G328" i="7"/>
  <c r="F328" i="7"/>
  <c r="G327" i="7"/>
  <c r="F327" i="7"/>
  <c r="G326" i="7"/>
  <c r="F326" i="7"/>
  <c r="G325" i="7"/>
  <c r="F325" i="7"/>
  <c r="G324" i="7"/>
  <c r="F324" i="7"/>
  <c r="G323" i="7"/>
  <c r="F323" i="7"/>
  <c r="G322" i="7"/>
  <c r="F322" i="7"/>
  <c r="G321" i="7"/>
  <c r="F321" i="7"/>
  <c r="G320" i="7"/>
  <c r="F320" i="7"/>
  <c r="G319" i="7"/>
  <c r="F319" i="7"/>
  <c r="G318" i="7"/>
  <c r="F318" i="7"/>
  <c r="G317" i="7"/>
  <c r="F317" i="7"/>
  <c r="G316" i="7"/>
  <c r="F316" i="7"/>
  <c r="G315" i="7"/>
  <c r="F315" i="7"/>
  <c r="G314" i="7"/>
  <c r="F314" i="7"/>
  <c r="G313" i="7"/>
  <c r="F313" i="7"/>
  <c r="G312" i="7"/>
  <c r="F312" i="7"/>
  <c r="G311" i="7"/>
  <c r="F311" i="7"/>
  <c r="G310" i="7"/>
  <c r="F310" i="7"/>
  <c r="G309" i="7"/>
  <c r="F309" i="7"/>
  <c r="G308" i="7"/>
  <c r="F308" i="7"/>
  <c r="G307" i="7"/>
  <c r="F307" i="7"/>
  <c r="G306" i="7"/>
  <c r="F306" i="7"/>
  <c r="G305" i="7"/>
  <c r="F305" i="7"/>
  <c r="G304" i="7"/>
  <c r="F304" i="7"/>
  <c r="G303" i="7"/>
  <c r="F303" i="7"/>
  <c r="G302" i="7"/>
  <c r="F302" i="7"/>
  <c r="G301" i="7"/>
  <c r="F301" i="7"/>
  <c r="G300" i="7"/>
  <c r="F300" i="7"/>
  <c r="G299" i="7"/>
  <c r="F299" i="7"/>
  <c r="G298" i="7"/>
  <c r="F298" i="7"/>
  <c r="G297" i="7"/>
  <c r="F297" i="7"/>
  <c r="G296" i="7"/>
  <c r="F296" i="7"/>
  <c r="G295" i="7"/>
  <c r="F295" i="7"/>
  <c r="G294" i="7"/>
  <c r="F294" i="7"/>
  <c r="G293" i="7"/>
  <c r="F293" i="7"/>
  <c r="G292" i="7"/>
  <c r="F292" i="7"/>
  <c r="G291" i="7"/>
  <c r="F291" i="7"/>
  <c r="G290" i="7"/>
  <c r="F290" i="7"/>
  <c r="G289" i="7"/>
  <c r="F289" i="7"/>
  <c r="G288" i="7"/>
  <c r="F288" i="7"/>
  <c r="G287" i="7"/>
  <c r="F287" i="7"/>
  <c r="G286" i="7"/>
  <c r="F286" i="7"/>
  <c r="G285" i="7"/>
  <c r="F285" i="7"/>
  <c r="G284" i="7"/>
  <c r="F284" i="7"/>
  <c r="G283" i="7"/>
  <c r="F283" i="7"/>
  <c r="G282" i="7"/>
  <c r="F282" i="7"/>
  <c r="G281" i="7"/>
  <c r="F281" i="7"/>
  <c r="G280" i="7"/>
  <c r="F280" i="7"/>
  <c r="G279" i="7"/>
  <c r="F279" i="7"/>
  <c r="G278" i="7"/>
  <c r="F278" i="7"/>
  <c r="G277" i="7"/>
  <c r="F277" i="7"/>
  <c r="G276" i="7"/>
  <c r="F276" i="7"/>
  <c r="G275" i="7"/>
  <c r="F275" i="7"/>
  <c r="G274" i="7"/>
  <c r="F274" i="7"/>
  <c r="G273" i="7"/>
  <c r="F273" i="7"/>
  <c r="G272" i="7"/>
  <c r="F272" i="7"/>
  <c r="G271" i="7"/>
  <c r="F271" i="7"/>
  <c r="G270" i="7"/>
  <c r="F270" i="7"/>
  <c r="G269" i="7"/>
  <c r="F269" i="7"/>
  <c r="G268" i="7"/>
  <c r="F268" i="7"/>
  <c r="G267" i="7"/>
  <c r="F267" i="7"/>
  <c r="G266" i="7"/>
  <c r="F266" i="7"/>
  <c r="G265" i="7"/>
  <c r="F265" i="7"/>
  <c r="G264" i="7"/>
  <c r="F264" i="7"/>
  <c r="G263" i="7"/>
  <c r="F263" i="7"/>
  <c r="G262" i="7"/>
  <c r="F262" i="7"/>
  <c r="G261" i="7"/>
  <c r="F261" i="7"/>
  <c r="G260" i="7"/>
  <c r="F260" i="7"/>
  <c r="G259" i="7"/>
  <c r="F259" i="7"/>
  <c r="G258" i="7"/>
  <c r="F258" i="7"/>
  <c r="G257" i="7"/>
  <c r="F257" i="7"/>
  <c r="G256" i="7"/>
  <c r="F256" i="7"/>
  <c r="G255" i="7"/>
  <c r="F255" i="7"/>
  <c r="G254" i="7"/>
  <c r="F254" i="7"/>
  <c r="G253" i="7"/>
  <c r="F253" i="7"/>
  <c r="G252" i="7"/>
  <c r="F252" i="7"/>
  <c r="G251" i="7"/>
  <c r="F251" i="7"/>
  <c r="G250" i="7"/>
  <c r="F250" i="7"/>
  <c r="G249" i="7"/>
  <c r="F249" i="7"/>
  <c r="G248" i="7"/>
  <c r="F248" i="7"/>
  <c r="G247" i="7"/>
  <c r="F247" i="7"/>
  <c r="G246" i="7"/>
  <c r="F246" i="7"/>
  <c r="G245" i="7"/>
  <c r="F245" i="7"/>
  <c r="G244" i="7"/>
  <c r="F244" i="7"/>
  <c r="G243" i="7"/>
  <c r="F243" i="7"/>
  <c r="G242" i="7"/>
  <c r="F242" i="7"/>
  <c r="G241" i="7"/>
  <c r="F241" i="7"/>
  <c r="G240" i="7"/>
  <c r="F240" i="7"/>
  <c r="G239" i="7"/>
  <c r="F239" i="7"/>
  <c r="G238" i="7"/>
  <c r="F238" i="7"/>
  <c r="G237" i="7"/>
  <c r="F237" i="7"/>
  <c r="G236" i="7"/>
  <c r="F236" i="7"/>
  <c r="G235" i="7"/>
  <c r="F235" i="7"/>
  <c r="G234" i="7"/>
  <c r="F234" i="7"/>
  <c r="G233" i="7"/>
  <c r="F233" i="7"/>
  <c r="G232" i="7"/>
  <c r="F232" i="7"/>
  <c r="G231" i="7"/>
  <c r="F231" i="7"/>
  <c r="G230" i="7"/>
  <c r="F230" i="7"/>
  <c r="G229" i="7"/>
  <c r="F229" i="7"/>
  <c r="G228" i="7"/>
  <c r="F228" i="7"/>
  <c r="G227" i="7"/>
  <c r="F227" i="7"/>
  <c r="G226" i="7"/>
  <c r="F226" i="7"/>
  <c r="G225" i="7"/>
  <c r="F225" i="7"/>
  <c r="G224" i="7"/>
  <c r="F224" i="7"/>
  <c r="G223" i="7"/>
  <c r="F223" i="7"/>
  <c r="G222" i="7"/>
  <c r="F222" i="7"/>
  <c r="G221" i="7"/>
  <c r="F221" i="7"/>
  <c r="G220" i="7"/>
  <c r="F220" i="7"/>
  <c r="G219" i="7"/>
  <c r="F219" i="7"/>
  <c r="G218" i="7"/>
  <c r="F218" i="7"/>
  <c r="G217" i="7"/>
  <c r="F217" i="7"/>
  <c r="G216" i="7"/>
  <c r="F216" i="7"/>
  <c r="G215" i="7"/>
  <c r="F215" i="7"/>
  <c r="G214" i="7"/>
  <c r="F214" i="7"/>
  <c r="G213" i="7"/>
  <c r="F213" i="7"/>
  <c r="G212" i="7"/>
  <c r="F212" i="7"/>
  <c r="G211" i="7"/>
  <c r="F211" i="7"/>
  <c r="G210" i="7"/>
  <c r="F210" i="7"/>
  <c r="G209" i="7"/>
  <c r="F209" i="7"/>
  <c r="G208" i="7"/>
  <c r="F208" i="7"/>
  <c r="G207" i="7"/>
  <c r="F207" i="7"/>
  <c r="G206" i="7"/>
  <c r="F206" i="7"/>
  <c r="G205" i="7"/>
  <c r="F205" i="7"/>
  <c r="G204" i="7"/>
  <c r="F204" i="7"/>
  <c r="G203" i="7"/>
  <c r="F203" i="7"/>
  <c r="G202" i="7"/>
  <c r="F202" i="7"/>
  <c r="G201" i="7"/>
  <c r="F201" i="7"/>
  <c r="G200" i="7"/>
  <c r="F200" i="7"/>
  <c r="G199" i="7"/>
  <c r="F199" i="7"/>
  <c r="G198" i="7"/>
  <c r="F198" i="7"/>
  <c r="G197" i="7"/>
  <c r="F197" i="7"/>
  <c r="G196" i="7"/>
  <c r="F196" i="7"/>
  <c r="G195" i="7"/>
  <c r="F195" i="7"/>
  <c r="G194" i="7"/>
  <c r="F194" i="7"/>
  <c r="G193" i="7"/>
  <c r="F193" i="7"/>
  <c r="G192" i="7"/>
  <c r="F192" i="7"/>
  <c r="G191" i="7"/>
  <c r="F191" i="7"/>
  <c r="G190" i="7"/>
  <c r="F190" i="7"/>
  <c r="G189" i="7"/>
  <c r="F189" i="7"/>
  <c r="G188" i="7"/>
  <c r="F188" i="7"/>
  <c r="G187" i="7"/>
  <c r="F187" i="7"/>
  <c r="G186" i="7"/>
  <c r="F186" i="7"/>
  <c r="G185" i="7"/>
  <c r="F185" i="7"/>
  <c r="G184" i="7"/>
  <c r="F184" i="7"/>
  <c r="G183" i="7"/>
  <c r="F183" i="7"/>
  <c r="G182" i="7"/>
  <c r="F182" i="7"/>
  <c r="G181" i="7"/>
  <c r="F181" i="7"/>
  <c r="G180" i="7"/>
  <c r="F180" i="7"/>
  <c r="G179" i="7"/>
  <c r="F179" i="7"/>
  <c r="G178" i="7"/>
  <c r="F178" i="7"/>
  <c r="G177" i="7"/>
  <c r="F177" i="7"/>
  <c r="G176" i="7"/>
  <c r="F176" i="7"/>
  <c r="G175" i="7"/>
  <c r="F175" i="7"/>
  <c r="G174" i="7"/>
  <c r="F174" i="7"/>
  <c r="G173" i="7"/>
  <c r="F173" i="7"/>
  <c r="G172" i="7"/>
  <c r="F172" i="7"/>
  <c r="G171" i="7"/>
  <c r="F171" i="7"/>
  <c r="G170" i="7"/>
  <c r="F170" i="7"/>
  <c r="G169" i="7"/>
  <c r="F169" i="7"/>
  <c r="G168" i="7"/>
  <c r="F168" i="7"/>
  <c r="G167" i="7"/>
  <c r="F167" i="7"/>
  <c r="G166" i="7"/>
  <c r="F166" i="7"/>
  <c r="G165" i="7"/>
  <c r="F165" i="7"/>
  <c r="G164" i="7"/>
  <c r="F164" i="7"/>
  <c r="G163" i="7"/>
  <c r="F163" i="7"/>
  <c r="G162" i="7"/>
  <c r="F162" i="7"/>
  <c r="G161" i="7"/>
  <c r="F161" i="7"/>
  <c r="G160" i="7"/>
  <c r="F160" i="7"/>
  <c r="G159" i="7"/>
  <c r="F159" i="7"/>
  <c r="G158" i="7"/>
  <c r="F158" i="7"/>
  <c r="G157" i="7"/>
  <c r="F157" i="7"/>
  <c r="G156" i="7"/>
  <c r="F156" i="7"/>
  <c r="G155" i="7"/>
  <c r="F155" i="7"/>
  <c r="G154" i="7"/>
  <c r="F154" i="7"/>
  <c r="G153" i="7"/>
  <c r="F153" i="7"/>
  <c r="G152" i="7"/>
  <c r="F152" i="7"/>
  <c r="G151" i="7"/>
  <c r="F151" i="7"/>
  <c r="G150" i="7"/>
  <c r="F150" i="7"/>
  <c r="G149" i="7"/>
  <c r="F149" i="7"/>
  <c r="G148" i="7"/>
  <c r="F148" i="7"/>
  <c r="G147" i="7"/>
  <c r="F147" i="7"/>
  <c r="G146" i="7"/>
  <c r="F146" i="7"/>
  <c r="G145" i="7"/>
  <c r="F145" i="7"/>
  <c r="G144" i="7"/>
  <c r="F144" i="7"/>
  <c r="G143" i="7"/>
  <c r="F143" i="7"/>
  <c r="G142" i="7"/>
  <c r="F142" i="7"/>
  <c r="G141" i="7"/>
  <c r="F141" i="7"/>
  <c r="G140" i="7"/>
  <c r="F140" i="7"/>
  <c r="G139" i="7"/>
  <c r="F139" i="7"/>
  <c r="G138" i="7"/>
  <c r="F138" i="7"/>
  <c r="G137" i="7"/>
  <c r="F137" i="7"/>
  <c r="G136" i="7"/>
  <c r="F136" i="7"/>
  <c r="G135" i="7"/>
  <c r="F135" i="7"/>
  <c r="G134" i="7"/>
  <c r="F134" i="7"/>
  <c r="G133" i="7"/>
  <c r="F133" i="7"/>
  <c r="G132" i="7"/>
  <c r="F132" i="7"/>
  <c r="G131" i="7"/>
  <c r="F131" i="7"/>
  <c r="G130" i="7"/>
  <c r="F130" i="7"/>
  <c r="G129" i="7"/>
  <c r="F129" i="7"/>
  <c r="G128" i="7"/>
  <c r="F128" i="7"/>
  <c r="G127" i="7"/>
  <c r="F127" i="7"/>
  <c r="G126" i="7"/>
  <c r="F126" i="7"/>
  <c r="G125" i="7"/>
  <c r="F125" i="7"/>
  <c r="G124" i="7"/>
  <c r="F124" i="7"/>
  <c r="G123" i="7"/>
  <c r="F123" i="7"/>
  <c r="G122" i="7"/>
  <c r="F122" i="7"/>
  <c r="G121" i="7"/>
  <c r="F121" i="7"/>
  <c r="G120" i="7"/>
  <c r="F120" i="7"/>
  <c r="G119" i="7"/>
  <c r="F119" i="7"/>
  <c r="G118" i="7"/>
  <c r="F118" i="7"/>
  <c r="G117" i="7"/>
  <c r="F117" i="7"/>
  <c r="G116" i="7"/>
  <c r="F116" i="7"/>
  <c r="G115" i="7"/>
  <c r="F115" i="7"/>
  <c r="G114" i="7"/>
  <c r="F114" i="7"/>
  <c r="G113" i="7"/>
  <c r="F113" i="7"/>
  <c r="G112" i="7"/>
  <c r="F112" i="7"/>
  <c r="G111" i="7"/>
  <c r="F111" i="7"/>
  <c r="G110" i="7"/>
  <c r="F110" i="7"/>
  <c r="G109" i="7"/>
  <c r="F109" i="7"/>
  <c r="G108" i="7"/>
  <c r="F108" i="7"/>
  <c r="G107" i="7"/>
  <c r="F107" i="7"/>
  <c r="G106" i="7"/>
  <c r="F106" i="7"/>
  <c r="G105" i="7"/>
  <c r="F105" i="7"/>
  <c r="G104" i="7"/>
  <c r="F104" i="7"/>
  <c r="G103" i="7"/>
  <c r="F103" i="7"/>
  <c r="G102" i="7"/>
  <c r="F102" i="7"/>
  <c r="G101" i="7"/>
  <c r="F101" i="7"/>
  <c r="G100" i="7"/>
  <c r="F100" i="7"/>
  <c r="G99" i="7"/>
  <c r="F99" i="7"/>
  <c r="G98" i="7"/>
  <c r="F98" i="7"/>
  <c r="G97" i="7"/>
  <c r="F97" i="7"/>
  <c r="G96" i="7"/>
  <c r="F96" i="7"/>
  <c r="G95" i="7"/>
  <c r="F95" i="7"/>
  <c r="G94" i="7"/>
  <c r="F94" i="7"/>
  <c r="G93" i="7"/>
  <c r="F93" i="7"/>
  <c r="G92" i="7"/>
  <c r="F92" i="7"/>
  <c r="G91" i="7"/>
  <c r="F91" i="7"/>
  <c r="G90" i="7"/>
  <c r="F90" i="7"/>
  <c r="G89" i="7"/>
  <c r="F89" i="7"/>
  <c r="G88" i="7"/>
  <c r="F88" i="7"/>
  <c r="G87" i="7"/>
  <c r="F87" i="7"/>
  <c r="G86" i="7"/>
  <c r="F86" i="7"/>
  <c r="G85" i="7"/>
  <c r="F85" i="7"/>
  <c r="G84" i="7"/>
  <c r="F84" i="7"/>
  <c r="G83" i="7"/>
  <c r="F83" i="7"/>
  <c r="G82" i="7"/>
  <c r="F82" i="7"/>
  <c r="G81" i="7"/>
  <c r="F81" i="7"/>
  <c r="G80" i="7"/>
  <c r="F80" i="7"/>
  <c r="G79" i="7"/>
  <c r="F79" i="7"/>
  <c r="G78" i="7"/>
  <c r="F78" i="7"/>
  <c r="G77" i="7"/>
  <c r="F77" i="7"/>
  <c r="G76" i="7"/>
  <c r="F76" i="7"/>
  <c r="G75" i="7"/>
  <c r="F75" i="7"/>
  <c r="G74" i="7"/>
  <c r="F74" i="7"/>
  <c r="G73" i="7"/>
  <c r="F73" i="7"/>
  <c r="G72" i="7"/>
  <c r="F72" i="7"/>
  <c r="G71" i="7"/>
  <c r="F71" i="7"/>
  <c r="G70" i="7"/>
  <c r="F70" i="7"/>
  <c r="G69" i="7"/>
  <c r="F69" i="7"/>
  <c r="G68" i="7"/>
  <c r="F68" i="7"/>
  <c r="G67" i="7"/>
  <c r="F67" i="7"/>
  <c r="G66" i="7"/>
  <c r="F66" i="7"/>
  <c r="G65" i="7"/>
  <c r="F65" i="7"/>
  <c r="G64" i="7"/>
  <c r="F64" i="7"/>
  <c r="G63" i="7"/>
  <c r="F63" i="7"/>
  <c r="G62" i="7"/>
  <c r="F62" i="7"/>
  <c r="G61" i="7"/>
  <c r="F61" i="7"/>
  <c r="G60" i="7"/>
  <c r="F60" i="7"/>
  <c r="G59" i="7"/>
  <c r="F59" i="7"/>
  <c r="G58" i="7"/>
  <c r="F58" i="7"/>
  <c r="G57" i="7"/>
  <c r="F57" i="7"/>
  <c r="G56" i="7"/>
  <c r="F56" i="7"/>
  <c r="G55" i="7"/>
  <c r="F55" i="7"/>
  <c r="G54" i="7"/>
  <c r="F54" i="7"/>
  <c r="G53" i="7"/>
  <c r="F53" i="7"/>
  <c r="G52" i="7"/>
  <c r="F52" i="7"/>
  <c r="G51" i="7"/>
  <c r="F51" i="7"/>
  <c r="G50" i="7"/>
  <c r="F50" i="7"/>
  <c r="G49" i="7"/>
  <c r="F49" i="7"/>
  <c r="G48" i="7"/>
  <c r="F48" i="7"/>
  <c r="G47" i="7"/>
  <c r="F47" i="7"/>
  <c r="G46" i="7"/>
  <c r="F46" i="7"/>
  <c r="G45" i="7"/>
  <c r="F45" i="7"/>
  <c r="G44" i="7"/>
  <c r="F44" i="7"/>
  <c r="G43" i="7"/>
  <c r="F43" i="7"/>
  <c r="G42" i="7"/>
  <c r="F42" i="7"/>
  <c r="G41" i="7"/>
  <c r="F41" i="7"/>
  <c r="G40" i="7"/>
  <c r="F40" i="7"/>
  <c r="G39" i="7"/>
  <c r="F39" i="7"/>
  <c r="G38" i="7"/>
  <c r="F38" i="7"/>
  <c r="G37" i="7"/>
  <c r="F37" i="7"/>
  <c r="G36" i="7"/>
  <c r="F36" i="7"/>
  <c r="G35" i="7"/>
  <c r="F35" i="7"/>
  <c r="G34" i="7"/>
  <c r="F34" i="7"/>
  <c r="G33" i="7"/>
  <c r="F33" i="7"/>
  <c r="G32" i="7"/>
  <c r="F32" i="7"/>
  <c r="G31" i="7"/>
  <c r="F31" i="7"/>
  <c r="G30" i="7"/>
  <c r="F30" i="7"/>
  <c r="G29" i="7"/>
  <c r="F29" i="7"/>
  <c r="G28" i="7"/>
  <c r="F28" i="7"/>
  <c r="G27" i="7"/>
  <c r="F27" i="7"/>
  <c r="G26" i="7"/>
  <c r="F26" i="7"/>
  <c r="G25" i="7"/>
  <c r="F25" i="7"/>
  <c r="G24" i="7"/>
  <c r="F24" i="7"/>
  <c r="G23" i="7"/>
  <c r="F23" i="7"/>
  <c r="G22" i="7"/>
  <c r="F22" i="7"/>
  <c r="G21" i="7"/>
  <c r="F21" i="7"/>
  <c r="G20" i="7"/>
  <c r="F20" i="7"/>
  <c r="G19" i="7"/>
  <c r="F19" i="7"/>
  <c r="G18" i="7"/>
  <c r="F18" i="7"/>
  <c r="G17" i="7"/>
  <c r="F17" i="7"/>
  <c r="G16" i="7"/>
  <c r="F16" i="7"/>
  <c r="G15" i="7"/>
  <c r="F15" i="7"/>
  <c r="G14" i="7"/>
  <c r="F14" i="7"/>
  <c r="G13" i="7"/>
  <c r="F13" i="7"/>
  <c r="G12" i="7"/>
  <c r="F12" i="7"/>
  <c r="G11" i="7"/>
  <c r="F11" i="7"/>
  <c r="G10" i="7"/>
  <c r="F10" i="7"/>
  <c r="G9" i="7"/>
  <c r="F9" i="7"/>
  <c r="G8" i="7"/>
  <c r="F8" i="7"/>
  <c r="G7" i="7"/>
  <c r="F7" i="7"/>
  <c r="G6" i="7"/>
  <c r="F6" i="7"/>
  <c r="G5" i="7"/>
  <c r="F5" i="7"/>
  <c r="E5" i="7"/>
  <c r="E1" i="7"/>
  <c r="E228" i="3"/>
  <c r="E227" i="3"/>
  <c r="E226" i="3"/>
  <c r="E225" i="3"/>
  <c r="E224" i="3"/>
  <c r="E223" i="3"/>
  <c r="E222" i="3"/>
  <c r="E221" i="3"/>
  <c r="E220" i="3"/>
  <c r="E219" i="3"/>
  <c r="E218" i="3"/>
  <c r="E217" i="3"/>
  <c r="E216" i="3"/>
  <c r="E215" i="3"/>
  <c r="E214" i="3"/>
  <c r="E213" i="3"/>
  <c r="E212" i="3"/>
  <c r="E211" i="3"/>
  <c r="E210" i="3"/>
  <c r="E209" i="3"/>
  <c r="E208" i="3"/>
  <c r="E207" i="3"/>
  <c r="E206" i="3"/>
  <c r="E205" i="3"/>
  <c r="E204" i="3"/>
  <c r="E203" i="3"/>
  <c r="E202" i="3"/>
  <c r="E201" i="3"/>
  <c r="E200" i="3"/>
  <c r="E199" i="3"/>
  <c r="E198" i="3"/>
  <c r="E197" i="3"/>
  <c r="E196" i="3"/>
  <c r="E195" i="3"/>
  <c r="E194" i="3"/>
  <c r="E193" i="3"/>
  <c r="E192" i="3"/>
  <c r="E191" i="3"/>
  <c r="E190" i="3"/>
  <c r="E189" i="3"/>
  <c r="E188" i="3"/>
  <c r="E187" i="3"/>
  <c r="E186" i="3"/>
  <c r="E185" i="3"/>
  <c r="E184" i="3"/>
  <c r="E183" i="3"/>
  <c r="E182" i="3"/>
  <c r="E181" i="3"/>
  <c r="E180" i="3"/>
  <c r="E179" i="3"/>
  <c r="E178" i="3"/>
  <c r="E177" i="3"/>
  <c r="E176" i="3"/>
  <c r="E175" i="3"/>
  <c r="E174" i="3"/>
  <c r="E173" i="3"/>
  <c r="E172" i="3"/>
  <c r="E171" i="3"/>
  <c r="E170" i="3"/>
  <c r="E169" i="3"/>
  <c r="E168" i="3"/>
  <c r="E167" i="3"/>
  <c r="E166" i="3"/>
  <c r="E165" i="3"/>
  <c r="E164" i="3"/>
  <c r="E163" i="3"/>
  <c r="E162" i="3"/>
  <c r="E161" i="3"/>
  <c r="E160" i="3"/>
  <c r="E159" i="3"/>
  <c r="E158" i="3"/>
  <c r="E157" i="3"/>
  <c r="E156" i="3"/>
  <c r="E155" i="3"/>
  <c r="E154" i="3"/>
  <c r="E153" i="3"/>
  <c r="E152" i="3"/>
  <c r="E151" i="3"/>
  <c r="E150" i="3"/>
  <c r="E149" i="3"/>
  <c r="E148" i="3"/>
  <c r="E147" i="3"/>
  <c r="E146" i="3"/>
  <c r="E145" i="3"/>
  <c r="E144" i="3"/>
  <c r="E143" i="3"/>
  <c r="E142" i="3"/>
  <c r="E141" i="3"/>
  <c r="E140" i="3"/>
  <c r="E139" i="3"/>
  <c r="E138" i="3"/>
  <c r="E137" i="3"/>
  <c r="E136" i="3"/>
  <c r="E135" i="3"/>
  <c r="E134" i="3"/>
  <c r="E133" i="3"/>
  <c r="E132" i="3"/>
  <c r="E131" i="3"/>
  <c r="E130" i="3"/>
  <c r="E129" i="3"/>
  <c r="E128" i="3"/>
  <c r="E127" i="3"/>
  <c r="E126" i="3"/>
  <c r="E125" i="3"/>
  <c r="E124" i="3"/>
  <c r="E123" i="3"/>
  <c r="E122" i="3"/>
  <c r="E121" i="3"/>
  <c r="E120" i="3"/>
  <c r="E119" i="3"/>
  <c r="E118" i="3"/>
  <c r="E117" i="3"/>
  <c r="E116" i="3"/>
  <c r="E115" i="3"/>
  <c r="E114" i="3"/>
  <c r="E113" i="3"/>
  <c r="E112" i="3"/>
  <c r="E111" i="3"/>
  <c r="E110" i="3"/>
  <c r="E109" i="3"/>
  <c r="E108" i="3"/>
  <c r="E107" i="3"/>
  <c r="E106" i="3"/>
  <c r="E105" i="3"/>
  <c r="E104" i="3"/>
  <c r="E103" i="3"/>
  <c r="E102" i="3"/>
  <c r="E101" i="3"/>
  <c r="E100" i="3"/>
  <c r="E99" i="3"/>
  <c r="E98" i="3"/>
  <c r="E97" i="3"/>
  <c r="E96" i="3"/>
  <c r="E95" i="3"/>
  <c r="E94" i="3"/>
  <c r="E93" i="3"/>
  <c r="E92" i="3"/>
  <c r="E91" i="3"/>
  <c r="E90" i="3"/>
  <c r="E89" i="3"/>
  <c r="E88" i="3"/>
  <c r="E87" i="3"/>
  <c r="E86" i="3"/>
  <c r="E85" i="3"/>
  <c r="E84" i="3"/>
  <c r="E83" i="3"/>
  <c r="E82" i="3"/>
  <c r="E81" i="3"/>
  <c r="E80" i="3"/>
  <c r="E79" i="3"/>
  <c r="E78" i="3"/>
  <c r="E77" i="3"/>
  <c r="E76" i="3"/>
  <c r="E75" i="3"/>
  <c r="E74" i="3"/>
  <c r="E73" i="3"/>
  <c r="E72" i="3"/>
  <c r="E71" i="3"/>
  <c r="E70" i="3"/>
  <c r="E69" i="3"/>
  <c r="E68" i="3"/>
  <c r="E67" i="3"/>
  <c r="E66" i="3"/>
  <c r="E65" i="3"/>
  <c r="E64" i="3"/>
  <c r="E63" i="3"/>
  <c r="E62" i="3"/>
  <c r="E61" i="3"/>
  <c r="E60" i="3"/>
  <c r="E59" i="3"/>
  <c r="E58" i="3"/>
  <c r="E57" i="3"/>
  <c r="E56" i="3"/>
  <c r="E55" i="3"/>
  <c r="E54" i="3"/>
  <c r="E53" i="3"/>
  <c r="E52" i="3"/>
  <c r="E51" i="3"/>
  <c r="E50" i="3"/>
  <c r="E49" i="3"/>
  <c r="E48" i="3"/>
  <c r="E47" i="3"/>
  <c r="E46" i="3"/>
  <c r="E45" i="3"/>
  <c r="E44" i="3"/>
  <c r="E43" i="3"/>
  <c r="E42" i="3"/>
  <c r="E41" i="3"/>
  <c r="E40" i="3"/>
  <c r="E39" i="3"/>
  <c r="E38" i="3"/>
  <c r="E37" i="3"/>
  <c r="E36" i="3"/>
  <c r="E35" i="3"/>
  <c r="E34" i="3"/>
  <c r="E33" i="3"/>
  <c r="E32" i="3"/>
  <c r="E31" i="3"/>
  <c r="E30" i="3"/>
  <c r="E29" i="3"/>
  <c r="E28" i="3"/>
  <c r="E27" i="3"/>
  <c r="E26" i="3"/>
  <c r="E25" i="3"/>
  <c r="E24" i="3"/>
  <c r="E23" i="3"/>
  <c r="E22" i="3"/>
  <c r="E21" i="3"/>
  <c r="E20" i="3"/>
  <c r="E19" i="3"/>
  <c r="E18" i="3"/>
  <c r="E17" i="3"/>
  <c r="E16" i="3"/>
  <c r="E15" i="3"/>
  <c r="E14" i="3"/>
  <c r="E13" i="3"/>
  <c r="E12" i="3"/>
  <c r="E11" i="3"/>
  <c r="E10" i="3"/>
  <c r="E9" i="3"/>
  <c r="E8" i="3"/>
  <c r="E7" i="3"/>
  <c r="E6" i="3"/>
  <c r="E5" i="3"/>
  <c r="E4" i="3"/>
  <c r="E3" i="3"/>
  <c r="E2" i="3"/>
  <c r="A1000" i="2"/>
  <c r="A999"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I1" authorId="0" shapeId="0" xr:uid="{00000000-0006-0000-0200-000003000000}">
      <text>
        <r>
          <rPr>
            <sz val="10"/>
            <color rgb="FF000000"/>
            <rFont val="Arial"/>
            <scheme val="minor"/>
          </rPr>
          <t>======
ID#AAABvFhVijM
    (2026-01-28 17:22:05)
Nombre del idioma desde el que se designa el nombre común de la especie</t>
        </r>
      </text>
    </comment>
    <comment ref="U1" authorId="0" shapeId="0" xr:uid="{00000000-0006-0000-0200-000001000000}">
      <text>
        <r>
          <rPr>
            <sz val="10"/>
            <color rgb="FF000000"/>
            <rFont val="Arial"/>
            <scheme val="minor"/>
          </rPr>
          <t>======
ID#AAABvFhVijk
    (2026-01-28 17:22:05)
frecuencia con la cual es utilizado el recurso biológico</t>
        </r>
      </text>
    </comment>
    <comment ref="V1" authorId="0" shapeId="0" xr:uid="{00000000-0006-0000-0200-000002000000}">
      <text>
        <r>
          <rPr>
            <sz val="10"/>
            <color rgb="FF000000"/>
            <rFont val="Arial"/>
            <scheme val="minor"/>
          </rPr>
          <t>======
ID#AAABvFhVikY
    (2026-01-28 17:22:05)
Esfuerzo según técnica (captura, cosecha, corte) y  tiempo y/o número de procesos requeridos en la práctica de uso. Indicar la unidad de estimación Km, horas, días, meses, etc. 
----
Variable que se puede calcular de los datos de cantidad obtenida, unidad de medida, tiempo de obtención, época de obtención y frecuencia de uso
	-Diego Randolf Perez Rincon</t>
        </r>
      </text>
    </comment>
    <comment ref="AB1" authorId="0" shapeId="0" xr:uid="{00000000-0006-0000-0200-000004000000}">
      <text>
        <r>
          <rPr>
            <sz val="10"/>
            <color rgb="FF000000"/>
            <rFont val="Arial"/>
            <scheme val="minor"/>
          </rPr>
          <t>======
ID#AAABvFhVihs
    (2026-01-28 17:22:05)
Derivados generados luego de aprovechar y/o transformar el recursos biológico</t>
        </r>
      </text>
    </comment>
    <comment ref="AD1" authorId="0" shapeId="0" xr:uid="{00000000-0006-0000-0200-000005000000}">
      <text>
        <r>
          <rPr>
            <sz val="10"/>
            <color rgb="FF000000"/>
            <rFont val="Arial"/>
            <scheme val="minor"/>
          </rPr>
          <t>======
ID#AAABvFhVijQ
    (2026-01-28 17:22:05)
Impactos (positivos o negativos) derivados de la práctica de uso</t>
        </r>
      </text>
    </comment>
  </commentList>
  <extLst>
    <ext xmlns:r="http://schemas.openxmlformats.org/officeDocument/2006/relationships" uri="GoogleSheetsCustomDataVersion2">
      <go:sheetsCustomData xmlns:go="http://customooxmlschemas.google.com/" r:id="rId1" roundtripDataSignature="AMtx7mjN3Stmn/5gXH/gHnogukVvkytIIQ=="/>
    </ext>
  </extL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400-000002000000}">
      <text>
        <r>
          <rPr>
            <sz val="10"/>
            <color rgb="FF000000"/>
            <rFont val="Arial"/>
            <scheme val="minor"/>
          </rPr>
          <t>======
ID#AAABvFhVihE
    (2026-01-28 17:22:05)
Identificador único de la práctica de uso. Debe coincidir con el ID de la tabla práctica de uso. Aquí se puede</t>
        </r>
      </text>
    </comment>
    <comment ref="O1" authorId="0" shapeId="0" xr:uid="{00000000-0006-0000-0400-000004000000}">
      <text>
        <r>
          <rPr>
            <sz val="10"/>
            <color rgb="FF000000"/>
            <rFont val="Arial"/>
            <scheme val="minor"/>
          </rPr>
          <t>======
ID#AAABvFhViis
    (2026-01-28 17:22:05)
Nombre del investigador(a) que ingresa los datos</t>
        </r>
      </text>
    </comment>
    <comment ref="P1" authorId="0" shapeId="0" xr:uid="{00000000-0006-0000-0400-000005000000}">
      <text>
        <r>
          <rPr>
            <sz val="10"/>
            <color rgb="FF000000"/>
            <rFont val="Arial"/>
            <scheme val="minor"/>
          </rPr>
          <t>======
ID#AAABvFhVijA
    (2026-01-28 17:22:05)
Fecha (DD-MM-AAA) en la que fueron registrados los datos</t>
        </r>
      </text>
    </comment>
    <comment ref="Q1" authorId="0" shapeId="0" xr:uid="{00000000-0006-0000-0400-000001000000}">
      <text>
        <r>
          <rPr>
            <sz val="10"/>
            <color rgb="FF000000"/>
            <rFont val="Arial"/>
            <scheme val="minor"/>
          </rPr>
          <t>======
ID#AAABvFhVihg
    (2026-01-28 17:22:05)
Correo electrónico de la persona que ingresa los datos</t>
        </r>
      </text>
    </comment>
    <comment ref="R1" authorId="0" shapeId="0" xr:uid="{00000000-0006-0000-0400-000003000000}">
      <text>
        <r>
          <rPr>
            <sz val="10"/>
            <color rgb="FF000000"/>
            <rFont val="Arial"/>
            <scheme val="minor"/>
          </rPr>
          <t>======
ID#AAABvFhVii0
    (2026-01-28 17:22:05)
Referencia bibliografica de la fuente que sirvió de información para obtener los datos. Puede ser un documento, un repositorio o un instrumento de trabajo aplicado en campo. Usar norma APA</t>
        </r>
      </text>
    </comment>
  </commentList>
  <extLst>
    <ext xmlns:r="http://schemas.openxmlformats.org/officeDocument/2006/relationships" uri="GoogleSheetsCustomDataVersion2">
      <go:sheetsCustomData xmlns:go="http://customooxmlschemas.google.com/" r:id="rId1" roundtripDataSignature="AMtx7minaKVybxHGfI0uO8foWEPKuO8CGw=="/>
    </ext>
  </extL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500-000001000000}">
      <text>
        <r>
          <rPr>
            <sz val="10"/>
            <color rgb="FF000000"/>
            <rFont val="Arial"/>
            <scheme val="minor"/>
          </rPr>
          <t>======
ID#AAABvFhVikM
    (2026-01-28 17:22:05)
Identificador único de la práctica de uso. Debe coincidir con el ID asignado en la tala práctica de uso</t>
        </r>
      </text>
    </comment>
    <comment ref="B1" authorId="0" shapeId="0" xr:uid="{00000000-0006-0000-0500-000002000000}">
      <text>
        <r>
          <rPr>
            <sz val="10"/>
            <color rgb="FF000000"/>
            <rFont val="Arial"/>
            <scheme val="minor"/>
          </rPr>
          <t>======
ID#AAABvFhVijo
    (2026-01-28 17:22:05)
Clasificación general del producto que se genera a partir de la práctica de uso.</t>
        </r>
      </text>
    </comment>
    <comment ref="C1" authorId="0" shapeId="0" xr:uid="{00000000-0006-0000-0500-000003000000}">
      <text>
        <r>
          <rPr>
            <sz val="10"/>
            <color rgb="FF000000"/>
            <rFont val="Arial"/>
            <scheme val="minor"/>
          </rPr>
          <t>======
ID#AAABvFhViiw
    (2026-01-28 17:22:05)
Descripción de las características del producto</t>
        </r>
      </text>
    </comment>
    <comment ref="D1" authorId="0" shapeId="0" xr:uid="{00000000-0006-0000-0500-000004000000}">
      <text>
        <r>
          <rPr>
            <sz val="10"/>
            <color rgb="FF000000"/>
            <rFont val="Arial"/>
            <scheme val="minor"/>
          </rPr>
          <t>======
ID#AAABvFhViic
    (2026-01-28 17:22:05)
Destinación del producto</t>
        </r>
      </text>
    </comment>
    <comment ref="F1" authorId="0" shapeId="0" xr:uid="{00000000-0006-0000-0500-000005000000}">
      <text>
        <r>
          <rPr>
            <sz val="10"/>
            <color rgb="FF000000"/>
            <rFont val="Arial"/>
            <scheme val="minor"/>
          </rPr>
          <t>======
ID#AAABvFhVihI
    (2026-01-28 17:22:05)
Aplicación práctica del producto final: Infusión, tópico, inhalación, riego, etc.</t>
        </r>
      </text>
    </comment>
    <comment ref="K1" authorId="0" shapeId="0" xr:uid="{00000000-0006-0000-0500-000006000000}">
      <text>
        <r>
          <rPr>
            <sz val="10"/>
            <color rgb="FF000000"/>
            <rFont val="Arial"/>
            <scheme val="minor"/>
          </rPr>
          <t>======
ID#AAABvFhViiU
    (2026-01-28 17:22:05)
Costo unitario del producto</t>
        </r>
      </text>
    </comment>
    <comment ref="L1" authorId="0" shapeId="0" xr:uid="{00000000-0006-0000-0500-000007000000}">
      <text>
        <r>
          <rPr>
            <sz val="10"/>
            <color rgb="FF000000"/>
            <rFont val="Arial"/>
            <scheme val="minor"/>
          </rPr>
          <t>======
ID#AAABvFhViiQ
    (2026-01-28 17:22:05)
Normas, sellos y/o estándares implementados para generar el producto</t>
        </r>
      </text>
    </comment>
    <comment ref="M1" authorId="0" shapeId="0" xr:uid="{00000000-0006-0000-0500-000008000000}">
      <text>
        <r>
          <rPr>
            <sz val="10"/>
            <color rgb="FF000000"/>
            <rFont val="Arial"/>
            <scheme val="minor"/>
          </rPr>
          <t>======
ID#AAABvFhViko
    (2026-01-28 17:22:05)
Nombre del investigador(a) que ingresa los datos</t>
        </r>
      </text>
    </comment>
    <comment ref="N1" authorId="0" shapeId="0" xr:uid="{00000000-0006-0000-0500-000009000000}">
      <text>
        <r>
          <rPr>
            <sz val="10"/>
            <color rgb="FF000000"/>
            <rFont val="Arial"/>
            <scheme val="minor"/>
          </rPr>
          <t>======
ID#AAABvFhVikI
    (2026-01-28 17:22:05)
Fecha (DD-MM-AAA) en la que fueron registrados los datos</t>
        </r>
      </text>
    </comment>
    <comment ref="O1" authorId="0" shapeId="0" xr:uid="{00000000-0006-0000-0500-00000A000000}">
      <text>
        <r>
          <rPr>
            <sz val="10"/>
            <color rgb="FF000000"/>
            <rFont val="Arial"/>
            <scheme val="minor"/>
          </rPr>
          <t>======
ID#AAABvFhVijI
    (2026-01-28 17:22:05)
Correo electrónico de la persona que ingresa los datos</t>
        </r>
      </text>
    </comment>
    <comment ref="P1" authorId="0" shapeId="0" xr:uid="{00000000-0006-0000-0500-00000B000000}">
      <text>
        <r>
          <rPr>
            <sz val="10"/>
            <color rgb="FF000000"/>
            <rFont val="Arial"/>
            <scheme val="minor"/>
          </rPr>
          <t>======
ID#AAABvFhVijw
    (2026-01-28 17:22:05)
Referencia bibliografica de la fuente que sirvió de información para obtener los datos. Puede ser un documento, un repositorio o un instrumento de trabajo aplicado en campo. Usar norma APA</t>
        </r>
      </text>
    </comment>
  </commentList>
  <extLst>
    <ext xmlns:r="http://schemas.openxmlformats.org/officeDocument/2006/relationships" uri="GoogleSheetsCustomDataVersion2">
      <go:sheetsCustomData xmlns:go="http://customooxmlschemas.google.com/" r:id="rId1" roundtripDataSignature="AMtx7mhmMK64151oP7NUsv8HZwKIrCkXPQ=="/>
    </ext>
  </extLst>
</comments>
</file>

<file path=xl/sharedStrings.xml><?xml version="1.0" encoding="utf-8"?>
<sst xmlns="http://schemas.openxmlformats.org/spreadsheetml/2006/main" count="8775" uniqueCount="3564">
  <si>
    <t>Plantilla de sistematización: Usos y beneficios</t>
  </si>
  <si>
    <t>Instituto de Investigación de Recursos Biológicos Alexander von Humboldt</t>
  </si>
  <si>
    <t>Instrumento orientado a la identificación de usos y beneficios relacionados con la biodiversidad en Colombia. Esta base de datos emplea variables estandarizadas para identificar, clasificar, caracterizar y localizar usuarios, prácticas de uso, especies, espacialidades y productos</t>
  </si>
  <si>
    <t xml:space="preserve">El uso de este instrumento es exclusivamente interno para el IAvH por lo que se recomienda no compartir con personas ajenas al instituto. De acuerdo a lo anterior, existen tres roles de usuario:  </t>
  </si>
  <si>
    <t>- Líder de línea:</t>
  </si>
  <si>
    <t>puede crear, editar, actualizar y consultar registros en la base de datos  central sin restricciones de acceso a contenido</t>
  </si>
  <si>
    <t xml:space="preserve">- Compilador: </t>
  </si>
  <si>
    <t>puede crear registros nuevos en la plantilla de sistematización estándar (permiso otorgado desde  cada equipo de trabajo), y consultar registros antiguos en la base de datos central sin restricción de contenidos</t>
  </si>
  <si>
    <t>- Usuario Interno:</t>
  </si>
  <si>
    <t>solo puede consultar una vista de la base de datos central anonimizada. Este usuario no tiene acceso a los datos de contactos, ni tampoco a contenidos considerados sensibles</t>
  </si>
  <si>
    <t>- Administrador I2D</t>
  </si>
  <si>
    <t>puede crear, editar, actualizar y consultar registros en la base de datos  central 	sin restricciones de acceso a contenido. Adicionalmente puede editar toda la estructura de la base de datos central, otorgar permisos de acceso y restringir contenidos cuando sea necesario</t>
  </si>
  <si>
    <t>Tablas de sistematización:</t>
  </si>
  <si>
    <t>Usuario</t>
  </si>
  <si>
    <t xml:space="preserve">Orienta la caracterización de personas o instituciones directamente relacionadas con el uso </t>
  </si>
  <si>
    <t xml:space="preserve">Práctica de uso </t>
  </si>
  <si>
    <t xml:space="preserve">Facilita la identificación de variables relacionadas con el uso considerando que un usuario puede desempeñar varias prácticas de uso.  </t>
  </si>
  <si>
    <t>Especie</t>
  </si>
  <si>
    <t xml:space="preserve">Permite listar las especies asociadas a la práctica del uso </t>
  </si>
  <si>
    <t>Espacialidad</t>
  </si>
  <si>
    <t>Permite referenciar unidades político-administrativas, entre otras unidades espaciales, en las cuales inciden las acciones de un actor según su contexto. Para cada acción, es posible registrar una o más unidades espaciales</t>
  </si>
  <si>
    <t>Producto</t>
  </si>
  <si>
    <t xml:space="preserve">Refiere variables que decriben el producto asociado a la práctica de uso </t>
  </si>
  <si>
    <t>Convenciones de diligenciamiento:</t>
  </si>
  <si>
    <t xml:space="preserve">Variables ID              </t>
  </si>
  <si>
    <t xml:space="preserve">Sirven de identificador único para diferenciar los registros contenidos en una misma tabla, y para vincular registros que guardan relación entre tablas diferentes. </t>
  </si>
  <si>
    <t xml:space="preserve">Son variables con valores controlados (categorías preconfiguradas), entre las cuales debe elegirse una. Si el valor requerido no está listado (por ejemplo el nombre de un actor ), es posible ingresar el nuevo valor, con lo cual, la celda quedará marcada con una flecha roja (esquina superior derecha) sin que esto indique un error. </t>
  </si>
  <si>
    <t>Encabezado de variable en color rojo</t>
  </si>
  <si>
    <t xml:space="preserve">Indica que la variable tiene elementos sensibles o confidenciales que comprometan la seguridad o los derechos de una persona u organización. Es un atributo que solo estará disponible para los administradores de la base de datos. </t>
  </si>
  <si>
    <t>Encabezado de variable en cursiva</t>
  </si>
  <si>
    <t>Indica que el diligenciamiento de la variable es opcional</t>
  </si>
  <si>
    <t>Metadato</t>
  </si>
  <si>
    <t xml:space="preserve">Las variables con encabezado de color gris y texto blanco sirven para documentar el metadato del diligenciamiento. Es decir, para referenciar el contexto administrativo en el cual se compilan los datos </t>
  </si>
  <si>
    <t>Pestaña Referencias</t>
  </si>
  <si>
    <t xml:space="preserve">Contiene categorías preestablecidas para diligenciar algunas variables de las tablas de datos que funcionan como listas desplegables. Estas listas solo las puede modificar el administrador de la base de datos. </t>
  </si>
  <si>
    <t>Pestaña Diccionario</t>
  </si>
  <si>
    <t>Definen cada una de las variables contenidas en las tablas de datos e indica si tienen valores controlados. Es una guía para el diligenciamiento.</t>
  </si>
  <si>
    <t>Cómo citar este recurso:</t>
  </si>
  <si>
    <t xml:space="preserve">Declaración de responsabilidad: </t>
  </si>
  <si>
    <t>El usuario de la base de datos se compromete a: 1. Utilizar la información únicamente para los fines autorizados. 2. Respetar y hacer valer frente a terceros los derechos de propiedad de los autores. 3. No distribuir la información a terceros sin previa autorización de los autores. 4. Dar créditos a los autores en todos los productos derivados del uso de la información. 5. No realizar modificaciones, ni incluir logos - símbolos o publicidad diferente a aquella que permita identificar la fuente de la información entregada. 6. No comercializar. 7. Responder por la correcta utilización de la información. 8. Asumir la responsabilidad del uso del software empleado en los análisis y de los resultados obtenidos. 9. Entregar al Instituto Humboldt copias digitales de los productos que resulten del mapeo de actores (cuando aplique). 10. No ceder las obligaciones adquiridas</t>
  </si>
  <si>
    <t>ID Usuario</t>
  </si>
  <si>
    <t>Nombre Usuario</t>
  </si>
  <si>
    <t>Edad</t>
  </si>
  <si>
    <t>Género</t>
  </si>
  <si>
    <t>Etnia</t>
  </si>
  <si>
    <t>Condición de Población</t>
  </si>
  <si>
    <t>Actividad principal</t>
  </si>
  <si>
    <t>Actividades productivas</t>
  </si>
  <si>
    <t>Tiempo de permanencia en la zona</t>
  </si>
  <si>
    <t>Ubicación Departamental</t>
  </si>
  <si>
    <t>Ubicación Municipal</t>
  </si>
  <si>
    <t>Ubicación Veredal</t>
  </si>
  <si>
    <t>Otros sitio especifico</t>
  </si>
  <si>
    <t>Latitud decimal</t>
  </si>
  <si>
    <t>Longitud decimal</t>
  </si>
  <si>
    <t>Sistema de referencia espacial</t>
  </si>
  <si>
    <t>Teléfono</t>
  </si>
  <si>
    <t>Correo electrónico</t>
  </si>
  <si>
    <t>Persona compiladora</t>
  </si>
  <si>
    <t>Fecha compilación</t>
  </si>
  <si>
    <t>Correo compilador</t>
  </si>
  <si>
    <t>Fuente de información</t>
  </si>
  <si>
    <t>Hombre</t>
  </si>
  <si>
    <t>Campesina (o)</t>
  </si>
  <si>
    <t>Agricultura | Ganadería</t>
  </si>
  <si>
    <t>24 años</t>
  </si>
  <si>
    <t>50 META</t>
  </si>
  <si>
    <t>50350 LA MACARENA</t>
  </si>
  <si>
    <t>uricancer24@gmail.com</t>
  </si>
  <si>
    <t>Laura I. Castellanos</t>
  </si>
  <si>
    <t>lcastellanos@humboldt.org.co</t>
  </si>
  <si>
    <t>Mujer</t>
  </si>
  <si>
    <t>Ganadería</t>
  </si>
  <si>
    <t>20 años</t>
  </si>
  <si>
    <t>Nohema2705@gmail.com</t>
  </si>
  <si>
    <t>Agricultura | Ganadería | Pesca</t>
  </si>
  <si>
    <t>8 meses</t>
  </si>
  <si>
    <t>Agricultura | Madera | Pesca</t>
  </si>
  <si>
    <t>54 años</t>
  </si>
  <si>
    <t>7 años</t>
  </si>
  <si>
    <t>45 años</t>
  </si>
  <si>
    <t>Agricultura |</t>
  </si>
  <si>
    <t>50 años</t>
  </si>
  <si>
    <t>42 años</t>
  </si>
  <si>
    <t>25 años</t>
  </si>
  <si>
    <t>carrerosuarezjhonfredi_79@gmail.com</t>
  </si>
  <si>
    <t>14 años</t>
  </si>
  <si>
    <t>19 años</t>
  </si>
  <si>
    <t>Marialopez030391@gmail.com</t>
  </si>
  <si>
    <t>15 años</t>
  </si>
  <si>
    <t>angelramirezcaviedes1988@gmail.com</t>
  </si>
  <si>
    <t>32 años</t>
  </si>
  <si>
    <t>40 años</t>
  </si>
  <si>
    <t>3 años</t>
  </si>
  <si>
    <t>36 años</t>
  </si>
  <si>
    <t>ID Practica Uso</t>
  </si>
  <si>
    <t>Fecha práctica de uso</t>
  </si>
  <si>
    <t>ID Especie</t>
  </si>
  <si>
    <t>Grupo Biológico</t>
  </si>
  <si>
    <t>Nombre Científico</t>
  </si>
  <si>
    <t>Nombre Común</t>
  </si>
  <si>
    <t>Idioma</t>
  </si>
  <si>
    <t>Categorías de uso</t>
  </si>
  <si>
    <t>Subcategoría de uso</t>
  </si>
  <si>
    <t>Descripción del uso</t>
  </si>
  <si>
    <t>Partes de uso</t>
  </si>
  <si>
    <t>Etapa de desarrollo</t>
  </si>
  <si>
    <t>Práctica de obtención</t>
  </si>
  <si>
    <t>Técnicas y/o instrumentos de obtención</t>
  </si>
  <si>
    <t>Cantidad obtenida</t>
  </si>
  <si>
    <t>Unidad medida</t>
  </si>
  <si>
    <t>Tiempo de obtención</t>
  </si>
  <si>
    <t>Época de obtención</t>
  </si>
  <si>
    <t>Frecuencia de uso</t>
  </si>
  <si>
    <t>Esfuerzo de uso</t>
  </si>
  <si>
    <t>Ecosistema de origen</t>
  </si>
  <si>
    <t>Espacio de uso (Macrohábitat)</t>
  </si>
  <si>
    <t>Operación de transformación</t>
  </si>
  <si>
    <t>Descripción de la transformación</t>
  </si>
  <si>
    <t>Equipos de transformación</t>
  </si>
  <si>
    <t>Residuos y/o subproductos</t>
  </si>
  <si>
    <t>Distribución de beneficios</t>
  </si>
  <si>
    <t>Impactos</t>
  </si>
  <si>
    <t>Valor económico</t>
  </si>
  <si>
    <t>Plantas</t>
  </si>
  <si>
    <t>Hieronyma oblonga</t>
  </si>
  <si>
    <t>Palo colorado | candelo</t>
  </si>
  <si>
    <t>Combustible</t>
  </si>
  <si>
    <t>Leña</t>
  </si>
  <si>
    <t>Combustible o leña</t>
  </si>
  <si>
    <t>Tallo</t>
  </si>
  <si>
    <t>Juvenil</t>
  </si>
  <si>
    <t>Tala</t>
  </si>
  <si>
    <t>Machete</t>
  </si>
  <si>
    <t>carretilladas</t>
  </si>
  <si>
    <t>Potrero</t>
  </si>
  <si>
    <t>trozos</t>
  </si>
  <si>
    <t>Cortar la leña
La Llevó para la casa
La utilizo para cocinar</t>
  </si>
  <si>
    <t>Familia 5</t>
  </si>
  <si>
    <t>Laura I. Castellanos | Kreyssig Abaunsa</t>
  </si>
  <si>
    <t>Monitoreo comunitario Vereda La Esperanza</t>
  </si>
  <si>
    <t>Cecropia sciadophylla</t>
  </si>
  <si>
    <t>Guarumo | yarumo</t>
  </si>
  <si>
    <t>Español</t>
  </si>
  <si>
    <t>Medicinal</t>
  </si>
  <si>
    <t>Para el resfriado de los bebés</t>
  </si>
  <si>
    <t>Hojas</t>
  </si>
  <si>
    <t>Adulto</t>
  </si>
  <si>
    <t>Recolección</t>
  </si>
  <si>
    <t>A mano</t>
  </si>
  <si>
    <t>hojas secas</t>
  </si>
  <si>
    <t>soleado</t>
  </si>
  <si>
    <t>Bosque</t>
  </si>
  <si>
    <t>quemadas</t>
  </si>
  <si>
    <t>Buscar el árbol
Recolectar las hojas
Quemarlas
Ahumar la ropa del bebé
Vestir el bebé con la ropa ahumada</t>
  </si>
  <si>
    <t>Familia 1</t>
  </si>
  <si>
    <t>Tithonia diversifolia</t>
  </si>
  <si>
    <t>Botón de oro</t>
  </si>
  <si>
    <t>Alimento para animales</t>
  </si>
  <si>
    <t>Tiene vitaminas</t>
  </si>
  <si>
    <t>Ramas</t>
  </si>
  <si>
    <t>Poda</t>
  </si>
  <si>
    <t>brazadas</t>
  </si>
  <si>
    <t>nublado</t>
  </si>
  <si>
    <t>Cortar atrás ramas
Llevar al galpón
Amarrar en moños
Colgar los moños
Las pollas picotean y se la comen toda
Machete</t>
  </si>
  <si>
    <t>Familia 2</t>
  </si>
  <si>
    <t>Peces</t>
  </si>
  <si>
    <t>Pseudoplatystoma orinocoense</t>
  </si>
  <si>
    <t>Bagre rayado</t>
  </si>
  <si>
    <t>Alimento para humanos</t>
  </si>
  <si>
    <t>Porque aporta proteínas</t>
  </si>
  <si>
    <t>Todo el animal</t>
  </si>
  <si>
    <t>Pesca</t>
  </si>
  <si>
    <t>Redes</t>
  </si>
  <si>
    <t>kilos</t>
  </si>
  <si>
    <t>lluvia moderada</t>
  </si>
  <si>
    <t>Caño</t>
  </si>
  <si>
    <t>Se aso en guiso con yucas y platanos | frito</t>
  </si>
  <si>
    <t>Sacarlo del anzuelo
Lavarlo sacarle las vísceras
Despiezarlo y listo para cocinar</t>
  </si>
  <si>
    <t>Familia 4 | Vecinos 1</t>
  </si>
  <si>
    <t>Spondias mombin</t>
  </si>
  <si>
    <t>Hobo</t>
  </si>
  <si>
    <t>Cultural</t>
  </si>
  <si>
    <t>Artesanal</t>
  </si>
  <si>
    <t>La corteza seca del jobo se utiliza para elaborar objetos decorativos y manualidades</t>
  </si>
  <si>
    <t>Corteza</t>
  </si>
  <si>
    <t>gramos</t>
  </si>
  <si>
    <t>Recoleta de cortezas
Se dejó q se secara
Se empezó a trabajar por medio del bisturí
Se lijó</t>
  </si>
  <si>
    <t>Lippia alba</t>
  </si>
  <si>
    <t>Pronto alivio</t>
  </si>
  <si>
    <t>dolores de espalda, coyunturas</t>
  </si>
  <si>
    <t>puñados</t>
  </si>
  <si>
    <t>mañana</t>
  </si>
  <si>
    <t>cocinar</t>
  </si>
  <si>
    <t>Buscar la planta
Quitar cuidadosamente las hojas que necesito
Lavarlas bien
Cocinarlas por 5 minutos
Dejar reposar y ahí si dársela a tomar a mi hija.</t>
  </si>
  <si>
    <t>Familia 4</t>
  </si>
  <si>
    <t>Piper aduncum</t>
  </si>
  <si>
    <t>Cordoncillo</t>
  </si>
  <si>
    <t>Dolor articulaciones</t>
  </si>
  <si>
    <t>Hojas | Ramas</t>
  </si>
  <si>
    <t>Rastrojo</t>
  </si>
  <si>
    <t>machacar</t>
  </si>
  <si>
    <t>Buscar la planta en el rastrojo
Arrancar la planta,solo lo necesario
Machacarlas en una bolsa recipiente
Colocar el emplasto en la parte del dolor
Y así dejar actuar por un buen rato,para q alivie el dolor</t>
  </si>
  <si>
    <t>piedra</t>
  </si>
  <si>
    <t>Colossoma macropomum</t>
  </si>
  <si>
    <t>Cachama</t>
  </si>
  <si>
    <t>Es una fuente de alimentación</t>
  </si>
  <si>
    <t>No reportado</t>
  </si>
  <si>
    <t>Represa</t>
  </si>
  <si>
    <t>Sudados | fritos | asados</t>
  </si>
  <si>
    <t>Comerlo con la atarraya
Matarlo
Escanearlo y sacarle las vísceras
Rallarlo saldarlo
Prepararlo</t>
  </si>
  <si>
    <t>Para quitar el hielo en los niños</t>
  </si>
  <si>
    <t>hojas</t>
  </si>
  <si>
    <t>Se encontrò el macano
Se taló 
Se cortó en pedazos
Se llevó para construir</t>
  </si>
  <si>
    <t>noche</t>
  </si>
  <si>
    <t>Huerta o cultivo</t>
  </si>
  <si>
    <t>Mis padres lo pescaban</t>
  </si>
  <si>
    <t>Anzuelos</t>
  </si>
  <si>
    <t>unidades</t>
  </si>
  <si>
    <t>Sudado | frito</t>
  </si>
  <si>
    <t>Alistar anzuelos y carnadas
Pescar el pez
Lavar y descifrar el pez y salarlo
Lo prepare sudado
Y por último fue consumido</t>
  </si>
  <si>
    <t>Coleus amboinicus</t>
  </si>
  <si>
    <t>Orégano</t>
  </si>
  <si>
    <t>Sirve para el dolor de estómago</t>
  </si>
  <si>
    <t>trozeado</t>
  </si>
  <si>
    <t>Porque sirve para el dolor de estómago y dolor de oído, dolores de espalda, coyunturas</t>
  </si>
  <si>
    <t>tarde</t>
  </si>
  <si>
    <t>bosque | huerta</t>
  </si>
  <si>
    <t>Cymbopogon citratus</t>
  </si>
  <si>
    <t>Caña limonaria</t>
  </si>
  <si>
    <t xml:space="preserve">bosque | huerta </t>
  </si>
  <si>
    <t>Buscar la planta, Quitar cuidadosamente las hojas que necesito, Lavarlas bien Cocinarlas por 5 minutos, Dejar reposar y ahí si dársela a tomar a mi hija.</t>
  </si>
  <si>
    <t>Terminalia amazonia</t>
  </si>
  <si>
    <t>Macano</t>
  </si>
  <si>
    <t>Material</t>
  </si>
  <si>
    <t>Madera</t>
  </si>
  <si>
    <t>Buena resistencia para construcción</t>
  </si>
  <si>
    <t>Motosierra</t>
  </si>
  <si>
    <t>toneladas</t>
  </si>
  <si>
    <t>La utilizo para cocinar</t>
  </si>
  <si>
    <t>La Llevo para la casa</t>
  </si>
  <si>
    <t>Inga sp. 1</t>
  </si>
  <si>
    <t>Guamo</t>
  </si>
  <si>
    <t>Palo colorado</t>
  </si>
  <si>
    <t>Cortar la leña
Llevarla para la casa
Utilizarla para cocinar</t>
  </si>
  <si>
    <t>Tallo, Ramas</t>
  </si>
  <si>
    <t>en trozos</t>
  </si>
  <si>
    <t>Cortar la leña
Cargar la leña
Llevarla a la casa
Utilizarla</t>
  </si>
  <si>
    <t>Aloe vera</t>
  </si>
  <si>
    <t>Sábila</t>
  </si>
  <si>
    <t>Porque desinflama, cicatriza.</t>
  </si>
  <si>
    <t>Una penca 250</t>
  </si>
  <si>
    <t>Patio</t>
  </si>
  <si>
    <t>trozos
Le quito las orillas para que se desmanche
Al otro día se retira la cáscara
Pico en trozos los cristales
La consumo</t>
  </si>
  <si>
    <t>Quemadas</t>
  </si>
  <si>
    <t>Encontrar el árbol
Recolectar las hojas
Quemarlas
Ahumar la ropa del bebé
Vestir el bebé con la ropa ahumada</t>
  </si>
  <si>
    <t>Famiia 1</t>
  </si>
  <si>
    <t>Mamíferos</t>
  </si>
  <si>
    <t>Odocoileus cariacou</t>
  </si>
  <si>
    <t>Venado</t>
  </si>
  <si>
    <t>Es rica y aporta energía y nutrientes</t>
  </si>
  <si>
    <t>Cuerpo</t>
  </si>
  <si>
    <t>Caza</t>
  </si>
  <si>
    <t>Escopeta</t>
  </si>
  <si>
    <t>Sudada | frita</t>
  </si>
  <si>
    <t>Se cazó el venado
Se peló y desviscerado
Se cocinó
Se consumió
Se preservó</t>
  </si>
  <si>
    <t>Garcinia madruno</t>
  </si>
  <si>
    <t>Madroño</t>
  </si>
  <si>
    <t>La fruta es nutritiva, tiene un sabor agradable al gusto</t>
  </si>
  <si>
    <t>Frutos</t>
  </si>
  <si>
    <t>Fructificación</t>
  </si>
  <si>
    <t>Tijeras de poda</t>
  </si>
  <si>
    <t>No requiere preparación</t>
  </si>
  <si>
    <t>Familia 5 | Amigos y conocidos 3</t>
  </si>
  <si>
    <t>Cortar la leña
Cargar la leña
Llevarla a la casa</t>
  </si>
  <si>
    <t>Toda la planta</t>
  </si>
  <si>
    <t>quemarlo</t>
  </si>
  <si>
    <t>Que el palo esté seco
Cortalo
Cárgalo
Rajar la leña
Y quemarla</t>
  </si>
  <si>
    <t>Jacaranda obtusifolia</t>
  </si>
  <si>
    <t>Gualanday</t>
  </si>
  <si>
    <t>sirve para cicatrizar, curar heridas y golpes</t>
  </si>
  <si>
    <t>Troce las hojas con la mano
Lave
Cociné
Colar (separar el líquido de sólido)
Bañar la herida</t>
  </si>
  <si>
    <t>Que el palo esté seco
Córtalo
Cárgalo
Rajar la leña
Y quemarla</t>
  </si>
  <si>
    <t>Yaman candelo</t>
  </si>
  <si>
    <t/>
  </si>
  <si>
    <t>Gliricidia sepium</t>
  </si>
  <si>
    <t>Mata ratón</t>
  </si>
  <si>
    <t>Para la peste de los pollos</t>
  </si>
  <si>
    <t>triturada</t>
  </si>
  <si>
    <t>Se busca el árbol
Se cojen las ramas
Se lavan
Se trituran
Se le echan en el corral alas pollos</t>
  </si>
  <si>
    <t>Nos aporta energía y nutrientes</t>
  </si>
  <si>
    <t>En sudado</t>
  </si>
  <si>
    <t>Cogerla
Prepararla
Cocinarla
Consumirla con la familia
Preservarla la otra parte</t>
  </si>
  <si>
    <t>cuchillo</t>
  </si>
  <si>
    <t>Comida tradicional de la región</t>
  </si>
  <si>
    <t>libras</t>
  </si>
  <si>
    <t>Sudada</t>
  </si>
  <si>
    <t>Preparar carnada
Lanzar anzuelo
Esperar a que pique
Sacar pescado
Escanear y sacar agallas</t>
  </si>
  <si>
    <t>Familia 3 | Vecinos 1</t>
  </si>
  <si>
    <t>Dicotyles tajacu</t>
  </si>
  <si>
    <t>Saino</t>
  </si>
  <si>
    <t>Porque es muy rico nutrición</t>
  </si>
  <si>
    <t>Sudado | asado | frito</t>
  </si>
  <si>
    <t>Matarlo
Pelarlo
Destripar
Salarlo o condimentos</t>
  </si>
  <si>
    <t>Cuchillos</t>
  </si>
  <si>
    <t>Urera caracasana</t>
  </si>
  <si>
    <t>Ortigo</t>
  </si>
  <si>
    <t>Antialergias</t>
  </si>
  <si>
    <t>Recolectar la planta
cocinar
Lavarse la parte afectada</t>
  </si>
  <si>
    <t>Guazuma invira</t>
  </si>
  <si>
    <t>Guacimo</t>
  </si>
  <si>
    <t>Utilicé la corteza</t>
  </si>
  <si>
    <t>molienda</t>
  </si>
  <si>
    <t>Corte los trozos los machaque con una piedra
Hice una bebida con 5 litros de agua
Era una bebida para dársela a una vaca que estaba enferma
Se la di a la vaca con una botella</t>
  </si>
  <si>
    <t>Tallo | Ramas</t>
  </si>
  <si>
    <t>rolas</t>
  </si>
  <si>
    <t>Buscar el árbol seco
Llevar la motosierra y cortar el palo
Rollo
Llevarlos para la casa
Rajar la leña,y utilizar para el fogón</t>
  </si>
  <si>
    <t>hacha</t>
  </si>
  <si>
    <t>Antibiótico antiinflamatorio</t>
  </si>
  <si>
    <t>Se recolecta las hojas
Se cocinan hasta que el. Agua toma color verdoso
Se toma un pocillo por 5 días
Se hace un baño en la parte afectada con el cocimiento aún tibio</t>
  </si>
  <si>
    <t>Dasypus novemcinctus</t>
  </si>
  <si>
    <t>Gurre</t>
  </si>
  <si>
    <t>Alimento y costumbre</t>
  </si>
  <si>
    <t>Cuchillo | Machete</t>
  </si>
  <si>
    <t>Cocinado | frito</t>
  </si>
  <si>
    <t>Matar el gurre
Pelar el gurre quitar la cosca
Cocinarlo y freírlo
Consumir en familia
Y conservar la especie</t>
  </si>
  <si>
    <t>machete | cuchillo | olla | manteca</t>
  </si>
  <si>
    <t>Citrus lemon</t>
  </si>
  <si>
    <t>Limón de castilla</t>
  </si>
  <si>
    <t>para hacer limonada</t>
  </si>
  <si>
    <t>Los corte por la mitad para sacar el zumo para preparar la limonada</t>
  </si>
  <si>
    <t>Cogí los limones
Los lleve a casa
Los corte por la mitad
Los exprimi en agua con panela
Tomar la limonada</t>
  </si>
  <si>
    <t>Cuchillo | colador | jarra</t>
  </si>
  <si>
    <t>Cassia moschata</t>
  </si>
  <si>
    <t>Caño fistol</t>
  </si>
  <si>
    <t>Rolearla
Cargarla
Rajarla
Usarla</t>
  </si>
  <si>
    <t>Alibertia patinoi</t>
  </si>
  <si>
    <t>Borojó</t>
  </si>
  <si>
    <t>jugos</t>
  </si>
  <si>
    <t>frutos</t>
  </si>
  <si>
    <t>Licuado para jugo</t>
  </si>
  <si>
    <t>Se cogió la fruta
Se lavó y se licuó
Se coló el jugo y se le echó el dulce
Quedó listo el jugo para tomarlo</t>
  </si>
  <si>
    <t>filtración</t>
  </si>
  <si>
    <t>Familia 3</t>
  </si>
  <si>
    <t>Para el dolor en las articulaciones</t>
  </si>
  <si>
    <t>Hojas, Ramas</t>
  </si>
  <si>
    <t>Macerar</t>
  </si>
  <si>
    <t>Buscar la plantas en el rastrojo, arrancar la planta (solo lo necesario), Machacarlas en una bolsa, colocar el emplast en la parte del dolor, dejar actuar por un rato hasta que alivie el dolor</t>
  </si>
  <si>
    <t>kabaunsa@humboldt.org.co</t>
  </si>
  <si>
    <t>Pesarlo, lavarla, prepararlo</t>
  </si>
  <si>
    <t>Cuchillo</t>
  </si>
  <si>
    <t>Armadillo</t>
  </si>
  <si>
    <t>Se consume en diversos preparaciones</t>
  </si>
  <si>
    <t>Perros</t>
  </si>
  <si>
    <t>en pisillo | sudado | frito</t>
  </si>
  <si>
    <t>Se caza el armadillo
Se mató el armadillo
Se arregla y se deja listo para preparar el armadillo
Se sazona
Se prepara el plato que se deseé</t>
  </si>
  <si>
    <t>Carica papaya</t>
  </si>
  <si>
    <t>Papayo</t>
  </si>
  <si>
    <t>Para comer</t>
  </si>
  <si>
    <t>Phytolacca rivinoides</t>
  </si>
  <si>
    <t>Guaba</t>
  </si>
  <si>
    <t>baño a las ubres de las vacas desinflama</t>
  </si>
  <si>
    <t>Huerta o cultivo | Potrero</t>
  </si>
  <si>
    <t>Se corta
Se cargo para la casa
Para la casa
Cocinar
se le baña la ubre a las vacas</t>
  </si>
  <si>
    <t>Cuniculus paca</t>
  </si>
  <si>
    <t>Lapa</t>
  </si>
  <si>
    <t>Montaña</t>
  </si>
  <si>
    <t>Mato la lapa
La pelea con agua caliente,y la arregle
Sude los huesos y la carne la seque al humo
Comimos todos el sudado
Preservarlo</t>
  </si>
  <si>
    <t>Familia 5 | Amigos y conocidos 5</t>
  </si>
  <si>
    <t>Plantae sp. 11</t>
  </si>
  <si>
    <t>Gusano</t>
  </si>
  <si>
    <t>arrobas</t>
  </si>
  <si>
    <t>rolar | rajar</t>
  </si>
  <si>
    <t>Se cortó el árbol
Se transportó al sitio de uso
Se rola y se raja
Se utiliza como combustible para preparar los alimentos</t>
  </si>
  <si>
    <t>Mataratón</t>
  </si>
  <si>
    <t>Es utilizado para bajar la fiebre</t>
  </si>
  <si>
    <t>Coger las hojas
Machacar con piedra
Agregue un pocillo de agua
Lo pase por el colador para separar el líquido
Beber</t>
  </si>
  <si>
    <t>con pieda</t>
  </si>
  <si>
    <t>Llevar el machete donde esta el palo seco
Picar por pedazos
Recoger y amontonar por brazadas
Llevar para la casa
Utilizarla para hacer de comer</t>
  </si>
  <si>
    <t>Mangifera indica</t>
  </si>
  <si>
    <t>Mango</t>
  </si>
  <si>
    <t>Desinflamadora</t>
  </si>
  <si>
    <t>Cortar la cáscara
Lavarla
Cocinarla
Dejar reposar</t>
  </si>
  <si>
    <t>Calophyllum brasiliense</t>
  </si>
  <si>
    <t>Cachicamo</t>
  </si>
  <si>
    <t>batetas</t>
  </si>
  <si>
    <t>aserrar</t>
  </si>
  <si>
    <t>El árbol estaba caído por el viento
Se mide según la necesidad
Se rola
Se asierra para obtener las varetas
Se transporta las varetas al lugar de construcción</t>
  </si>
  <si>
    <t>Familia 5 | Venta 48</t>
  </si>
  <si>
    <t>carne valor nutricional</t>
  </si>
  <si>
    <t>sudado con papa, yuca, tomate, cebolla y condimentos</t>
  </si>
  <si>
    <t>pesco
se lavó y se destripo
se porcino
se repartió</t>
  </si>
  <si>
    <t>cuchillo de mesa</t>
  </si>
  <si>
    <t>Familia 3 | Vecinos 3</t>
  </si>
  <si>
    <t>Derribar el árbol
Aserrar
Llevar los tablones al puente
Hacer el trabajo con motosirra</t>
  </si>
  <si>
    <t>Familia 3 | Vecinos 4</t>
  </si>
  <si>
    <t>Cañafistol</t>
  </si>
  <si>
    <t>En trozos</t>
  </si>
  <si>
    <t>Recoger las ramas
Cortar las ramas en pedazos de 50 cm
Amontonar los pedazos
Llevar para la casa
Prender el fogón</t>
  </si>
  <si>
    <t>Plantae sp. 2</t>
  </si>
  <si>
    <t>Deshincha desinflama</t>
  </si>
  <si>
    <t>La corte
La lave
Cocine las hojas
Deje reposar
Aplique en la parte afectada</t>
  </si>
  <si>
    <t>Coccion</t>
  </si>
  <si>
    <t>Para alimento</t>
  </si>
  <si>
    <t>Coger el pescado</t>
  </si>
  <si>
    <t>Sudado | Frito | en caldo</t>
  </si>
  <si>
    <t>Eryngium foetidum</t>
  </si>
  <si>
    <t>Cilantron</t>
  </si>
  <si>
    <t>Aporta buen sabor a los alimentos</t>
  </si>
  <si>
    <t>Se añade a la comida desde el comienzo de la cocción o también cuando ya está</t>
  </si>
  <si>
    <t>Coger el pescado
Lavarlo con agua caliente y limón
Extraer las vísceras
Porsionarlo
Prepararlo</t>
  </si>
  <si>
    <t>Se usa para desinflamar</t>
  </si>
  <si>
    <t>Cortar las hojas
Lavar las hojas
Cocinar las hojas
Dejar reposar
Bañar la cara
Cocción</t>
  </si>
  <si>
    <t>Hydrolycus scomberoides</t>
  </si>
  <si>
    <t>Payara</t>
  </si>
  <si>
    <t>Pescar el pez
Arreglarlo
Picar en porciones
Sudarlo
Consumirlo en familia</t>
  </si>
  <si>
    <t>Brycon whitei</t>
  </si>
  <si>
    <t>Yamú</t>
  </si>
  <si>
    <t>Nutrición</t>
  </si>
  <si>
    <t>Pescarlo escanearlo sacarle las tripas y cocinarlo</t>
  </si>
  <si>
    <t>Para todo dolor del cuerpo</t>
  </si>
  <si>
    <t>Coger las hojas
Lavado
Cocimiento
Tomar o bañar</t>
  </si>
  <si>
    <t>Olla | fuego</t>
  </si>
  <si>
    <t>Cogerla
Cocinar
Ponerla en friar
Ponerla al sereno
Para bañar en el lado afectado</t>
  </si>
  <si>
    <t>Como combustible para transformar jugo de caña en panela</t>
  </si>
  <si>
    <t>troceado</t>
  </si>
  <si>
    <t>Se cortó en trozos
Se lleva hasta el,sitio de transformación
Se utiliza como combustible</t>
  </si>
  <si>
    <t>Brachyplatystoma filamentosum</t>
  </si>
  <si>
    <t>Valentón</t>
  </si>
  <si>
    <t>Alimento</t>
  </si>
  <si>
    <t>Río guayabero</t>
  </si>
  <si>
    <t>Sudado</t>
  </si>
  <si>
    <t>Cogerlo
Sacarlo
Sacrificarlo
Destriparlo
Despresarlo</t>
  </si>
  <si>
    <t>Familia 8 | Vecinos 2 | Amigos y conocidos 5</t>
  </si>
  <si>
    <t>Miconia rubiginosa</t>
  </si>
  <si>
    <t>Chirco</t>
  </si>
  <si>
    <t>Motosierra | Hacha | Machete</t>
  </si>
  <si>
    <t>Sabana</t>
  </si>
  <si>
    <t>Ir en la moto con las herramientas
Tumbar el chirco con la motosierra y rolar en trozos
Rajar con el hacha las rolas,y con el machete picar las ramas
Recoger y llevar en la moto para la casa
Utilizar en el fogón para cocinar</t>
  </si>
  <si>
    <t>Cortar
Cargarla
Llevarla para la casa
Utilizar</t>
  </si>
  <si>
    <t>Famiia 2</t>
  </si>
  <si>
    <t>Humecta el cabello , quita la caspa</t>
  </si>
  <si>
    <t>Corté la penca
Corté las orillas de la penca
Dejé desmanchar
Retirar la parte verde de la penca y cortarla en trozos pequeños
Consumir con jugo de naranja</t>
  </si>
  <si>
    <t>carne buena calidad</t>
  </si>
  <si>
    <t>verano</t>
  </si>
  <si>
    <t>Se prepara sudada frita asada en estofado</t>
  </si>
  <si>
    <t>Se retira las vísceras y pelo
Se sala y condimenta
Se prepara en el plato que se desee</t>
  </si>
  <si>
    <t>Aporta minerales (zinc,fósforo y potasio) y es ideal para la reparación muscular y la energía</t>
  </si>
  <si>
    <t>Matar el gurre
Hervir agua para pelarlo y desviscerarlo
Lavar bien y porcionar
Poner a sudar
Comer en familia</t>
  </si>
  <si>
    <t>Familia 4 | Amigos y conocidos 5</t>
  </si>
  <si>
    <t>Guadua angustifolia</t>
  </si>
  <si>
    <t>Guadua</t>
  </si>
  <si>
    <t>Para hacer una cerca o corral</t>
  </si>
  <si>
    <t>Cortarlas con el machete
Sacarlas al sitio del trabajo
Colocarlas</t>
  </si>
  <si>
    <t>Machete | puntillas | martillo</t>
  </si>
  <si>
    <t>Recoger ramas, cortar ramas en pedazos de 50 cm, amontonar los pedazos, llevar para la casa, prender fuego</t>
  </si>
  <si>
    <t>Astrocaryum chambira</t>
  </si>
  <si>
    <t>Palma de Cumare</t>
  </si>
  <si>
    <t>juvenil</t>
  </si>
  <si>
    <t>Anacardium occidentale</t>
  </si>
  <si>
    <t>Marañón</t>
  </si>
  <si>
    <t>Cogollos para la tos</t>
  </si>
  <si>
    <t>cocinarlas</t>
  </si>
  <si>
    <t>Se coje Se lleva
Se lava bien
Se cocina en agua se toma para la tos</t>
  </si>
  <si>
    <t>Antibiótico</t>
  </si>
  <si>
    <t>para dolor de cabeza</t>
  </si>
  <si>
    <t>veranillo</t>
  </si>
  <si>
    <t>Se encontró el gurre
Se mató
Se pelo
Se aso
Se aprovechó</t>
  </si>
  <si>
    <t>Matarraton</t>
  </si>
  <si>
    <t>Es antibiótico</t>
  </si>
  <si>
    <t>pepa | cogollos</t>
  </si>
  <si>
    <t>se machuca y se cocina</t>
  </si>
  <si>
    <t>Ir y cortar 5 cogollos de matarratón
Refregar con las manos
Hervir por 3 minutos
Dejar reposar
Darle 3 gotitas a cada pollo</t>
  </si>
  <si>
    <t>Carne buena calidad</t>
  </si>
  <si>
    <t>Órganos | grasa</t>
  </si>
  <si>
    <t>en pisillo | frito | sudado</t>
  </si>
  <si>
    <t>Se sacrificó
Se le estaré las vísceras
Se sasoma
Se prepara en el plato que desea</t>
  </si>
  <si>
    <t>Lleve el machete donde estaba el guamo
Lo corte primero en el tallo
Luego las ramas
Y después lo amarre en brazadas para llevarlo para la cocina
Y por último lo utilice para cocinar</t>
  </si>
  <si>
    <t>Cortar la leña
Cargarla para la casa
Prender el fuego</t>
  </si>
  <si>
    <t>Fuego</t>
  </si>
  <si>
    <t>medicinal</t>
  </si>
  <si>
    <t>Es una planta que sirve aliviar el dolor y para los malestares de la gripa</t>
  </si>
  <si>
    <t>A mano | Machete</t>
  </si>
  <si>
    <t>Coger las hojas
Lavar las hojas
Ponerla en infusión
Dejar reposar
Consumirla</t>
  </si>
  <si>
    <t>Sirve para problemas digestivos y respiratorios</t>
  </si>
  <si>
    <t>Se colecta las porciones
Se cocina
Se sirve y se deja reposar
Se toma tibio</t>
  </si>
  <si>
    <t>Familia 5 | Vecinos 6</t>
  </si>
  <si>
    <t>Sambucus sp.</t>
  </si>
  <si>
    <t>Sauco</t>
  </si>
  <si>
    <t>La flor de sauco para la tos</t>
  </si>
  <si>
    <t>Flores</t>
  </si>
  <si>
    <t>Se cocina
Se enfría
Se toma para la tos</t>
  </si>
  <si>
    <t>Postas, tabla</t>
  </si>
  <si>
    <t>50 | 24</t>
  </si>
  <si>
    <t>Postas | Tablas</t>
  </si>
  <si>
    <t>Tumbar el palo con la motosierra
Proceder a medir
Y luego aserrar
Se lleva madera hasta el sitio donde se va a utilizar
Realizar el trabajo con la respectiva madera</t>
  </si>
  <si>
    <t>Buena fuente de fósforo</t>
  </si>
  <si>
    <t>Sudada | frita | asada | apanada</t>
  </si>
  <si>
    <t>Se le retira la escama
Se sazona
Se prepara en el plato que desea</t>
  </si>
  <si>
    <t>Sudado | frito | asado</t>
  </si>
  <si>
    <t>Cogerlo
Sacarle las vísceras
Donarlo con sal
Sacar la porción necesaria
Cocinar</t>
  </si>
  <si>
    <t>Plantae sp. 4</t>
  </si>
  <si>
    <t>Planta pajarito</t>
  </si>
  <si>
    <t>Ayuda a sanar fractura de huesos</t>
  </si>
  <si>
    <t>Machucar | triturar</t>
  </si>
  <si>
    <t>Cogí las hojas
Las machuque
Las coloqué en la pata del pollo</t>
  </si>
  <si>
    <t>Tabla | piedra</t>
  </si>
  <si>
    <t>Plantae sp. 3</t>
  </si>
  <si>
    <t>Desconocido</t>
  </si>
  <si>
    <t>Para hacer el árbol de navidad</t>
  </si>
  <si>
    <t>Se cortó y se trajo a la casa y se decoró</t>
  </si>
  <si>
    <t>bosque | rastrojo</t>
  </si>
  <si>
    <t>Buscar los árboles secos
Se corta en trozos
Se transporta al sitio
Se utiliza como combustible para transformar jugo de caña en panela</t>
  </si>
  <si>
    <t>Pouteria sp.</t>
  </si>
  <si>
    <t>Caimo</t>
  </si>
  <si>
    <t>Matayba scrobiculata</t>
  </si>
  <si>
    <t>Guacharaco</t>
  </si>
  <si>
    <t>Motosierra | Machete</t>
  </si>
  <si>
    <t>Se busca los árboles secos
Se cortan en trozos
Se transporta al sitio
Se utiliza como combustible</t>
  </si>
  <si>
    <t>Plantae sp. 6</t>
  </si>
  <si>
    <t>Cacho venado</t>
  </si>
  <si>
    <t>Pimelodus blochii</t>
  </si>
  <si>
    <t>Nicuro</t>
  </si>
  <si>
    <t>Buen alimento para humanos proteínas</t>
  </si>
  <si>
    <t>Caldo fritos</t>
  </si>
  <si>
    <t>Se pesca
Se retira las vísceras
Se sazona
Se prepara el plato que desea</t>
  </si>
  <si>
    <t>Animalia sp. 2</t>
  </si>
  <si>
    <t>Sardinara piraña</t>
  </si>
  <si>
    <t>Protector solar cosmético y problemas digestivos</t>
  </si>
  <si>
    <t>Pala</t>
  </si>
  <si>
    <t>Cortar la penca de sábila
Sacar el cristal
Tomar en trozos o licuado</t>
  </si>
  <si>
    <t>Averrhoa carambola</t>
  </si>
  <si>
    <t>Carambolo</t>
  </si>
  <si>
    <t>preparar jugos</t>
  </si>
  <si>
    <t>Frutos | Raíz</t>
  </si>
  <si>
    <t>Se coge las frutas
Se lavan las frutas
Se pican las frutas y se licuan
Se cuela y se endulza
Y listo para tomar</t>
  </si>
  <si>
    <t>Licuadora</t>
  </si>
  <si>
    <t>Dolores articulares</t>
  </si>
  <si>
    <t>fermertacion</t>
  </si>
  <si>
    <t>Anzuelos | Redes | Otros</t>
  </si>
  <si>
    <t>Se prepara sudado asado frito apanado</t>
  </si>
  <si>
    <t>Se pescó
Se sacrificó
Se le retira las vísceras
Se sazona
Se prepara en el plato que se desee</t>
  </si>
  <si>
    <t>Se pescó
Se retira las vísceras
Se sazona
Se prepara el plato que desea</t>
  </si>
  <si>
    <t>Sirve para aliviar y sanar dolor de la úlcera</t>
  </si>
  <si>
    <t>cuchillo | machete</t>
  </si>
  <si>
    <t>Ocimum sp.</t>
  </si>
  <si>
    <t>Albaca</t>
  </si>
  <si>
    <t>Infusión</t>
  </si>
  <si>
    <t>puñado</t>
  </si>
  <si>
    <t>Se coge las hojas, se lavan las hojas, se hierve las hojas, se deja reposar y se toma el agua</t>
  </si>
  <si>
    <t>Herrania nitida</t>
  </si>
  <si>
    <t>Cacao montuno</t>
  </si>
  <si>
    <t>Aporta alta concentración de antioxidantes,etc</t>
  </si>
  <si>
    <t>Solo abrir y comer</t>
  </si>
  <si>
    <t>Coger del árbol su fruto
Abrir el cacao
Y luego las consumimos</t>
  </si>
  <si>
    <t>machacar o triturar</t>
  </si>
  <si>
    <t>Sansevieria trifasciata</t>
  </si>
  <si>
    <t>Lengua de suegra</t>
  </si>
  <si>
    <t>Ungüento</t>
  </si>
  <si>
    <t>Unguento</t>
  </si>
  <si>
    <t>Se corta la planta, se lava, se machaca, se deja fermentar 15 minutos y se aplica en la parte afectada.</t>
  </si>
  <si>
    <t>Citrus × aurantium</t>
  </si>
  <si>
    <t>Naranja agria</t>
  </si>
  <si>
    <t>Para la gripe</t>
  </si>
  <si>
    <t>A mano | cuchillo | machete</t>
  </si>
  <si>
    <t>1 | 3</t>
  </si>
  <si>
    <t>Cogerlos los cogollos y la fruta
Cocinar los cogollos
Sacarle el jugo a la fruta
Mezclar el jugo de la fruta con el agua cocida de los cogollos
Tomar bien caliente</t>
  </si>
  <si>
    <t>Hojas | Raíz</t>
  </si>
  <si>
    <t>Coger hojas y raíces
Macerarlas todo juntos
Aplicación y ya</t>
  </si>
  <si>
    <t>Zingiber officinale</t>
  </si>
  <si>
    <t>Jengibre</t>
  </si>
  <si>
    <t>Curcuma longa</t>
  </si>
  <si>
    <t>Cúrcuma</t>
  </si>
  <si>
    <t>Plantae sp. 5</t>
  </si>
  <si>
    <t>Ornamental</t>
  </si>
  <si>
    <t>para hacer árbol de navidad</t>
  </si>
  <si>
    <t>Se cortó y se trajo para la casa
Se decoró</t>
  </si>
  <si>
    <t>Sirve para la trombosis, cuando hay partes del cuerpo adormecidas</t>
  </si>
  <si>
    <t>caño | rastrojo</t>
  </si>
  <si>
    <t>Cojimos las hojas que necesitábamos
Lave 3 hijitas y las cocine por un rato
La deje reposar un poco y ahi se la di a beber a mi papá
El restante de hojas
Con ellas le pringue las partes del cuerpo adormecidas a mi papá</t>
  </si>
  <si>
    <t>Cortar la leña
Cargar la leña para la casa
Prender fuego</t>
  </si>
  <si>
    <t>Sus flores son muy lindas en forma de pato</t>
  </si>
  <si>
    <t>Floración</t>
  </si>
  <si>
    <t>Potrero, Represa</t>
  </si>
  <si>
    <t>Corté las flores de Gualanday
Coloqué las flores en un recipiente con agua
Disfrutar de su belleza natural</t>
  </si>
  <si>
    <t>Carne para alimento</t>
  </si>
  <si>
    <t>sudada | pisillo | frito</t>
  </si>
  <si>
    <t>Se casó
Se retira las vísceras
Se sazona
Se prepara en el plato que se desea</t>
  </si>
  <si>
    <t>Cortar las ramas en trozos de 50 cm aproximadamente
Cargar la leña para la casa
Prender fuego</t>
  </si>
  <si>
    <t>Inga sp.2</t>
  </si>
  <si>
    <t>Guamo guacharaco</t>
  </si>
  <si>
    <t>Buscar los árboles secos
Se corta en trozos
Se transporta al sitio
Se utiliza como combustible para transformar jugo de caña en panela (panela)</t>
  </si>
  <si>
    <t>Nutrición, bebida</t>
  </si>
  <si>
    <t>Molienda</t>
  </si>
  <si>
    <t>Se cogen las frutas, se lavan, se pican y se licuan, se cuela y se endulza y listo para tomar</t>
  </si>
  <si>
    <t>Sabila</t>
  </si>
  <si>
    <t>Alivia el dolor de la úlcera gástrica</t>
  </si>
  <si>
    <t>Corte la hoja
Retiré las orillas de la hoja
Dejé desmanchar
Separar los cristales de la parte verde de la hoja
Cortar en cuadritos los cristales y consumir con miel de abejas</t>
  </si>
  <si>
    <t>Ambrosia sp.</t>
  </si>
  <si>
    <t>Ruda</t>
  </si>
  <si>
    <t>manojos</t>
  </si>
  <si>
    <t>Coger las hojas
Lavar las hojas
Ponerlas a cocinar
Retirar del fuego
Dejar reposar y tomar</t>
  </si>
  <si>
    <t>Una olla</t>
  </si>
  <si>
    <t>Famillia 3</t>
  </si>
  <si>
    <t>leña</t>
  </si>
  <si>
    <t>Corté la leña de 40 cm aproximadamente
Cargué la leña para la casa
Prender fuego</t>
  </si>
  <si>
    <t>Cortar leña, cargar leña para la casa, prender fuego</t>
  </si>
  <si>
    <t>Psidium guajava</t>
  </si>
  <si>
    <t>Guayaba</t>
  </si>
  <si>
    <t>para jugos</t>
  </si>
  <si>
    <t>Se coge la fruta
Se lavan las frutas
Se pican las frutas y se licuan
Se cuela y se endulza
Y listo para tomar el jugo</t>
  </si>
  <si>
    <t>Plantae sp. 9</t>
  </si>
  <si>
    <t>Musgo</t>
  </si>
  <si>
    <t>Nido de las gallinas</t>
  </si>
  <si>
    <t>Arranque el musgo
Coloque el musgo en los nidos de las gallinas
Esperar que las gallinas pongan sus huevos</t>
  </si>
  <si>
    <t>Rico en proteínas</t>
  </si>
  <si>
    <t>En sudados | asado | frito | moquido en caldos</t>
  </si>
  <si>
    <t>todo el animal</t>
  </si>
  <si>
    <t>Para deshidratarlos utilice el sol y fuego</t>
  </si>
  <si>
    <t>Anzuelo</t>
  </si>
  <si>
    <t>Psidium guineense</t>
  </si>
  <si>
    <t>Guayabo silvestre</t>
  </si>
  <si>
    <t>Quita la diarrea</t>
  </si>
  <si>
    <t>pedazos de corteza</t>
  </si>
  <si>
    <t>Cortar lo pedazos de cáscara
Lavarlas bien
Ponerlas a hervir en poca agua
Dejar reposar
Luego,Dársela a beber a mi hija</t>
  </si>
  <si>
    <t>Lavar y cocinar</t>
  </si>
  <si>
    <t>Es rica nutritiva,nos alimenta y nos da energía</t>
  </si>
  <si>
    <t>Otro</t>
  </si>
  <si>
    <t>Coger las cachamas
Sacarle las vísceras</t>
  </si>
  <si>
    <t>Humecta la piel y el cabello</t>
  </si>
  <si>
    <t>Corte la hoja
Retiré las orillas de la hoja
Dejé desmanchar
Aplique en el cabello y cara</t>
  </si>
  <si>
    <t>rayadora</t>
  </si>
  <si>
    <t>Marañon</t>
  </si>
  <si>
    <t>Sirve para calmar la tos</t>
  </si>
  <si>
    <t>Cogí las hojas
Lavé las hojas
Cociné las hojas con limón,panela, jengibre
Tomar la bebida caliente</t>
  </si>
  <si>
    <t>Tayassu pecari</t>
  </si>
  <si>
    <t>Manao</t>
  </si>
  <si>
    <t>Porcionado</t>
  </si>
  <si>
    <t>El sol y el fuego para deshidratar la carne y también el fuego para prepararla</t>
  </si>
  <si>
    <t>Robrichia schomburgkii</t>
  </si>
  <si>
    <t>Dormidero</t>
  </si>
  <si>
    <t>zorrada</t>
  </si>
  <si>
    <t>Lo corte
Lo rolle
Lo amontone por 3 meses
Lo rajé
Lo troce como leña con motosierra y hacha</t>
  </si>
  <si>
    <t>Le da buen sabor a los alimentos, se pica y se le agrega a los alimentos en cocción o cuando estan listos</t>
  </si>
  <si>
    <t>Se pica finalmente y se agrega a los consomé cuando están o en sudado en el momento de la cocción</t>
  </si>
  <si>
    <t>Arrancar las hojas
Lavar las hojas
Picar finamente las hojas
Agregar a los alimentos cuando están</t>
  </si>
  <si>
    <t>Capturarlo con atarraya, llevarlo para el consumo</t>
  </si>
  <si>
    <t>Familia 10</t>
  </si>
  <si>
    <t>Brycon sp.</t>
  </si>
  <si>
    <t>Bocachico</t>
  </si>
  <si>
    <t>Palma cumare</t>
  </si>
  <si>
    <t>Su cogollo es muy manejable para elaborar escobas, además muy duraderas. Se pueden elaborar escobas.Me enseñó mi suegra, si tiene valor cultural por qué es algo que se usaba mucho en el pasado, económico ahora de forma personal por qué nos ayuda a ahorrar ya que nos evita comprar escobas plásticas, y simbólico si por qué nos recuerda las tradiciones que tenían nuestros abuelos y que se han ido perdiendo</t>
  </si>
  <si>
    <t>secado al sol | luego tejido</t>
  </si>
  <si>
    <t>Cortar la palma
Cortar el cogollo
Sacar hoja por hoja del cogollo
Secar las hojas al sol
Tejer las hojas en una cabuya y amarrar en un palo</t>
  </si>
  <si>
    <t>Cachicamo sabanero</t>
  </si>
  <si>
    <t>Es resistente para el uso de postes para cercas</t>
  </si>
  <si>
    <t>varios</t>
  </si>
  <si>
    <t>postes</t>
  </si>
  <si>
    <t>El árbol estaba caído en el bosque
Se procedió a aserrarlo con motosierra</t>
  </si>
  <si>
    <t>Plantae sp. 10</t>
  </si>
  <si>
    <t>Vijao</t>
  </si>
  <si>
    <t>Es ideal para armar envueltos,se deja manejar muy bien</t>
  </si>
  <si>
    <t>Corte las hojas
Limpie las hojas con un trapo húmedo
Hacer conos con las hojas
Echar la masa en los conos
Cocinar al vapor por media hora</t>
  </si>
  <si>
    <t>Carne de buena calidad, El aceite se utiliza para el asma</t>
  </si>
  <si>
    <t>En pisillo | frito | sudado</t>
  </si>
  <si>
    <t>Se caza
Se retira las vísceras
Se sazona
Se prepara en el plato que prefiera</t>
  </si>
  <si>
    <t>Serrasalmus sp.</t>
  </si>
  <si>
    <t>Caribe</t>
  </si>
  <si>
    <t>Aporta nutrientes</t>
  </si>
  <si>
    <t>Trampa</t>
  </si>
  <si>
    <t>Un sudado</t>
  </si>
  <si>
    <t>Coger el pescado con anzuelo
Se arregla el pescado
Se condimenta el pescado
Se coloca a sudar el pescado
Y listo para. Comer</t>
  </si>
  <si>
    <t>Sardina</t>
  </si>
  <si>
    <t>rayar</t>
  </si>
  <si>
    <t>Corte la hoja
Retiré las orillas de la hoja
Dejé desmanchar
Aplique en el cabello</t>
  </si>
  <si>
    <t>Se tala
Se corta en trozos
Se transporta al sitio
Se utiliza como combustible</t>
  </si>
  <si>
    <t>Yarumo</t>
  </si>
  <si>
    <t>Apeiba sp.</t>
  </si>
  <si>
    <t>Peine mono</t>
  </si>
  <si>
    <t>Carne buena proteína. El aceite sirve para sanar heridas que han sido imposible de curar</t>
  </si>
  <si>
    <t>Frita | sudada | asada</t>
  </si>
  <si>
    <t>Frita sudada asada
Se retira las vísceras
Se sazona
Se prepara en el plato preferido</t>
  </si>
  <si>
    <t>Yamu</t>
  </si>
  <si>
    <t>Carne rica en proteína</t>
  </si>
  <si>
    <t>Sudado | apanado | frito</t>
  </si>
  <si>
    <t>Se pesca
Se retira las vísceras
Se sazona
Se prepara en el plato deseado</t>
  </si>
  <si>
    <t>Es buen alimento, rico en proteínas</t>
  </si>
  <si>
    <t>Lavarlo, descamarse y destriparlo</t>
  </si>
  <si>
    <t>Corte las hojas
Limpie las hojas con un trapo húmedo
Hacer conos con las hojas
Echar la masa en los conos
Cocinar por media hora</t>
  </si>
  <si>
    <t>Buenafuente de proteínas</t>
  </si>
  <si>
    <t>En pocillo | sudado | frito</t>
  </si>
  <si>
    <t>Cazarlo
Retirar las vísceras
Sazonarlo
Preparar el plato que se prefiera</t>
  </si>
  <si>
    <t>son proteína</t>
  </si>
  <si>
    <t>frito | sudado</t>
  </si>
  <si>
    <t>Cogerlos y matarlos
Quitarle las escamas y las vísceras, y lavar muy bien
Freírlos que queden doraditos
Servir y consumirlo con la familia
Conservar los que queden con sal</t>
  </si>
  <si>
    <t>cuchillos</t>
  </si>
  <si>
    <t>Micuro</t>
  </si>
  <si>
    <t>Animalia sp.3</t>
  </si>
  <si>
    <t>Moino</t>
  </si>
  <si>
    <t>Sirve como antibiótico</t>
  </si>
  <si>
    <t>machucar</t>
  </si>
  <si>
    <t>El árbol estaba caído en el bosque
Se procedió a aserrarlo con motosirraaderrar</t>
  </si>
  <si>
    <t>una piedra</t>
  </si>
  <si>
    <t>Corte las hojas y retiré las orillas
Dejé desmanchar hasta el otro día
Retiré la parte verde del cristal
Aplique en el cabello
Dejar en el cabello por 30 minutos y enjuagar</t>
  </si>
  <si>
    <t>Cortar el árbol seco
Transportarla al lugar de transformación
Se utiliza como combustible para transformar el jugo de caña en panela</t>
  </si>
  <si>
    <t>Guarumo</t>
  </si>
  <si>
    <t>Rastrojo, Potrero</t>
  </si>
  <si>
    <t>Mandarina</t>
  </si>
  <si>
    <t>Motosierra, Machete</t>
  </si>
  <si>
    <t>Corte las ramas con la motosierra
Las pique con el machete
Las deje secar por un mes
Las lleva para mi casa
Se utilizó para el fogón para preparar alimentos</t>
  </si>
  <si>
    <t>motosierra | machete</t>
  </si>
  <si>
    <t>Cuidados Personales</t>
  </si>
  <si>
    <t>Buena fuente de proteínas</t>
  </si>
  <si>
    <t>Buena fuente de proteínas
Se retira las vísceras se prepara en el plato preferido</t>
  </si>
  <si>
    <t>Nos da energía,es deliciosa y vitamina</t>
  </si>
  <si>
    <t>Cogí las guayabas
Lave las guayabas
Cociné las guayabas con agua y panela
Licue la cocción anterior con leche fría
Colar y disfrutar de un buen jugo</t>
  </si>
  <si>
    <t>Se corta el palo y se porcina para leña</t>
  </si>
  <si>
    <t>Es nutritiva y de alimento. Se come cruda</t>
  </si>
  <si>
    <t>Recoger las frutas
Picar las frutas
Echarlas a la represa de los peces</t>
  </si>
  <si>
    <t>En jugo cocinada o cruda</t>
  </si>
  <si>
    <t>Nos alimenta,nos nutre, nos da energía,etc</t>
  </si>
  <si>
    <t>frita | guisada | en consomé</t>
  </si>
  <si>
    <t>Coger las cachamas
Sacarle las vísceras
Quitar las escamas
Guisarlas</t>
  </si>
  <si>
    <t>Guisarlas</t>
  </si>
  <si>
    <t>Le da buen sabor a los alimentos</t>
  </si>
  <si>
    <t>Cicatriza humecta</t>
  </si>
  <si>
    <t>Corte la hoja
Retiré las orillas de la hoja
Dejé desmanchar
Aplique en las cicatrices, brazos y cara</t>
  </si>
  <si>
    <t>Que es un alimento básico para la región</t>
  </si>
  <si>
    <t>Pescarlo | lavarlo | destriparlo | prepararlo | consumirlo</t>
  </si>
  <si>
    <t>pesco
se lavó y se destripo
se porcionó
se repartió</t>
  </si>
  <si>
    <t>Familia 8</t>
  </si>
  <si>
    <t>Coger las cachamas, pesar las cachamas</t>
  </si>
  <si>
    <t>Cortar en trozos de 3 metros
Cargarla en bestia hasta la casa 
Cortarla en trozos pequeños
Rajar con un hacha
Utilizar en el Huitrón
Motosierra y hacha</t>
  </si>
  <si>
    <t>Se utiliza como aromática</t>
  </si>
  <si>
    <t>Se recolecta la porción requerida
Se prepara en infusión</t>
  </si>
  <si>
    <t>Mylossoma duriventre</t>
  </si>
  <si>
    <t>Palometa</t>
  </si>
  <si>
    <t>Sudada | frita | asada</t>
  </si>
  <si>
    <t>Se pescó
Se retira las vísceras
Se sazona
Se prepara en el plato preferido</t>
  </si>
  <si>
    <t>Otro, Represa</t>
  </si>
  <si>
    <t>Familia 6</t>
  </si>
  <si>
    <t>Plantae sp. 7</t>
  </si>
  <si>
    <t>Gólgota</t>
  </si>
  <si>
    <t>para refrescar el organismo</t>
  </si>
  <si>
    <t>pepa | cogollos, Flores</t>
  </si>
  <si>
    <t>Coger las flores
Lavarlas muy bien
Refregar las con las manos
Filtrarlas
Consumir</t>
  </si>
  <si>
    <t>Limonaria</t>
  </si>
  <si>
    <t>Sirve como bebida aromática</t>
  </si>
  <si>
    <t>Se toma las hojas
Se prepara en infusión</t>
  </si>
  <si>
    <t>Es un alimento rico en proteínas y nutrientes</t>
  </si>
  <si>
    <t>Frita asada sudada</t>
  </si>
  <si>
    <t>Se pesca
Se retira las vísceras
Se sazona
Se prepara el plato que prefiera</t>
  </si>
  <si>
    <t>refregar con las manos</t>
  </si>
  <si>
    <t>Coger las flores
Lavarlas muy bien
Refregar las con las manos muy bien
Dejarla quieta por 15 minutos
Colar el agua y consumir</t>
  </si>
  <si>
    <t>Plantae sp. 8</t>
  </si>
  <si>
    <t>Cadillo</t>
  </si>
  <si>
    <t>sirve para descasachar el guarapo de caña</t>
  </si>
  <si>
    <t>Se cortó el cadillo y se le retiró la cáscara
Se lava muy bien
Se Machuca y se deja en agua de un día para otro
Se agrega al guarapo
Cuando esté para todo este encima se retira y así se le hace limpieza al guarapo de caña</t>
  </si>
  <si>
    <t>Familia 2 | Venta 11</t>
  </si>
  <si>
    <t>Bagre rayado | Pintadillo</t>
  </si>
  <si>
    <t>Guindar anzuelos en la noche, revisarlos y recoger el pescado en la mañana, lavarlo con agua caliente y limón, porcionarlo y cocinarlo</t>
  </si>
  <si>
    <t>Matar el gurre, arreglar el gurre, aliñarlo y se hace sudado</t>
  </si>
  <si>
    <t>Psidium sp.</t>
  </si>
  <si>
    <t>Guayabo de danta</t>
  </si>
  <si>
    <t>Es buen alimento para los animales, Se les da crudo</t>
  </si>
  <si>
    <t>Cogí las frutas
Tiré las frutas a los peces</t>
  </si>
  <si>
    <t>Buena fuente de proteínas. La manteca sirve para el asma</t>
  </si>
  <si>
    <t>Se prepara en pisillo frito sadado</t>
  </si>
  <si>
    <t>Se asa
Se retira las vísceras
Se sazona
Se prepara el plato que prefieras</t>
  </si>
  <si>
    <t>Músculo/Carne</t>
  </si>
  <si>
    <t>Matar el armadillo, pelarlo y desviscerar, prepararlo en pisillo, consumirlo.</t>
  </si>
  <si>
    <t>Sirve para refrescar el organismo</t>
  </si>
  <si>
    <t>Cuarta</t>
  </si>
  <si>
    <t>Se Machuca y se filtra y se toma la bebida</t>
  </si>
  <si>
    <t>Cortar un trozo de corteza de cadillo
Lavarla muy bien
Machacarla con una piedra
Batirla bien en agua y dejar reposar por 15 minutos
Filtrarlas y beberla
Machete y piedra</t>
  </si>
  <si>
    <t>Cocción</t>
  </si>
  <si>
    <t>Tirar el anzuelo, sacar la palomenta, lavar la palometa (sacar tripas y escamas), fritar la palometa</t>
  </si>
  <si>
    <t>Arranque el musgo
Coloque el musgo en los nidos de las gallinas</t>
  </si>
  <si>
    <t>Construcción</t>
  </si>
  <si>
    <t>Elaboración de pisos</t>
  </si>
  <si>
    <t>Extraer tablas</t>
  </si>
  <si>
    <t>Medir el árbol, hilar el árbol (tomar medidas) cortar el árbol con motosierra, colocar tablas y apuntillar.</t>
  </si>
  <si>
    <t>Se recolecta
Se cocina
Se tomó como aromática</t>
  </si>
  <si>
    <t>Bagre rallado</t>
  </si>
  <si>
    <t>Frito | sudado | asado</t>
  </si>
  <si>
    <t>Gripe, malestares Del cuerpo</t>
  </si>
  <si>
    <t>ir al lugar donde está la planta
Recolectar la limonariaç
Enjuagar un Poco la limonaria
Poner a cocinar en una olla agua con panela y agregar las hojas de la limonaria hasta que hierva
Servir y tomar caliente</t>
  </si>
  <si>
    <t>Machete | estufa | olla</t>
  </si>
  <si>
    <t>Eugenia florida</t>
  </si>
  <si>
    <t>Arrayan</t>
  </si>
  <si>
    <t>La corté y la llevé hasta la cocina</t>
  </si>
  <si>
    <t>Es un árbol resistente para la construcción</t>
  </si>
  <si>
    <t>trocear</t>
  </si>
  <si>
    <t>Se encontró el macano
Se taló el macano
Se cortó en pedazos útiles
Se llevó al sector de la construcción
Se elaboró la construcción</t>
  </si>
  <si>
    <t>Reino</t>
  </si>
  <si>
    <t>Filo</t>
  </si>
  <si>
    <t>Clase</t>
  </si>
  <si>
    <t>Orden</t>
  </si>
  <si>
    <t>Familia</t>
  </si>
  <si>
    <t>Autor Nombre Científico</t>
  </si>
  <si>
    <t>Nombres Comunes</t>
  </si>
  <si>
    <t>Estado de amenaza</t>
  </si>
  <si>
    <t>threatStatusValidation</t>
  </si>
  <si>
    <t>Medios de establecimiento</t>
  </si>
  <si>
    <t>Nombre Imagen</t>
  </si>
  <si>
    <t>Identificador de imagen</t>
  </si>
  <si>
    <t>Archivo de Imagen</t>
  </si>
  <si>
    <t>Conocimientos asociados</t>
  </si>
  <si>
    <t>FPVA_001</t>
  </si>
  <si>
    <t>Plantae</t>
  </si>
  <si>
    <t>Magnoliophyta</t>
  </si>
  <si>
    <t>Magnoliopsida</t>
  </si>
  <si>
    <t>Rosales</t>
  </si>
  <si>
    <t>Urticaceae</t>
  </si>
  <si>
    <t>Cecropia</t>
  </si>
  <si>
    <t>Mart.</t>
  </si>
  <si>
    <t>NE</t>
  </si>
  <si>
    <t>Es muy atractiva para los mamíferos</t>
  </si>
  <si>
    <t>FPVA_002</t>
  </si>
  <si>
    <t>Animalia</t>
  </si>
  <si>
    <t>Chordata</t>
  </si>
  <si>
    <t>Actinopterygii</t>
  </si>
  <si>
    <t>Siluriformes</t>
  </si>
  <si>
    <t>Pimelodidae</t>
  </si>
  <si>
    <t>Pseudoplatystoma</t>
  </si>
  <si>
    <t>Buitrago-Suárez &amp; Burr, 2007</t>
  </si>
  <si>
    <t>NT</t>
  </si>
  <si>
    <t>UICN: EN | MADS: VU |  Libro Rojo de Peces Dulceacuícolas de Colombia: NT</t>
  </si>
  <si>
    <t>Esta especie siempre lo encontramos cuando el caño está caudaloso</t>
  </si>
  <si>
    <t>FPVA_003</t>
  </si>
  <si>
    <t>Sapindales</t>
  </si>
  <si>
    <t>Anacardiaceae</t>
  </si>
  <si>
    <t>Spondias</t>
  </si>
  <si>
    <t>L.</t>
  </si>
  <si>
    <t>FPVA_004</t>
  </si>
  <si>
    <t>Lamiales</t>
  </si>
  <si>
    <t>Lamiaceae</t>
  </si>
  <si>
    <t>Coleus</t>
  </si>
  <si>
    <t>Lour.</t>
  </si>
  <si>
    <t>FPVA_005</t>
  </si>
  <si>
    <t>Verbenaceae</t>
  </si>
  <si>
    <t>Lippia</t>
  </si>
  <si>
    <t>(Mill.) N.E.Br. ex Britton &amp; P.Wilson</t>
  </si>
  <si>
    <t>LC</t>
  </si>
  <si>
    <t>FPVA_006</t>
  </si>
  <si>
    <t>Piperales</t>
  </si>
  <si>
    <t>Piperaceae</t>
  </si>
  <si>
    <t>Piper</t>
  </si>
  <si>
    <t>Ellos les gusta las sábanas y pastar en las tardes soleadas</t>
  </si>
  <si>
    <t>FPVA_007</t>
  </si>
  <si>
    <t>Characiformes</t>
  </si>
  <si>
    <t>Serrasalmidae</t>
  </si>
  <si>
    <t>Colossoma</t>
  </si>
  <si>
    <t>(Cuvier, 1816)</t>
  </si>
  <si>
    <t>FPVA_008</t>
  </si>
  <si>
    <t>Liliopsida</t>
  </si>
  <si>
    <t>Poales</t>
  </si>
  <si>
    <t>Poaceae</t>
  </si>
  <si>
    <t>Cymbopogon</t>
  </si>
  <si>
    <t>(DC.) Stapf</t>
  </si>
  <si>
    <t>FPVA_009</t>
  </si>
  <si>
    <t>Myrtales</t>
  </si>
  <si>
    <t>Combretaceae</t>
  </si>
  <si>
    <t>Terminalia</t>
  </si>
  <si>
    <t>(J.F. Gmel.) Exell</t>
  </si>
  <si>
    <t>FPVA_010</t>
  </si>
  <si>
    <t>Myrtaceae</t>
  </si>
  <si>
    <t>Eugenia</t>
  </si>
  <si>
    <t>DC.</t>
  </si>
  <si>
    <t>Arrayán</t>
  </si>
  <si>
    <t>UICN: LC</t>
  </si>
  <si>
    <t>FPVA_011</t>
  </si>
  <si>
    <t>Fabales</t>
  </si>
  <si>
    <t>Fabaceae</t>
  </si>
  <si>
    <t>Inga</t>
  </si>
  <si>
    <t>FPVA_012</t>
  </si>
  <si>
    <t>Malpighiales</t>
  </si>
  <si>
    <t>Phyllanthaceae</t>
  </si>
  <si>
    <t>Hieronyma</t>
  </si>
  <si>
    <t>(Tul.) Müll. Arg.</t>
  </si>
  <si>
    <t>FPVA_013</t>
  </si>
  <si>
    <t>Caryophyllales</t>
  </si>
  <si>
    <t>Phytolaccaceae</t>
  </si>
  <si>
    <t>Phytolacca</t>
  </si>
  <si>
    <t>Kunth &amp; C.D.Bouché</t>
  </si>
  <si>
    <t>FPVA_015</t>
  </si>
  <si>
    <t>Mammalia</t>
  </si>
  <si>
    <t>Artiodactyla</t>
  </si>
  <si>
    <t>Cervidae</t>
  </si>
  <si>
    <t>Odocoileus</t>
  </si>
  <si>
    <t>Pieter Boddaert, 1784</t>
  </si>
  <si>
    <t>Sirve para la respiración, quemaduras,manchas de la piel, cicatriza,etc.</t>
  </si>
  <si>
    <t>FPVA_016</t>
  </si>
  <si>
    <t>Rutaceae</t>
  </si>
  <si>
    <t>Citrus</t>
  </si>
  <si>
    <t>(L.) Osbeck</t>
  </si>
  <si>
    <t>FPVA_017</t>
  </si>
  <si>
    <t>Gliricidia</t>
  </si>
  <si>
    <t>(Jacq.) Kunth ex Walp.</t>
  </si>
  <si>
    <t>Este palo sirve para la leña y también sirve para estantillos</t>
  </si>
  <si>
    <t>FPVA_018</t>
  </si>
  <si>
    <t>Anacardium</t>
  </si>
  <si>
    <t>FPVA_019</t>
  </si>
  <si>
    <t>Asparagales</t>
  </si>
  <si>
    <t>Asphodelaceae</t>
  </si>
  <si>
    <t>Aloe</t>
  </si>
  <si>
    <t>(L.) Burm.f.</t>
  </si>
  <si>
    <t>Conocimiento que aprendí de mi padre</t>
  </si>
  <si>
    <t>FPVA_022</t>
  </si>
  <si>
    <t>Brassicales</t>
  </si>
  <si>
    <t>Caricaceae</t>
  </si>
  <si>
    <t>Carica</t>
  </si>
  <si>
    <t>FPVA_024</t>
  </si>
  <si>
    <t>Bignoniaceae</t>
  </si>
  <si>
    <t>Jacaranda</t>
  </si>
  <si>
    <t>Bonpl.</t>
  </si>
  <si>
    <t>También es maderable</t>
  </si>
  <si>
    <t>FPVA_025</t>
  </si>
  <si>
    <t>Malvales</t>
  </si>
  <si>
    <t>Malvaceae</t>
  </si>
  <si>
    <t>Guazuma</t>
  </si>
  <si>
    <t>(Willd.) G.Don</t>
  </si>
  <si>
    <t>consumo muy popular se reproduce mucho en los caños y el río</t>
  </si>
  <si>
    <t>FPVA_026</t>
  </si>
  <si>
    <t>Urera</t>
  </si>
  <si>
    <t>(Jacq.) Gaudich. ex Griseb.</t>
  </si>
  <si>
    <t>FPVA_027</t>
  </si>
  <si>
    <t>Tayassuidae</t>
  </si>
  <si>
    <t>Dicotyles</t>
  </si>
  <si>
    <t>(Linneo, 1758)</t>
  </si>
  <si>
    <t>FPVA_028</t>
  </si>
  <si>
    <t>Cingulata</t>
  </si>
  <si>
    <t>Dasypodidae</t>
  </si>
  <si>
    <t>Dasypus</t>
  </si>
  <si>
    <t>Armadillo | Gurre</t>
  </si>
  <si>
    <t>FPVA_029</t>
  </si>
  <si>
    <t>Calophyllaceae</t>
  </si>
  <si>
    <t>Calophyllum</t>
  </si>
  <si>
    <t>Cambess.</t>
  </si>
  <si>
    <t>FPVA_030</t>
  </si>
  <si>
    <t>FPVA_031</t>
  </si>
  <si>
    <t>Apiales</t>
  </si>
  <si>
    <t>Apiaceae</t>
  </si>
  <si>
    <t>Eryngium</t>
  </si>
  <si>
    <t>Cilantro cimarrón | culantro | cilantro de monte | Cilantrón</t>
  </si>
  <si>
    <t>FPVA_032</t>
  </si>
  <si>
    <t>Cynodontidae</t>
  </si>
  <si>
    <t>Hydrolycus</t>
  </si>
  <si>
    <t>Georges Cuvier, 1819</t>
  </si>
  <si>
    <t>Payara | pez vampiro</t>
  </si>
  <si>
    <t>FPVA_033</t>
  </si>
  <si>
    <t>Kunth</t>
  </si>
  <si>
    <t>FPVA_034</t>
  </si>
  <si>
    <t>Bryconidae</t>
  </si>
  <si>
    <t>Brycon</t>
  </si>
  <si>
    <t>myers y weitzman, 1960</t>
  </si>
  <si>
    <t>DD</t>
  </si>
  <si>
    <t>FPVA_035</t>
  </si>
  <si>
    <t>Cassia</t>
  </si>
  <si>
    <t>FPVA_036</t>
  </si>
  <si>
    <t>Gentianales</t>
  </si>
  <si>
    <t>Rubiaceae</t>
  </si>
  <si>
    <t>Alibertia</t>
  </si>
  <si>
    <t>(Cuatrec.) Delprete &amp; C.H.Perss.</t>
  </si>
  <si>
    <t>FPVA_038</t>
  </si>
  <si>
    <t>Rodentia</t>
  </si>
  <si>
    <t>Cuniculidae</t>
  </si>
  <si>
    <t>Cuniculus</t>
  </si>
  <si>
    <t>(Linnaeus, 1766)</t>
  </si>
  <si>
    <t>Lapa | boruga | guagua</t>
  </si>
  <si>
    <t>FPVA_039</t>
  </si>
  <si>
    <t>Melastomataceae</t>
  </si>
  <si>
    <t>Miconia</t>
  </si>
  <si>
    <t>(Bonpl.) DC.</t>
  </si>
  <si>
    <t>Ayuda a sanar huesos, propiedades respiratorias, circulación etc</t>
  </si>
  <si>
    <t>FPVA_040</t>
  </si>
  <si>
    <t>Arecales</t>
  </si>
  <si>
    <t>Arecaceae</t>
  </si>
  <si>
    <t>Astrocaryum</t>
  </si>
  <si>
    <t>Burret</t>
  </si>
  <si>
    <t>Palma de cumare</t>
  </si>
  <si>
    <t>Funciona como enrraizador para plantas</t>
  </si>
  <si>
    <t>FPVA_041</t>
  </si>
  <si>
    <t>FPVA_042</t>
  </si>
  <si>
    <t>FPVA_043</t>
  </si>
  <si>
    <t>FPVA_044</t>
  </si>
  <si>
    <t>Brachyplatystoma</t>
  </si>
  <si>
    <t>(Lichtenstein, 1819)</t>
  </si>
  <si>
    <t>Valentón | Piraíba</t>
  </si>
  <si>
    <t>UICN: LC | MADS: VU</t>
  </si>
  <si>
    <t>FPVA_045</t>
  </si>
  <si>
    <t>FPVA_046</t>
  </si>
  <si>
    <t>Herrania</t>
  </si>
  <si>
    <t>(Poepp.) R.E. Schult.</t>
  </si>
  <si>
    <t>FPVA_047</t>
  </si>
  <si>
    <t>Dipsacales</t>
  </si>
  <si>
    <t>Viburnaceae</t>
  </si>
  <si>
    <t>Sambucus</t>
  </si>
  <si>
    <t>FPVA_048</t>
  </si>
  <si>
    <t>Oxalidales</t>
  </si>
  <si>
    <t>Oxalidaceae</t>
  </si>
  <si>
    <t>Averrhoa</t>
  </si>
  <si>
    <t>FPVA_049</t>
  </si>
  <si>
    <t>Asterales</t>
  </si>
  <si>
    <t>Asteraceae</t>
  </si>
  <si>
    <t>Ambrosia</t>
  </si>
  <si>
    <t>FPVA_050</t>
  </si>
  <si>
    <t>Psidium</t>
  </si>
  <si>
    <t>FPVA_051</t>
  </si>
  <si>
    <t>Serrasalmus</t>
  </si>
  <si>
    <t>Kner (1858/1860)</t>
  </si>
  <si>
    <t>FPVA_052</t>
  </si>
  <si>
    <t>FPVA_053</t>
  </si>
  <si>
    <t>Sw.</t>
  </si>
  <si>
    <t>FPVA_054</t>
  </si>
  <si>
    <t>Pimelodus</t>
  </si>
  <si>
    <t>Valenciennes, 1840.</t>
  </si>
  <si>
    <t>FPVA_055</t>
  </si>
  <si>
    <t>FPVA_056</t>
  </si>
  <si>
    <t>FPVA_057</t>
  </si>
  <si>
    <t>Ericales</t>
  </si>
  <si>
    <t>Sapotaceae</t>
  </si>
  <si>
    <t>Pouteria</t>
  </si>
  <si>
    <t>Aublet (Aubl.)</t>
  </si>
  <si>
    <t>FPVA_058</t>
  </si>
  <si>
    <t>Clusiaceae</t>
  </si>
  <si>
    <t>Garcinia</t>
  </si>
  <si>
    <t>(Kunth) Hammel</t>
  </si>
  <si>
    <t>FPVA_059</t>
  </si>
  <si>
    <t>Sapindaceae</t>
  </si>
  <si>
    <t>Matayba</t>
  </si>
  <si>
    <t>Radlk.</t>
  </si>
  <si>
    <t>FPVA_060</t>
  </si>
  <si>
    <t>Tracheophyta</t>
  </si>
  <si>
    <t>Zingiberales</t>
  </si>
  <si>
    <t>Zingiberaceae</t>
  </si>
  <si>
    <t>Zingiber</t>
  </si>
  <si>
    <t>Rosc. (Roscoe).</t>
  </si>
  <si>
    <t>FPVA_061</t>
  </si>
  <si>
    <t>Curcuma</t>
  </si>
  <si>
    <t>FPVA_063</t>
  </si>
  <si>
    <t>Tayassu</t>
  </si>
  <si>
    <t>Link, 1795.</t>
  </si>
  <si>
    <t>VU</t>
  </si>
  <si>
    <t>UICN: VU | MADS: EN</t>
  </si>
  <si>
    <t>FPVA_064</t>
  </si>
  <si>
    <t>Mylossoma</t>
  </si>
  <si>
    <t>(Cuvier, 1818).</t>
  </si>
  <si>
    <t>FPVA_065</t>
  </si>
  <si>
    <t>Ocimum</t>
  </si>
  <si>
    <t>(L.)</t>
  </si>
  <si>
    <t>Albahaca</t>
  </si>
  <si>
    <t>FPVA_066</t>
  </si>
  <si>
    <t>Asparagaceae</t>
  </si>
  <si>
    <t>Dracaena</t>
  </si>
  <si>
    <t>Dracaena trifasciata</t>
  </si>
  <si>
    <t>(Prain) Mabb.</t>
  </si>
  <si>
    <t>FPVA_067</t>
  </si>
  <si>
    <t>Robrichia</t>
  </si>
  <si>
    <t>(Benth.) A.R.M.Luz &amp; E.R.Souza</t>
  </si>
  <si>
    <t>FPVA_068</t>
  </si>
  <si>
    <t>FPVA_069</t>
  </si>
  <si>
    <t>FPVA_070</t>
  </si>
  <si>
    <t>Mangifera</t>
  </si>
  <si>
    <t>FPVA_071</t>
  </si>
  <si>
    <t>Tithonia</t>
  </si>
  <si>
    <t>(Hemsl.) A. Gray.</t>
  </si>
  <si>
    <t>FPVA_072</t>
  </si>
  <si>
    <t>FPVA_073</t>
  </si>
  <si>
    <t>FPVA_074</t>
  </si>
  <si>
    <t>Apeiba</t>
  </si>
  <si>
    <t>Aubl.</t>
  </si>
  <si>
    <t>FPVA_075</t>
  </si>
  <si>
    <t>Bryophyta</t>
  </si>
  <si>
    <t>FPVA_076</t>
  </si>
  <si>
    <t>FPVA_077</t>
  </si>
  <si>
    <t>FPVA_079</t>
  </si>
  <si>
    <t>Eigenmann,1913.</t>
  </si>
  <si>
    <t>FPVA_080</t>
  </si>
  <si>
    <t>Sansevieria</t>
  </si>
  <si>
    <t>Prain</t>
  </si>
  <si>
    <t>ID practica Uso</t>
  </si>
  <si>
    <t>Departamento</t>
  </si>
  <si>
    <t>Municipio</t>
  </si>
  <si>
    <t>Vereda</t>
  </si>
  <si>
    <t>Otro sitio específico</t>
  </si>
  <si>
    <t>ID_predio</t>
  </si>
  <si>
    <t>Nombre_predio</t>
  </si>
  <si>
    <t>Tenencia</t>
  </si>
  <si>
    <t>Área predio</t>
  </si>
  <si>
    <t>Altitud</t>
  </si>
  <si>
    <t xml:space="preserve">Sistema de referencia espacial </t>
  </si>
  <si>
    <t>Capa geográfica</t>
  </si>
  <si>
    <t>La Esperanza</t>
  </si>
  <si>
    <t>Tipo de producto</t>
  </si>
  <si>
    <t>Descripción del producto</t>
  </si>
  <si>
    <t>Destino Final</t>
  </si>
  <si>
    <t>Canales de comercio</t>
  </si>
  <si>
    <t>Aplicación</t>
  </si>
  <si>
    <t>Sector de aplicación</t>
  </si>
  <si>
    <t>Nivel de agregación del valor</t>
  </si>
  <si>
    <t>Producción</t>
  </si>
  <si>
    <t>Unidad de producción</t>
  </si>
  <si>
    <t>Costo</t>
  </si>
  <si>
    <t xml:space="preserve">Protocolos asociados </t>
  </si>
  <si>
    <t>Listas de referencias:</t>
  </si>
  <si>
    <t>Nombre Organizaciones</t>
  </si>
  <si>
    <t>Siglas</t>
  </si>
  <si>
    <t>ID actor (organizaciones)</t>
  </si>
  <si>
    <t>Nombre dinamico</t>
  </si>
  <si>
    <t>Condicional Sigla</t>
  </si>
  <si>
    <t>Condicional ID</t>
  </si>
  <si>
    <t>Categoría de uso</t>
  </si>
  <si>
    <t>Medios de obtención</t>
  </si>
  <si>
    <r>
      <rPr>
        <b/>
        <u/>
        <sz val="10"/>
        <color rgb="FF1155CC"/>
        <rFont val="Arial"/>
      </rPr>
      <t xml:space="preserve">Ecosistema
IDEAM et al. (2017) 
</t>
    </r>
    <r>
      <rPr>
        <b/>
        <u/>
        <sz val="7"/>
        <color rgb="FF1155CC"/>
        <rFont val="Arial"/>
      </rPr>
      <t>https://visualizador.ideam.gov.co/geonetwork/srv/spa/catalog.search#/metadata/0684d637-5b6a-40e8-80f4-bdf915b3e3da</t>
    </r>
    <r>
      <rPr>
        <b/>
        <u/>
        <sz val="7"/>
        <color rgb="FF1155CC"/>
        <rFont val="Arial"/>
      </rPr>
      <t xml:space="preserve"> </t>
    </r>
  </si>
  <si>
    <t>Universidad del Valle</t>
  </si>
  <si>
    <t>UNIVALLE</t>
  </si>
  <si>
    <t>ORG001</t>
  </si>
  <si>
    <t>Indígena</t>
  </si>
  <si>
    <t>05 ANTIOQUIA</t>
  </si>
  <si>
    <t>05001 MEDELLÍN</t>
  </si>
  <si>
    <t>Agroecosistema arrocero</t>
  </si>
  <si>
    <t>Huevo</t>
  </si>
  <si>
    <t>Punto de venta</t>
  </si>
  <si>
    <t>Materia prima</t>
  </si>
  <si>
    <t>Alimentos y bebidas</t>
  </si>
  <si>
    <t>Nativo</t>
  </si>
  <si>
    <t>EX</t>
  </si>
  <si>
    <t>propia</t>
  </si>
  <si>
    <t>Pontificia Universidad Javeriana</t>
  </si>
  <si>
    <t>PUJ</t>
  </si>
  <si>
    <t>ORG002</t>
  </si>
  <si>
    <t>Gitano(a), Rom</t>
  </si>
  <si>
    <t>08 ATLÁNTICO</t>
  </si>
  <si>
    <t>05002 ABEJORRAL</t>
  </si>
  <si>
    <t>Anfibios</t>
  </si>
  <si>
    <t>Crianza</t>
  </si>
  <si>
    <t>Agroecosistema cafetero</t>
  </si>
  <si>
    <t>Plataformas digitales</t>
  </si>
  <si>
    <t>Bajo valor</t>
  </si>
  <si>
    <t>Agrícola y pecuario</t>
  </si>
  <si>
    <t>Nativo reintroducido</t>
  </si>
  <si>
    <t>EW</t>
  </si>
  <si>
    <t>arriendo</t>
  </si>
  <si>
    <t>Universidad de Antioquia</t>
  </si>
  <si>
    <t>UdeA</t>
  </si>
  <si>
    <t>ORG003</t>
  </si>
  <si>
    <t>Raizal del Archipiélago de San Andrés; Providencia y Santa Catalina</t>
  </si>
  <si>
    <t>11 BOGOTÁ, D.C.</t>
  </si>
  <si>
    <t>05004 ABRIAQUÍ</t>
  </si>
  <si>
    <t>Raíz</t>
  </si>
  <si>
    <t>Aves</t>
  </si>
  <si>
    <t>Cosecha</t>
  </si>
  <si>
    <t>Agroecosistema cañero</t>
  </si>
  <si>
    <t>B2B/Provedor</t>
  </si>
  <si>
    <t>Intermedio valor</t>
  </si>
  <si>
    <t>Ingeniería</t>
  </si>
  <si>
    <t>Introducido</t>
  </si>
  <si>
    <t>RE</t>
  </si>
  <si>
    <t>colectiva</t>
  </si>
  <si>
    <t>Corporación Autónoma Regional de Cundinamarca</t>
  </si>
  <si>
    <t>CAR</t>
  </si>
  <si>
    <t>ORG004</t>
  </si>
  <si>
    <t>Negro(a); mulato(a); afrocolombiano(a); afrodescendiente</t>
  </si>
  <si>
    <t>13 BOLÍVAR</t>
  </si>
  <si>
    <t>05021 ALEJANDRÍA</t>
  </si>
  <si>
    <t>peces</t>
  </si>
  <si>
    <t>Propagación</t>
  </si>
  <si>
    <t>Agroecosistema de cultivos permanentes</t>
  </si>
  <si>
    <t>Cigoto</t>
  </si>
  <si>
    <t>Mercados campesinos o ferias locales</t>
  </si>
  <si>
    <t>Alto valor</t>
  </si>
  <si>
    <t>Medio ambiente</t>
  </si>
  <si>
    <t>Introducido con colonización asistida</t>
  </si>
  <si>
    <t>CR</t>
  </si>
  <si>
    <t>ocupación</t>
  </si>
  <si>
    <t>Corporación Autónoma Regional de Chivor</t>
  </si>
  <si>
    <t>CORPOCHIVOR</t>
  </si>
  <si>
    <t>ORG005</t>
  </si>
  <si>
    <t>Palenquero(a) de San Basilio</t>
  </si>
  <si>
    <t>15 BOYACÁ</t>
  </si>
  <si>
    <t>05030 AMAGÁ</t>
  </si>
  <si>
    <t>Agroecosistema de cultivos transitorios</t>
  </si>
  <si>
    <t>Embrión</t>
  </si>
  <si>
    <t>Supermercado</t>
  </si>
  <si>
    <t>Muy alto valor</t>
  </si>
  <si>
    <t>Cosmética</t>
  </si>
  <si>
    <t>Errante</t>
  </si>
  <si>
    <t>EN</t>
  </si>
  <si>
    <t>multifamiliar</t>
  </si>
  <si>
    <t>Corporación Autónoma Regional del Guavio</t>
  </si>
  <si>
    <t>CORPOGUAVIO</t>
  </si>
  <si>
    <t>ORG006</t>
  </si>
  <si>
    <t>17 CALDAS</t>
  </si>
  <si>
    <t>05031 AMALFI</t>
  </si>
  <si>
    <t>Semilla</t>
  </si>
  <si>
    <t>Reptiles</t>
  </si>
  <si>
    <t>Trueque</t>
  </si>
  <si>
    <t>Agroecosistema de mosaico de cultivos y espacios naturales</t>
  </si>
  <si>
    <t>Larva</t>
  </si>
  <si>
    <t>Micromercado/tiendas</t>
  </si>
  <si>
    <t>Aseo</t>
  </si>
  <si>
    <t>Incierto</t>
  </si>
  <si>
    <t>No Aplica</t>
  </si>
  <si>
    <t>Corporación Autónoma Regional de la Orinoquia</t>
  </si>
  <si>
    <t>CORPORINOQUIA</t>
  </si>
  <si>
    <t>ORG007</t>
  </si>
  <si>
    <t>Ninguna de las anteriores</t>
  </si>
  <si>
    <t>18 CAQUETÁ</t>
  </si>
  <si>
    <t>05034 ANDES</t>
  </si>
  <si>
    <t>Espinas</t>
  </si>
  <si>
    <t>Ambiental</t>
  </si>
  <si>
    <t>Cultivo</t>
  </si>
  <si>
    <t>Agroecosistema de mosaico de cultivos y pastos</t>
  </si>
  <si>
    <t>Esporófito</t>
  </si>
  <si>
    <t>Retail</t>
  </si>
  <si>
    <t>Fármacos</t>
  </si>
  <si>
    <t>Endémica</t>
  </si>
  <si>
    <t>Ministerio de Transporte</t>
  </si>
  <si>
    <t>Mintransporte</t>
  </si>
  <si>
    <t>ORG008</t>
  </si>
  <si>
    <t xml:space="preserve">No aplica </t>
  </si>
  <si>
    <t>19 CAUCA</t>
  </si>
  <si>
    <t>05036 ANGELÓPOLIS</t>
  </si>
  <si>
    <t>Hongos</t>
  </si>
  <si>
    <t>Agroecosistema de mosaico de cultivos, pastos y espacios naturales</t>
  </si>
  <si>
    <t>Espora</t>
  </si>
  <si>
    <t>Canales mayoristas</t>
  </si>
  <si>
    <t>Medicina y salud</t>
  </si>
  <si>
    <t>Ministerio de Ambiente y Desarrollo Sostenible</t>
  </si>
  <si>
    <t>Minambiente</t>
  </si>
  <si>
    <t>ORG009</t>
  </si>
  <si>
    <t>fuente: CNA_DANE_P_S15P170</t>
  </si>
  <si>
    <t>20 CESAR</t>
  </si>
  <si>
    <t>05038 ANGOSTURA</t>
  </si>
  <si>
    <t>Fuente Genética</t>
  </si>
  <si>
    <t>Algas</t>
  </si>
  <si>
    <t>Agroecosistema de mosaico de pastos y espacios naturales</t>
  </si>
  <si>
    <t>Gametofito</t>
  </si>
  <si>
    <t>Energía</t>
  </si>
  <si>
    <t>Gobernación de Boyacá</t>
  </si>
  <si>
    <t>GOBoyacá</t>
  </si>
  <si>
    <t>ORG010</t>
  </si>
  <si>
    <t>23 CÓRDOBA</t>
  </si>
  <si>
    <t>05040 ANORÍ</t>
  </si>
  <si>
    <t>Exudado</t>
  </si>
  <si>
    <t>Investigación</t>
  </si>
  <si>
    <t>Moluscos</t>
  </si>
  <si>
    <t>Agroecosistema forestal</t>
  </si>
  <si>
    <t>Gameto</t>
  </si>
  <si>
    <t>Consultoría</t>
  </si>
  <si>
    <t>NA</t>
  </si>
  <si>
    <t>La Red de Investigación y Monitoreo del Bosque Seco Tropical en Colombia (Red BST-Col)</t>
  </si>
  <si>
    <t>ORG011</t>
  </si>
  <si>
    <t>25 CUNDINAMARCA</t>
  </si>
  <si>
    <t>05042 SANTA FÉ DE ANTIOQUIA</t>
  </si>
  <si>
    <t>Agallas</t>
  </si>
  <si>
    <t>Químico</t>
  </si>
  <si>
    <t>Artrópodos</t>
  </si>
  <si>
    <t>Agroecosistema ganadero</t>
  </si>
  <si>
    <t>Pupa</t>
  </si>
  <si>
    <t>Divulgación</t>
  </si>
  <si>
    <t>Grupo de Especialistas de Plantas de Colombia</t>
  </si>
  <si>
    <t>ORG012</t>
  </si>
  <si>
    <t>27 CHOCÓ</t>
  </si>
  <si>
    <t>05044 ANZÁ</t>
  </si>
  <si>
    <t>Polen</t>
  </si>
  <si>
    <t>Bacterias</t>
  </si>
  <si>
    <t>Agroecosistema palmero</t>
  </si>
  <si>
    <t>Plántula</t>
  </si>
  <si>
    <t>Red Nacional de Conectividad Ecológica</t>
  </si>
  <si>
    <t>ORG013</t>
  </si>
  <si>
    <t>41 HUILA</t>
  </si>
  <si>
    <t>05045 APARTADÓ</t>
  </si>
  <si>
    <t>Protozoos</t>
  </si>
  <si>
    <t>Agroecosistema papero</t>
  </si>
  <si>
    <t>Bioinformática</t>
  </si>
  <si>
    <t>Grupo-red de conocimiento Coleoptera de Colombia</t>
  </si>
  <si>
    <t>ORG014</t>
  </si>
  <si>
    <t>44 LA GUAJIRA</t>
  </si>
  <si>
    <t>05051 ARBOLETES</t>
  </si>
  <si>
    <t>Inflorescencias</t>
  </si>
  <si>
    <t>Virus</t>
  </si>
  <si>
    <t>Agroecosistema platanero y bananero</t>
  </si>
  <si>
    <t>Textil</t>
  </si>
  <si>
    <t>Red de Investigadores en Ecohidrología y Ecohidráulica</t>
  </si>
  <si>
    <t>Redecohh</t>
  </si>
  <si>
    <t>ORG015</t>
  </si>
  <si>
    <t>47 MAGDALENA</t>
  </si>
  <si>
    <t>05055 ARGELIA</t>
  </si>
  <si>
    <t>Pulpa</t>
  </si>
  <si>
    <t>Arbustal andino humedo</t>
  </si>
  <si>
    <t>Red Colombiana de Restauración Ecológica</t>
  </si>
  <si>
    <t>ORG016</t>
  </si>
  <si>
    <t>05059 ARMENIA</t>
  </si>
  <si>
    <t>Otra parte de la planta</t>
  </si>
  <si>
    <t>Arbustal basal humedo</t>
  </si>
  <si>
    <t>Turismo</t>
  </si>
  <si>
    <t>Mesa ambiental "Cuidado del Midioambiente y Desarrollo Sostenible"</t>
  </si>
  <si>
    <t>ORG017</t>
  </si>
  <si>
    <t>52 NARIÑO</t>
  </si>
  <si>
    <t>05079 BARBOSA</t>
  </si>
  <si>
    <t>Arbustal inundable andino</t>
  </si>
  <si>
    <t>Forestal</t>
  </si>
  <si>
    <t>Unidad Administrativa Especial de Parques Nacionales Naturales</t>
  </si>
  <si>
    <t>UAESPNN</t>
  </si>
  <si>
    <t>ORG018</t>
  </si>
  <si>
    <t>54 NORTE DE SANTANDER</t>
  </si>
  <si>
    <t>05086 BELMIRA</t>
  </si>
  <si>
    <t>Cabeza</t>
  </si>
  <si>
    <t>Arbustal inundable basal</t>
  </si>
  <si>
    <t>Política pública</t>
  </si>
  <si>
    <t>Comité Técnico de Sostenibilidad</t>
  </si>
  <si>
    <t>ORG019</t>
  </si>
  <si>
    <t>63 QUINDÍO</t>
  </si>
  <si>
    <t>05088 BELLO</t>
  </si>
  <si>
    <t>Cráneo</t>
  </si>
  <si>
    <t>Arbustal inundable costero</t>
  </si>
  <si>
    <t>Educación</t>
  </si>
  <si>
    <t>Instituto de Hidrología Meteorología y estudios Ambientales</t>
  </si>
  <si>
    <t>IDEAM</t>
  </si>
  <si>
    <t>ORG020</t>
  </si>
  <si>
    <t>66 RISARALDA</t>
  </si>
  <si>
    <t>05091 BETANIA</t>
  </si>
  <si>
    <t>Arbustal inundable subandino</t>
  </si>
  <si>
    <t>Corporación para el Desarrollo Sostenible del Área de Manejo Especial de La Macarena</t>
  </si>
  <si>
    <t>CORMACARENA</t>
  </si>
  <si>
    <t>ORG021</t>
  </si>
  <si>
    <t>68 SANTANDER</t>
  </si>
  <si>
    <t>05093 BETULIA</t>
  </si>
  <si>
    <t>Patas</t>
  </si>
  <si>
    <t>Arbustal subandino humedo</t>
  </si>
  <si>
    <t>Finanzas</t>
  </si>
  <si>
    <t>Corporación Autónoma Regional del Alto Magdalena</t>
  </si>
  <si>
    <t>CAM</t>
  </si>
  <si>
    <t>ORG022</t>
  </si>
  <si>
    <t>70 SUCRE</t>
  </si>
  <si>
    <t>05101 CIUDAD BOLÍVAR</t>
  </si>
  <si>
    <t>Aletas</t>
  </si>
  <si>
    <t>Bosque andino humedo</t>
  </si>
  <si>
    <t>Gobernación de Cundinamarca</t>
  </si>
  <si>
    <t>Gob. Cundinamarca</t>
  </si>
  <si>
    <t>ORG023</t>
  </si>
  <si>
    <t>73 TOLIMA</t>
  </si>
  <si>
    <t>05107 BRICEÑO</t>
  </si>
  <si>
    <t>Órganos</t>
  </si>
  <si>
    <t>Bosque andino seco</t>
  </si>
  <si>
    <t>Jardín Botánico de Bogotá José Celestino Mutis</t>
  </si>
  <si>
    <t>JBB</t>
  </si>
  <si>
    <t>ORG024</t>
  </si>
  <si>
    <t>76 VALLE DEL CAUCA</t>
  </si>
  <si>
    <t>05113 BURITICÁ</t>
  </si>
  <si>
    <t>Vísceras</t>
  </si>
  <si>
    <t>Bosque basal humedo</t>
  </si>
  <si>
    <t>Empresa de Acueducto y Alcantarillado de Bogotá</t>
  </si>
  <si>
    <t>EAAB</t>
  </si>
  <si>
    <t>ORG025</t>
  </si>
  <si>
    <t>81 ARAUCA</t>
  </si>
  <si>
    <t>05120 CÁCERES</t>
  </si>
  <si>
    <t>Hígado</t>
  </si>
  <si>
    <t>Bosque basal seco</t>
  </si>
  <si>
    <t>Centro de Investigaciones y Altos Estudios Legislativos</t>
  </si>
  <si>
    <t>CAEL</t>
  </si>
  <si>
    <t>ORG026</t>
  </si>
  <si>
    <t>85 CASANARE</t>
  </si>
  <si>
    <t>05125 CAICEDO</t>
  </si>
  <si>
    <t>Corazón</t>
  </si>
  <si>
    <t>Bosque de galeria basal humedo</t>
  </si>
  <si>
    <t>Parque Nacional Natural Sumapaz</t>
  </si>
  <si>
    <t>ORG027</t>
  </si>
  <si>
    <t>86 PUTUMAYO</t>
  </si>
  <si>
    <t>05129 CALDAS</t>
  </si>
  <si>
    <t>Pulmones</t>
  </si>
  <si>
    <t>Bosque de galeria basal seco</t>
  </si>
  <si>
    <t>Organización de las Naciones Unidas para el Desarrollo Industrial</t>
  </si>
  <si>
    <t>ONUDI</t>
  </si>
  <si>
    <t>ORG028</t>
  </si>
  <si>
    <t>88 ARCHIPIÉLAGO DE SAN ANDRÉS, PROVIDENCIA Y SANTA CATALINA</t>
  </si>
  <si>
    <t>05134 CAMPAMENTO</t>
  </si>
  <si>
    <t>Estomago</t>
  </si>
  <si>
    <t>Bosque de galeria inundable basal</t>
  </si>
  <si>
    <t>Agencia Nacional de Seguridad Vial</t>
  </si>
  <si>
    <t>ANSV</t>
  </si>
  <si>
    <t>ORG029</t>
  </si>
  <si>
    <t>91 AMAZONAS</t>
  </si>
  <si>
    <t>05138 CAÑASGORDAS</t>
  </si>
  <si>
    <t>Lengua</t>
  </si>
  <si>
    <t>Bosque de galeria inundable costero</t>
  </si>
  <si>
    <t>Censat Agua Viva</t>
  </si>
  <si>
    <t>CENSAT</t>
  </si>
  <si>
    <t>ORG030</t>
  </si>
  <si>
    <t>94 GUAINÍA</t>
  </si>
  <si>
    <t>05142 CARACOLÍ</t>
  </si>
  <si>
    <t>Piel</t>
  </si>
  <si>
    <t>Bosque fragmentado con pastos y cultivos</t>
  </si>
  <si>
    <t>Red Territorial de Acueductos Comunitarios de Bogotá y Cundinamarca</t>
  </si>
  <si>
    <t>ORG031</t>
  </si>
  <si>
    <t>95 GUAVIARE</t>
  </si>
  <si>
    <t>05145 CARAMANTA</t>
  </si>
  <si>
    <t>Ojos</t>
  </si>
  <si>
    <t>Bosque fragmentado con vegetacion secundaria</t>
  </si>
  <si>
    <t>Agencia Nacional de Infraestructura</t>
  </si>
  <si>
    <t>ANI</t>
  </si>
  <si>
    <t>ORG032</t>
  </si>
  <si>
    <t>97 VAUPÉS</t>
  </si>
  <si>
    <t>05147 CAREPA</t>
  </si>
  <si>
    <t>Cola</t>
  </si>
  <si>
    <t>Bosque inundable andino</t>
  </si>
  <si>
    <t>Mesa Hídrica del Sumapaz Ariari</t>
  </si>
  <si>
    <t>ORG033</t>
  </si>
  <si>
    <t>99 VICHADA</t>
  </si>
  <si>
    <t>05148 EL CARMEN DE VIBORAL</t>
  </si>
  <si>
    <t>Bosque inundable basal</t>
  </si>
  <si>
    <t>Administración Nacional de Aeronáutica y el Espacio (EEUU)</t>
  </si>
  <si>
    <t>NASA</t>
  </si>
  <si>
    <t>ORG034</t>
  </si>
  <si>
    <t>05150 CAROLINA</t>
  </si>
  <si>
    <t>Dientes</t>
  </si>
  <si>
    <t>Bosque inundable costero</t>
  </si>
  <si>
    <t>Cabildo Verde de Soacha</t>
  </si>
  <si>
    <t>ORG035</t>
  </si>
  <si>
    <t>05154 CAUCASIA</t>
  </si>
  <si>
    <t>Estructuras óseas</t>
  </si>
  <si>
    <t>Bosque inundable subandino</t>
  </si>
  <si>
    <t>Voces Agua</t>
  </si>
  <si>
    <t>ORG036</t>
  </si>
  <si>
    <t>05172 CHIGORODÓ</t>
  </si>
  <si>
    <t>Cuernos</t>
  </si>
  <si>
    <t>Bosque mixto de guandal</t>
  </si>
  <si>
    <t>Colparques</t>
  </si>
  <si>
    <t>ORG037</t>
  </si>
  <si>
    <t>05190 CISNEROS</t>
  </si>
  <si>
    <t>Huesos</t>
  </si>
  <si>
    <t>Bosque ripario inundable subandino</t>
  </si>
  <si>
    <t>Parque Nacional Natural Chingaza</t>
  </si>
  <si>
    <t>ORG038</t>
  </si>
  <si>
    <t>05197 COCORNÁ</t>
  </si>
  <si>
    <t>Garras</t>
  </si>
  <si>
    <t>Bosque subandino humedo</t>
  </si>
  <si>
    <t>Organización para la Cooperación y el Desarrollo Económico</t>
  </si>
  <si>
    <t>OCDE</t>
  </si>
  <si>
    <t>ORG039</t>
  </si>
  <si>
    <t>05206 CONCEPCIÓN</t>
  </si>
  <si>
    <t>Bosque subandino seco</t>
  </si>
  <si>
    <t>Red Nacional de Acueductos Comunitarios</t>
  </si>
  <si>
    <t>ORG040</t>
  </si>
  <si>
    <t>05209 CONCORDIA</t>
  </si>
  <si>
    <t>Orejas</t>
  </si>
  <si>
    <t>Complejos rocosos de los andes</t>
  </si>
  <si>
    <t>Gobernación del Meta</t>
  </si>
  <si>
    <t>ORG041</t>
  </si>
  <si>
    <t>05212 COPACABANA</t>
  </si>
  <si>
    <t>Pelo</t>
  </si>
  <si>
    <t>Complejos rocosos de serranias</t>
  </si>
  <si>
    <t>Alcaldía de Bogotá</t>
  </si>
  <si>
    <t>ORG042</t>
  </si>
  <si>
    <t>05234 DABEIBA</t>
  </si>
  <si>
    <t>Plumas</t>
  </si>
  <si>
    <t>Coralino continental</t>
  </si>
  <si>
    <t>Ministerio de Minas y Energía</t>
  </si>
  <si>
    <t>Minenergía</t>
  </si>
  <si>
    <t>ORG043</t>
  </si>
  <si>
    <t>05237 DONMATÍAS</t>
  </si>
  <si>
    <t>Pico</t>
  </si>
  <si>
    <t>Coralino oceanico</t>
  </si>
  <si>
    <t>Ministerio de Agricultura y Desarrollo Rural</t>
  </si>
  <si>
    <t>Minagricultura</t>
  </si>
  <si>
    <t>ORG044</t>
  </si>
  <si>
    <t>05240 EBÉJICO</t>
  </si>
  <si>
    <t>Sangre</t>
  </si>
  <si>
    <t>Cuerpo de agua artificial</t>
  </si>
  <si>
    <t>Ministerio de Cultura</t>
  </si>
  <si>
    <t>Mincultura</t>
  </si>
  <si>
    <t>ORG045</t>
  </si>
  <si>
    <t>05250 EL BAGRE</t>
  </si>
  <si>
    <t>Grasa</t>
  </si>
  <si>
    <t>Desierto</t>
  </si>
  <si>
    <t>Instituto Nacional de Salud</t>
  </si>
  <si>
    <t>INS</t>
  </si>
  <si>
    <t>ORG046</t>
  </si>
  <si>
    <t>05264 ENTRERRÍOS</t>
  </si>
  <si>
    <t>Bilis</t>
  </si>
  <si>
    <t>Fondos blandos</t>
  </si>
  <si>
    <t>Instituto Nacional de Vías</t>
  </si>
  <si>
    <t>INVIAS</t>
  </si>
  <si>
    <t>ORG047</t>
  </si>
  <si>
    <t>05266 ENVIGADO</t>
  </si>
  <si>
    <t>Excremento</t>
  </si>
  <si>
    <t>Fondos blandos con vegetacion no vascular</t>
  </si>
  <si>
    <t>Fondo Nacional de Regalías</t>
  </si>
  <si>
    <t>ORG048</t>
  </si>
  <si>
    <t>05282 FREDONIA</t>
  </si>
  <si>
    <t>Partes genitales</t>
  </si>
  <si>
    <t>Fondos duros con vegetacion no vascular</t>
  </si>
  <si>
    <t>Instituto Geográfico Agustín Codazzi</t>
  </si>
  <si>
    <t>IGAC</t>
  </si>
  <si>
    <t>ORG049</t>
  </si>
  <si>
    <t>05284 FRONTINO</t>
  </si>
  <si>
    <t>Uñas</t>
  </si>
  <si>
    <t>Fondos duros no coralinos</t>
  </si>
  <si>
    <t>Servicio Geológico Colombiano</t>
  </si>
  <si>
    <t>INGEOMINAS</t>
  </si>
  <si>
    <t>ORG050</t>
  </si>
  <si>
    <t>05306 GIRALDO</t>
  </si>
  <si>
    <t>Orina</t>
  </si>
  <si>
    <t>Glaciares y nivales</t>
  </si>
  <si>
    <t>Departamento Administrativo Nacional de Estadística</t>
  </si>
  <si>
    <t>DANE</t>
  </si>
  <si>
    <t>ORG051</t>
  </si>
  <si>
    <t>05308 GIRARDOTA</t>
  </si>
  <si>
    <t>Otra parte del animal</t>
  </si>
  <si>
    <t>Herbazal andino humedo</t>
  </si>
  <si>
    <t>Universidad de Ciencias Aplicadas y Ambientales</t>
  </si>
  <si>
    <t>UDCA</t>
  </si>
  <si>
    <t>ORG052</t>
  </si>
  <si>
    <t>05310 GÓMEZ PLATA</t>
  </si>
  <si>
    <t>Todo el hongo</t>
  </si>
  <si>
    <t>Herbazal basal humedo</t>
  </si>
  <si>
    <t>Instituto Colombiano de Desarrollo Rural</t>
  </si>
  <si>
    <t>INCODER</t>
  </si>
  <si>
    <t>ORG053</t>
  </si>
  <si>
    <t>05313 GRANADA</t>
  </si>
  <si>
    <t>Sombrero</t>
  </si>
  <si>
    <t>Herbazal inundable andino</t>
  </si>
  <si>
    <t>Agencia Nacional de Tierras</t>
  </si>
  <si>
    <t>ANT</t>
  </si>
  <si>
    <t>ORG054</t>
  </si>
  <si>
    <t>05315 GUADALUPE</t>
  </si>
  <si>
    <t>Himenio</t>
  </si>
  <si>
    <t>Herbazal inundable basal</t>
  </si>
  <si>
    <t>Ministerio de Ciencia,Tecnología e Innovación (antes Colciencias)</t>
  </si>
  <si>
    <t>Minciencias</t>
  </si>
  <si>
    <t>ORG055</t>
  </si>
  <si>
    <t>05318 GUARNE</t>
  </si>
  <si>
    <t>Anillo</t>
  </si>
  <si>
    <t>Herbazal inundable costero</t>
  </si>
  <si>
    <t>Instituto Amazónico de Investigaciones Científicas Sinchi</t>
  </si>
  <si>
    <t>Sinchi</t>
  </si>
  <si>
    <t>ORG056</t>
  </si>
  <si>
    <t>05321 GUATAPÉ</t>
  </si>
  <si>
    <t>Piel hongo</t>
  </si>
  <si>
    <t>Herbazal inundable subandino</t>
  </si>
  <si>
    <t>Instituto de Ciencias Naturales de la Universidad Nacional de Colombia</t>
  </si>
  <si>
    <t>ICN</t>
  </si>
  <si>
    <t>ORG057</t>
  </si>
  <si>
    <t>05347 HELICONIA</t>
  </si>
  <si>
    <t>Volva</t>
  </si>
  <si>
    <t>Herbazal subandino humedo</t>
  </si>
  <si>
    <t>Instituto de Investigaciones Marinas y Costeras “José Benito Vives De Andréis”</t>
  </si>
  <si>
    <t>Invemar</t>
  </si>
  <si>
    <t>ORG058</t>
  </si>
  <si>
    <t>05353 HISPANIA</t>
  </si>
  <si>
    <t>Micelio</t>
  </si>
  <si>
    <t>Lago Tectonico</t>
  </si>
  <si>
    <t>Corporación Nacional de Investigación y Fomento Forestal</t>
  </si>
  <si>
    <t>Conif</t>
  </si>
  <si>
    <t>ORG059</t>
  </si>
  <si>
    <t>05360 ITAGÜÍ</t>
  </si>
  <si>
    <t>Otra parte del hongo</t>
  </si>
  <si>
    <t>Laguna Aluvial</t>
  </si>
  <si>
    <t>Corporación Autónoma Regional de la Frontera Nororiental</t>
  </si>
  <si>
    <t>Corponor</t>
  </si>
  <si>
    <t>ORG060</t>
  </si>
  <si>
    <t>05361 ITUANGO</t>
  </si>
  <si>
    <t>Toda el alga</t>
  </si>
  <si>
    <t>Laguna costera</t>
  </si>
  <si>
    <t>Corporación para el Desarrollo Sostenible del Sur de la Amazonia</t>
  </si>
  <si>
    <t>CORPOAMAZONIA</t>
  </si>
  <si>
    <t>ORG061</t>
  </si>
  <si>
    <t>05364 JARDÍN</t>
  </si>
  <si>
    <t>Talo</t>
  </si>
  <si>
    <t>Laguna Glacial</t>
  </si>
  <si>
    <t>Universidad Nacional de Colombia</t>
  </si>
  <si>
    <t>UNAL</t>
  </si>
  <si>
    <t>ORG062</t>
  </si>
  <si>
    <t>05368 JERICÓ</t>
  </si>
  <si>
    <t>Leaminas</t>
  </si>
  <si>
    <t>Laguna tectonica</t>
  </si>
  <si>
    <t>Fundación Pro-Sierra Nevada de Santa Marta</t>
  </si>
  <si>
    <t>Pro-Sierra</t>
  </si>
  <si>
    <t>ORG063</t>
  </si>
  <si>
    <t>05376 LA CEJA</t>
  </si>
  <si>
    <t>Fronda</t>
  </si>
  <si>
    <t>Llanura mareal</t>
  </si>
  <si>
    <t>Fundación para la Educación y el Desarrollo Social</t>
  </si>
  <si>
    <t>FES</t>
  </si>
  <si>
    <t>ORG064</t>
  </si>
  <si>
    <t>05380 LA ESTRELLA</t>
  </si>
  <si>
    <t>Estipe</t>
  </si>
  <si>
    <t>Manglar</t>
  </si>
  <si>
    <t>Presidencia de la República</t>
  </si>
  <si>
    <t>ORG065</t>
  </si>
  <si>
    <t>05390 LA PINTADA</t>
  </si>
  <si>
    <t>Disco</t>
  </si>
  <si>
    <t>Manglar de aguas marinas</t>
  </si>
  <si>
    <t>Departamento Nacional de Planeación</t>
  </si>
  <si>
    <t>DNP</t>
  </si>
  <si>
    <t>ORG066</t>
  </si>
  <si>
    <t>05400 LA UNIÓN</t>
  </si>
  <si>
    <t>Otra parte del alga</t>
  </si>
  <si>
    <t>Manglar de aguas mixohalinas</t>
  </si>
  <si>
    <t>Instituto de Investigaciones Ambientales del Pacífico</t>
  </si>
  <si>
    <t>IIAP</t>
  </si>
  <si>
    <t>ORG067</t>
  </si>
  <si>
    <t>05411 LIBORINA</t>
  </si>
  <si>
    <t>Todo el microorgamismo</t>
  </si>
  <si>
    <t>Otras areas</t>
  </si>
  <si>
    <t>Autoridad Nacional de Licencias Ambientales</t>
  </si>
  <si>
    <t>ANLA</t>
  </si>
  <si>
    <t>ORG068</t>
  </si>
  <si>
    <t>05425 MACEO</t>
  </si>
  <si>
    <t>Enzimas</t>
  </si>
  <si>
    <t>Paramo</t>
  </si>
  <si>
    <t>Corporación Autónoma Regional para el Desarrollo Sostenible del Chocó</t>
  </si>
  <si>
    <t>CODECHOCÓ</t>
  </si>
  <si>
    <t>ORG069</t>
  </si>
  <si>
    <t>05440 MARINILLA</t>
  </si>
  <si>
    <t>Plásmidos</t>
  </si>
  <si>
    <t>Playas costeras</t>
  </si>
  <si>
    <t>Corporación Autónoma Regional de Risaralda</t>
  </si>
  <si>
    <t>CARDER</t>
  </si>
  <si>
    <t>ORG070</t>
  </si>
  <si>
    <t>05467 MONTEBELLO</t>
  </si>
  <si>
    <t>Otra parte del microorganismo</t>
  </si>
  <si>
    <t>Pradera de pastos marinos</t>
  </si>
  <si>
    <t>Corporación Autónoma Regional del Canal del Dique</t>
  </si>
  <si>
    <t>CARDIQUE</t>
  </si>
  <si>
    <t>ORG071</t>
  </si>
  <si>
    <t>05475 MURINDÓ</t>
  </si>
  <si>
    <t>Rio de Aguas Blancas</t>
  </si>
  <si>
    <t>Corporación Autónoma Regional de Sucre</t>
  </si>
  <si>
    <t>CARSUCRE</t>
  </si>
  <si>
    <t>ORG072</t>
  </si>
  <si>
    <t>05480 MUTATÁ</t>
  </si>
  <si>
    <t>Rio de Aguas Claras</t>
  </si>
  <si>
    <t>Corporación Autónoma Regional de Santander</t>
  </si>
  <si>
    <t>CAS</t>
  </si>
  <si>
    <t>ORG073</t>
  </si>
  <si>
    <t>05483 NARIÑO</t>
  </si>
  <si>
    <t>Rio de Aguas Negras</t>
  </si>
  <si>
    <t>Corporación para el Desarrollo Sostenible del Norte y el Oriente Amazónico</t>
  </si>
  <si>
    <t>CDA</t>
  </si>
  <si>
    <t>ORG074</t>
  </si>
  <si>
    <t>05490 NECOCLÍ</t>
  </si>
  <si>
    <t>Sabana estacional</t>
  </si>
  <si>
    <t>Corporación Autónoma Regional para la Defensa de la Meseta de Bucaramanga</t>
  </si>
  <si>
    <t>CDMB</t>
  </si>
  <si>
    <t>ORG075</t>
  </si>
  <si>
    <t>05495 NECHÍ</t>
  </si>
  <si>
    <t>Sabana inundable</t>
  </si>
  <si>
    <t>Corporación para el Desarrollo Sostenible del Archipiélago de San Andrés, Providencia y Santa Catalina</t>
  </si>
  <si>
    <t>CORALINA</t>
  </si>
  <si>
    <t>ORG076</t>
  </si>
  <si>
    <t>05501 OLAYA</t>
  </si>
  <si>
    <t>Sin informacion</t>
  </si>
  <si>
    <t>Corporación Autónoma Regional del Centro de Antioquia</t>
  </si>
  <si>
    <t>CORANTIOQUIA</t>
  </si>
  <si>
    <t>ORG077</t>
  </si>
  <si>
    <t>05541 PEÑOL</t>
  </si>
  <si>
    <t>Subxerofitia andina</t>
  </si>
  <si>
    <t>Corporación Autónoma Regional de las Cuencas de los Ríos Negro y Nare</t>
  </si>
  <si>
    <t>CORNARE</t>
  </si>
  <si>
    <t>ORG078</t>
  </si>
  <si>
    <t>05543 PEQUE</t>
  </si>
  <si>
    <t>Subxerofitia basal</t>
  </si>
  <si>
    <t>Corporación Autónoma Regional del Magdalena</t>
  </si>
  <si>
    <t>CORPAMAG</t>
  </si>
  <si>
    <t>ORG079</t>
  </si>
  <si>
    <t>05576 PUEBLORRICO</t>
  </si>
  <si>
    <t>Subxerofitia subandina</t>
  </si>
  <si>
    <t>Corporación Autónoma Regional de Boyacá</t>
  </si>
  <si>
    <t>CORPOBOYACÁ</t>
  </si>
  <si>
    <t>ORG080</t>
  </si>
  <si>
    <t>05579 PUERTO BERRÍO</t>
  </si>
  <si>
    <t>Territorio artificializado</t>
  </si>
  <si>
    <t>Corporación Autónoma Regional de Caldas</t>
  </si>
  <si>
    <t>CORPOCALDAS</t>
  </si>
  <si>
    <t>ORG081</t>
  </si>
  <si>
    <t>05585 PUERTO NARE</t>
  </si>
  <si>
    <t>Transicional transformado</t>
  </si>
  <si>
    <t>Corporación Autónoma Regional del Cesar</t>
  </si>
  <si>
    <t>CORPOCESAR</t>
  </si>
  <si>
    <t>ORG082</t>
  </si>
  <si>
    <t>05591 PUERTO TRIUNFO</t>
  </si>
  <si>
    <t>Transicional transformado costero</t>
  </si>
  <si>
    <t>Corporación Autónoma Regional de La Guajira</t>
  </si>
  <si>
    <t>CORPOGUAJIRA</t>
  </si>
  <si>
    <t>ORG083</t>
  </si>
  <si>
    <t>05604 REMEDIOS</t>
  </si>
  <si>
    <t>Turbera andina</t>
  </si>
  <si>
    <t>Corporación para el Desarrollo Sostenible de La Mojana y El San Jorge</t>
  </si>
  <si>
    <t>CORPOMOJANA</t>
  </si>
  <si>
    <t>ORG084</t>
  </si>
  <si>
    <t>05607 RETIRO</t>
  </si>
  <si>
    <t>Turbera de paramo</t>
  </si>
  <si>
    <t>Corporación Autónoma Regional de Nariño</t>
  </si>
  <si>
    <t>CORPONARIÑO</t>
  </si>
  <si>
    <t>ORG085</t>
  </si>
  <si>
    <t>05615 RIONEGRO</t>
  </si>
  <si>
    <t>Vegetacion secundaria</t>
  </si>
  <si>
    <t>CORPONOR</t>
  </si>
  <si>
    <t>ORG086</t>
  </si>
  <si>
    <t>05628 SABANALARGA</t>
  </si>
  <si>
    <t>Xerofitia arida</t>
  </si>
  <si>
    <t>Corporación para el Desarrollo Sostenible del Urabá</t>
  </si>
  <si>
    <t>CORPOURABA</t>
  </si>
  <si>
    <t>ORG087</t>
  </si>
  <si>
    <t>05631 SABANETA</t>
  </si>
  <si>
    <t>Xerofitia desertica</t>
  </si>
  <si>
    <t>Corporación Autónoma Regional del Tolima</t>
  </si>
  <si>
    <t>CORTOLIMA</t>
  </si>
  <si>
    <t>ORG088</t>
  </si>
  <si>
    <t>05642 SALGAR</t>
  </si>
  <si>
    <t>Zona pantanosa andina</t>
  </si>
  <si>
    <t>Corporación Autónoma Regional del Atlántico</t>
  </si>
  <si>
    <t>CRA</t>
  </si>
  <si>
    <t>ORG089</t>
  </si>
  <si>
    <t>05647 SAN ANDRÉS DE CUERQUÍA</t>
  </si>
  <si>
    <t>Zona pantanosa basal</t>
  </si>
  <si>
    <t>Corporación Autónoma Regional del Cauca</t>
  </si>
  <si>
    <t>CRC</t>
  </si>
  <si>
    <t>ORG090</t>
  </si>
  <si>
    <t>05649 SAN CARLOS</t>
  </si>
  <si>
    <t>Zona pantanosa subandina</t>
  </si>
  <si>
    <t>Corporación Autónoma Regional del Quindío</t>
  </si>
  <si>
    <t>CRQ</t>
  </si>
  <si>
    <t>ORG091</t>
  </si>
  <si>
    <t>05652 SAN FRANCISCO</t>
  </si>
  <si>
    <t>Zonas arenosas naturales</t>
  </si>
  <si>
    <t>Corporación Autónoma Regional del Sur de Bolívar</t>
  </si>
  <si>
    <t>CSB</t>
  </si>
  <si>
    <t>ORG092</t>
  </si>
  <si>
    <t>05656 SAN JERÓNIMO</t>
  </si>
  <si>
    <t>Zonas pantanosas costeras</t>
  </si>
  <si>
    <t>Corporación Autónoma Regional del Valle del Cauca</t>
  </si>
  <si>
    <t>CVC</t>
  </si>
  <si>
    <t>ORG093</t>
  </si>
  <si>
    <t>05658 SAN JOSÉ DE LA MONTAÑA</t>
  </si>
  <si>
    <t>Zonas pantanosas salinas</t>
  </si>
  <si>
    <t>Corporación Autónoma Regional de los Valles del Sinú y del San Jorge</t>
  </si>
  <si>
    <t>CVS</t>
  </si>
  <si>
    <t>ORG094</t>
  </si>
  <si>
    <t>05659 SAN JUAN DE URABÁ</t>
  </si>
  <si>
    <t>Asociación de Corporaciones Autónomas Regionales y de Desarrollo Sostenible</t>
  </si>
  <si>
    <t>ASOCARS</t>
  </si>
  <si>
    <t>ORG095</t>
  </si>
  <si>
    <t>05660 SAN LUIS</t>
  </si>
  <si>
    <t>Fondo de Adaptación</t>
  </si>
  <si>
    <t>ORG096</t>
  </si>
  <si>
    <t>05664 SAN PEDRO DE LOS MILAGROS</t>
  </si>
  <si>
    <t>Gobernación de Nariño</t>
  </si>
  <si>
    <t>ORG097</t>
  </si>
  <si>
    <t>05665 SAN PEDRO DE URABÁ</t>
  </si>
  <si>
    <t>Gobernación de Santander</t>
  </si>
  <si>
    <t>ORG098</t>
  </si>
  <si>
    <t>05667 SAN RAFAEL</t>
  </si>
  <si>
    <t>Universidad de los Andes</t>
  </si>
  <si>
    <t>UNIANDES</t>
  </si>
  <si>
    <t>ORG099</t>
  </si>
  <si>
    <t>05670 SAN ROQUE</t>
  </si>
  <si>
    <t>Universidad Militar Nueva Granada</t>
  </si>
  <si>
    <t>UMNG</t>
  </si>
  <si>
    <t>ORG100</t>
  </si>
  <si>
    <t>05674 SAN VICENTE FERRER</t>
  </si>
  <si>
    <t>Universidad Distrital Francisco José de Caldas</t>
  </si>
  <si>
    <t>UDISTRITAL</t>
  </si>
  <si>
    <t>ORG101</t>
  </si>
  <si>
    <t>05679 SANTA BÁRBARA</t>
  </si>
  <si>
    <t>Universidad Instituto Colombiano de Estudios Superiores de Incolda</t>
  </si>
  <si>
    <t>ICESI</t>
  </si>
  <si>
    <t>ORG102</t>
  </si>
  <si>
    <t>05686 SANTA ROSA DE OSOS</t>
  </si>
  <si>
    <t>Universidad Corporación para Estudios en la Salud</t>
  </si>
  <si>
    <t>CES</t>
  </si>
  <si>
    <t>ORG103</t>
  </si>
  <si>
    <t>05690 SANTO DOMINGO</t>
  </si>
  <si>
    <t>Universidad Industrial de Santander</t>
  </si>
  <si>
    <t>UIS</t>
  </si>
  <si>
    <t>ORG104</t>
  </si>
  <si>
    <t>05697 EL SANTUARIO</t>
  </si>
  <si>
    <t>Universidad INCCA de Colombia</t>
  </si>
  <si>
    <t>UNINCCA</t>
  </si>
  <si>
    <t>ORG105</t>
  </si>
  <si>
    <t>05736 SEGOVIA</t>
  </si>
  <si>
    <t>Universidad Externado de Colombia</t>
  </si>
  <si>
    <t>UEXTERNADO</t>
  </si>
  <si>
    <t>ORG106</t>
  </si>
  <si>
    <t>05756 SONSÓN</t>
  </si>
  <si>
    <t>Universidad Santo Tomás</t>
  </si>
  <si>
    <t>USTA</t>
  </si>
  <si>
    <t>ORG107</t>
  </si>
  <si>
    <t>05761 SOPETRÁN</t>
  </si>
  <si>
    <t>Universidad Tecnológica del Chocó Diego Luis Córdoba</t>
  </si>
  <si>
    <t>UTCH</t>
  </si>
  <si>
    <t>ORG108</t>
  </si>
  <si>
    <t>05789 TÁMESIS</t>
  </si>
  <si>
    <t>Universidad Piloto de Colombia</t>
  </si>
  <si>
    <t>UNIPILOTO</t>
  </si>
  <si>
    <t>ORG109</t>
  </si>
  <si>
    <t>05790 TARAZÁ</t>
  </si>
  <si>
    <t>Corporación Universitaria Minuto de Dios</t>
  </si>
  <si>
    <t>UNIMINUTO</t>
  </si>
  <si>
    <t>ORG110</t>
  </si>
  <si>
    <t>05792 TARSO</t>
  </si>
  <si>
    <t>Universidad de la Guajira</t>
  </si>
  <si>
    <t>UNIGUAJIRA</t>
  </si>
  <si>
    <t>ORG111</t>
  </si>
  <si>
    <t>05809 TITIRIBÍ</t>
  </si>
  <si>
    <t>Universidad de Bogotá Jorge Tadeo Lozano</t>
  </si>
  <si>
    <t>UTADEO</t>
  </si>
  <si>
    <t>ORG112</t>
  </si>
  <si>
    <t>05819 TOLEDO</t>
  </si>
  <si>
    <t>Universidad de Nariño</t>
  </si>
  <si>
    <t>UDENAR</t>
  </si>
  <si>
    <t>ORG113</t>
  </si>
  <si>
    <t>05837 TURBO</t>
  </si>
  <si>
    <t>Universidad Pedagógica Tecnológica de Colombia</t>
  </si>
  <si>
    <t>UPTC</t>
  </si>
  <si>
    <t>ORG114</t>
  </si>
  <si>
    <t>05842 URAMITA</t>
  </si>
  <si>
    <t>Universidad Pedagógica Nacional</t>
  </si>
  <si>
    <t>UPEDAGÓGICA</t>
  </si>
  <si>
    <t>ORG115</t>
  </si>
  <si>
    <t>05847 URRAO</t>
  </si>
  <si>
    <t>Universidad del Magdalena</t>
  </si>
  <si>
    <t>UNIMAGDALENA</t>
  </si>
  <si>
    <t>ORG116</t>
  </si>
  <si>
    <t>05854 VALDIVIA</t>
  </si>
  <si>
    <t>Universidad El Bosque</t>
  </si>
  <si>
    <t>UNBOSQUE</t>
  </si>
  <si>
    <t>ORG117</t>
  </si>
  <si>
    <t>05856 VALPARAÍSO</t>
  </si>
  <si>
    <t>CorpoGen Investigación y Biotecnología</t>
  </si>
  <si>
    <t>CorpoGen</t>
  </si>
  <si>
    <t>ORG118</t>
  </si>
  <si>
    <t>05858 VEGACHÍ</t>
  </si>
  <si>
    <t>Centro de Investigaciones de Agricultura Tropical</t>
  </si>
  <si>
    <t>CIAT</t>
  </si>
  <si>
    <t>ORG119</t>
  </si>
  <si>
    <t>05861 VENECIA</t>
  </si>
  <si>
    <t>Grupo HTM (habitat, territorio y medio ambiente)</t>
  </si>
  <si>
    <t>HTM</t>
  </si>
  <si>
    <t>ORG120</t>
  </si>
  <si>
    <t>05873 VIGÍA DEL FUERTE</t>
  </si>
  <si>
    <t>Ecopetrol SA</t>
  </si>
  <si>
    <t>Ecopetrol</t>
  </si>
  <si>
    <t>ORG121</t>
  </si>
  <si>
    <t>05885 YALÍ</t>
  </si>
  <si>
    <t>Oleoducto Bicentenario</t>
  </si>
  <si>
    <t>BIC</t>
  </si>
  <si>
    <t>ORG122</t>
  </si>
  <si>
    <t>05887 YARUMAL</t>
  </si>
  <si>
    <t>Consejo Nacional de Política Económica y Social</t>
  </si>
  <si>
    <t>Conpes</t>
  </si>
  <si>
    <t>ORG123</t>
  </si>
  <si>
    <t>05890 YOLOMBÓ</t>
  </si>
  <si>
    <t>Promigas SA ESP</t>
  </si>
  <si>
    <t>Promigas</t>
  </si>
  <si>
    <t>ORG124</t>
  </si>
  <si>
    <t>05893 YONDÓ</t>
  </si>
  <si>
    <t>Chemonics</t>
  </si>
  <si>
    <t>ORG125</t>
  </si>
  <si>
    <t>05895 ZARAGOZA</t>
  </si>
  <si>
    <t>Unión Europea</t>
  </si>
  <si>
    <t>UE</t>
  </si>
  <si>
    <t>ORG126</t>
  </si>
  <si>
    <t>08001 BARRANQUILLA</t>
  </si>
  <si>
    <t>Unión Internacional para la Conservación de la Naturaleza</t>
  </si>
  <si>
    <t>UICN</t>
  </si>
  <si>
    <t>ORG127</t>
  </si>
  <si>
    <t>08078 BARANOA</t>
  </si>
  <si>
    <t>Agencia Nacional de Hidrocarburos</t>
  </si>
  <si>
    <t>ANH</t>
  </si>
  <si>
    <t>ORG128</t>
  </si>
  <si>
    <t>08137 CAMPO DE LA CRUZ</t>
  </si>
  <si>
    <t>Partnerships for forests (Palladium)</t>
  </si>
  <si>
    <t>PALLADIUM</t>
  </si>
  <si>
    <t>ORG129</t>
  </si>
  <si>
    <t>08141 CANDELARIA</t>
  </si>
  <si>
    <t>Programa de las Naciones Unidas para el Medio Ambiente</t>
  </si>
  <si>
    <t>PNUMA</t>
  </si>
  <si>
    <t>ORG130</t>
  </si>
  <si>
    <t>08296 GALAPA</t>
  </si>
  <si>
    <t>Programa de Naciones Unidas para los asentamientos Humanos</t>
  </si>
  <si>
    <t>UN-Habitat</t>
  </si>
  <si>
    <t>ORG131</t>
  </si>
  <si>
    <t>08372 JUAN DE ACOSTA</t>
  </si>
  <si>
    <t>Grupo de Energía de Bogotá</t>
  </si>
  <si>
    <t>ORG132</t>
  </si>
  <si>
    <t>08421 LURUACO</t>
  </si>
  <si>
    <t>Corporación Autónoma Regional del Río Grande de la Magdalena</t>
  </si>
  <si>
    <t>Cormagdalena</t>
  </si>
  <si>
    <t>ORG133</t>
  </si>
  <si>
    <t>08433 MALAMBO</t>
  </si>
  <si>
    <t>Grupo Argos, Cementos Argos S.A, Porvenir II SAS ESP</t>
  </si>
  <si>
    <t>Grupo Argos</t>
  </si>
  <si>
    <t>ORG134</t>
  </si>
  <si>
    <t>08436 MANATÍ</t>
  </si>
  <si>
    <t>Fundación Grupo Argos</t>
  </si>
  <si>
    <t>ORG135</t>
  </si>
  <si>
    <t>08520 PALMAR DE VARELA</t>
  </si>
  <si>
    <t>Patrimonio Natural</t>
  </si>
  <si>
    <t>ORG136</t>
  </si>
  <si>
    <t>08549 PIOJÓ</t>
  </si>
  <si>
    <t>Programa de las Naciones Unidas para el Desarrollo</t>
  </si>
  <si>
    <t>PNUD</t>
  </si>
  <si>
    <t>ORG137</t>
  </si>
  <si>
    <t>08558 POLONUEVO</t>
  </si>
  <si>
    <t>Royal Botanic Gardens Kew</t>
  </si>
  <si>
    <t>RBG KEW</t>
  </si>
  <si>
    <t>ORG138</t>
  </si>
  <si>
    <t>08560 PONEDERA</t>
  </si>
  <si>
    <t>Fondo Verde del Clima</t>
  </si>
  <si>
    <t>GCF</t>
  </si>
  <si>
    <t>ORG139</t>
  </si>
  <si>
    <t>08573 PUERTO COLOMBIA</t>
  </si>
  <si>
    <t>Fundación Natura</t>
  </si>
  <si>
    <t>FNC</t>
  </si>
  <si>
    <t>ORG140</t>
  </si>
  <si>
    <t>08606 REPELÓN</t>
  </si>
  <si>
    <t>Gran Tierra Energy Colombia LTD</t>
  </si>
  <si>
    <t>GTE</t>
  </si>
  <si>
    <t>ORG141</t>
  </si>
  <si>
    <t>08634 SABANAGRANDE</t>
  </si>
  <si>
    <t>Comunidades de la subcuenca Las Mercedes (cuenca del río Claro)</t>
  </si>
  <si>
    <t>ORG142</t>
  </si>
  <si>
    <t>08638 SABANALARGA</t>
  </si>
  <si>
    <t>Alcaldía de Envigado</t>
  </si>
  <si>
    <t>ORG143</t>
  </si>
  <si>
    <t>08675 SANTA LUCÍA</t>
  </si>
  <si>
    <t>Universidad de York</t>
  </si>
  <si>
    <t>YORKU</t>
  </si>
  <si>
    <t>ORG144</t>
  </si>
  <si>
    <t>08685 SANTO TOMÁS</t>
  </si>
  <si>
    <t>The Nature Conservancy</t>
  </si>
  <si>
    <t>TNC</t>
  </si>
  <si>
    <t>ORG145</t>
  </si>
  <si>
    <t>08758 SOLEDAD</t>
  </si>
  <si>
    <t>Red Nacional de Observadores de Aves</t>
  </si>
  <si>
    <t>RNOA</t>
  </si>
  <si>
    <t>ORG146</t>
  </si>
  <si>
    <t>08770 SUAN</t>
  </si>
  <si>
    <t>Wildlife Conservation Society</t>
  </si>
  <si>
    <t>WCS</t>
  </si>
  <si>
    <t>ORG147</t>
  </si>
  <si>
    <t>08832 TUBARÁ</t>
  </si>
  <si>
    <t>Academia Nacional de Ciencias, ingeniería y medicina de los Estados Unidos</t>
  </si>
  <si>
    <t>ORG148</t>
  </si>
  <si>
    <t>08849 USIACURÍ</t>
  </si>
  <si>
    <t>Universidad de Córdoba</t>
  </si>
  <si>
    <t>UNICORDOBA</t>
  </si>
  <si>
    <t>ORG150</t>
  </si>
  <si>
    <t>11001 BOGOTÁ, D.C.</t>
  </si>
  <si>
    <t>Paisajes Rurales</t>
  </si>
  <si>
    <t>ORG151</t>
  </si>
  <si>
    <t>13001 CARTAGENA DE INDIAS</t>
  </si>
  <si>
    <t>Fundación La Palmita</t>
  </si>
  <si>
    <t>ORG152</t>
  </si>
  <si>
    <t>13006 ACHÍ</t>
  </si>
  <si>
    <t>Camara de Cosméticos y Aseo de la Asociación Nacional de Empresarios de Colombia</t>
  </si>
  <si>
    <t>ANDI</t>
  </si>
  <si>
    <t>ORG153</t>
  </si>
  <si>
    <t>13030 ALTOS DEL ROSARIO</t>
  </si>
  <si>
    <t>Fondo Mundial para la Naturaleza Colombia</t>
  </si>
  <si>
    <t>WWF Colombia</t>
  </si>
  <si>
    <t>ORG154</t>
  </si>
  <si>
    <t>13042 ARENAL</t>
  </si>
  <si>
    <t>PEER Program</t>
  </si>
  <si>
    <t>PEER</t>
  </si>
  <si>
    <t>ORG155</t>
  </si>
  <si>
    <t>13052 ARJONA</t>
  </si>
  <si>
    <t>Nature and Culture International</t>
  </si>
  <si>
    <t>ORG156</t>
  </si>
  <si>
    <t>13062 ARROYOHONDO</t>
  </si>
  <si>
    <t>Alcaldía de Bucaramanga</t>
  </si>
  <si>
    <t>ORG157</t>
  </si>
  <si>
    <t>13074 BARRANCO DE LOBA</t>
  </si>
  <si>
    <t>Sustainable Development Solution Network</t>
  </si>
  <si>
    <t>SDSN</t>
  </si>
  <si>
    <t>ORG158</t>
  </si>
  <si>
    <t>13140 CALAMAR</t>
  </si>
  <si>
    <t>Agencia Presidencial de Cooperación Internacional de Colombia</t>
  </si>
  <si>
    <t>APC</t>
  </si>
  <si>
    <t>ORG159</t>
  </si>
  <si>
    <t>13160 CANTAGALLO</t>
  </si>
  <si>
    <t>Secretaría del Convenio sobre Diversidad Biológica</t>
  </si>
  <si>
    <t>SCDB</t>
  </si>
  <si>
    <t>ORG160</t>
  </si>
  <si>
    <t>13188 CICUCO</t>
  </si>
  <si>
    <t>Programa de Especies Invasoras del CDB</t>
  </si>
  <si>
    <t>ORG161</t>
  </si>
  <si>
    <t>13212 CÓRDOBA</t>
  </si>
  <si>
    <t>The US National Academies of Sciences, Engineering, and Medicine</t>
  </si>
  <si>
    <t>ORG162</t>
  </si>
  <si>
    <t>13222 CLEMENCIA</t>
  </si>
  <si>
    <t>US Agency for International Development</t>
  </si>
  <si>
    <t>USAID</t>
  </si>
  <si>
    <t>ORG163</t>
  </si>
  <si>
    <t>13244 EL CARMEN DE BOLÍVAR</t>
  </si>
  <si>
    <t>Temple University</t>
  </si>
  <si>
    <t>ORG164</t>
  </si>
  <si>
    <t>13248 EL GUAMO</t>
  </si>
  <si>
    <t>Universidad de Medellín</t>
  </si>
  <si>
    <t>UDEMEDELLIN</t>
  </si>
  <si>
    <t>ORG165</t>
  </si>
  <si>
    <t>13268 EL PEÑÓN</t>
  </si>
  <si>
    <t>Max Planck Institute of Biogeochemistry</t>
  </si>
  <si>
    <t>ORG166</t>
  </si>
  <si>
    <t>13300 HATILLO DE LOBA</t>
  </si>
  <si>
    <t>Asociación Red Colombiana de Reservas Naturales de la Sociedad Civil</t>
  </si>
  <si>
    <t>Resnatur</t>
  </si>
  <si>
    <t>ORG168</t>
  </si>
  <si>
    <t>13430 MAGANGUÉ</t>
  </si>
  <si>
    <t>Departamento Administrativo de la Presidencia de la República</t>
  </si>
  <si>
    <t>DAPRE</t>
  </si>
  <si>
    <t>ORG170</t>
  </si>
  <si>
    <t>13433 MAHATES</t>
  </si>
  <si>
    <t>Plataforma Intergubernamental Científico-Normativa sobre Biodiversidad y Servicios Ecosistémicos (Comité nacional)</t>
  </si>
  <si>
    <t>IPBES</t>
  </si>
  <si>
    <t>ORG171</t>
  </si>
  <si>
    <t>13440 MARGARITA</t>
  </si>
  <si>
    <t>Global Environment Facility</t>
  </si>
  <si>
    <t>GEF</t>
  </si>
  <si>
    <t>ORG172</t>
  </si>
  <si>
    <t>13442 MARÍA LA BAJA</t>
  </si>
  <si>
    <t>Global Biodiversity Information Facility</t>
  </si>
  <si>
    <t>GBIF</t>
  </si>
  <si>
    <t>ORG173</t>
  </si>
  <si>
    <t>13458 MONTECRISTO</t>
  </si>
  <si>
    <t>IMBIV- CONICET- UNC (Fundación Innova T)</t>
  </si>
  <si>
    <t>IMBIV</t>
  </si>
  <si>
    <t>ORG174</t>
  </si>
  <si>
    <t>13468 SANTA CRUZ DE MOMPOX</t>
  </si>
  <si>
    <t>Centro Nacional de investigación del Café</t>
  </si>
  <si>
    <t>Cenicafé</t>
  </si>
  <si>
    <t>ORG175</t>
  </si>
  <si>
    <t>13473 MORALES</t>
  </si>
  <si>
    <t>BirdLife</t>
  </si>
  <si>
    <t>ORG176</t>
  </si>
  <si>
    <t>13490 NOROSÍ</t>
  </si>
  <si>
    <t>Banco Interamericano de Desarrollo</t>
  </si>
  <si>
    <t>BID</t>
  </si>
  <si>
    <t>ORG177</t>
  </si>
  <si>
    <t>13549 PINILLOS</t>
  </si>
  <si>
    <t>Herbario Nacional de Bolivia</t>
  </si>
  <si>
    <t>LPB</t>
  </si>
  <si>
    <t>ORG178</t>
  </si>
  <si>
    <t>13580 REGIDOR</t>
  </si>
  <si>
    <t>Herbario de la Pontificia Universidad Católica del Ecuador</t>
  </si>
  <si>
    <t>QCA</t>
  </si>
  <si>
    <t>ORG179</t>
  </si>
  <si>
    <t>13600 RÍO VIEJO</t>
  </si>
  <si>
    <t>Herbario San Marcos del Museo de Historial Natural de la Universidad Nacional Mayor de San Marcos</t>
  </si>
  <si>
    <t>MUSEOHNUNMSM</t>
  </si>
  <si>
    <t>ORG180</t>
  </si>
  <si>
    <t>13620 SAN CRISTÓBAL</t>
  </si>
  <si>
    <t>UICN America del Sur</t>
  </si>
  <si>
    <t>ORG181</t>
  </si>
  <si>
    <t>13647 SAN ESTANISLAO</t>
  </si>
  <si>
    <t>Natureserve</t>
  </si>
  <si>
    <t>NatureServe</t>
  </si>
  <si>
    <t>ORG182</t>
  </si>
  <si>
    <t>13650 SAN FERNANDO</t>
  </si>
  <si>
    <t>Amerisur Exploración Colombia Limitada</t>
  </si>
  <si>
    <t>Amerisur</t>
  </si>
  <si>
    <t>ORG183</t>
  </si>
  <si>
    <t>13654 SAN JACINTO</t>
  </si>
  <si>
    <t>Sociedad Alemana para la Cooperación Internacional</t>
  </si>
  <si>
    <t>GIZ</t>
  </si>
  <si>
    <t>ORG184</t>
  </si>
  <si>
    <t>13655 SAN JACINTO DEL CAUCA</t>
  </si>
  <si>
    <t>Carbones del Cerrejón Limited</t>
  </si>
  <si>
    <t>ORG185</t>
  </si>
  <si>
    <t>13657 SAN JUAN NEPOMUCENO</t>
  </si>
  <si>
    <t>Comisión europea programa Horizonte 2020</t>
  </si>
  <si>
    <t>ORG186</t>
  </si>
  <si>
    <t>13667 SAN MARTÍN DE LOBA</t>
  </si>
  <si>
    <t>Ecologic Institute Science and Policy for a Sustainable World</t>
  </si>
  <si>
    <t>ORG187</t>
  </si>
  <si>
    <t>13670 SAN PABLO</t>
  </si>
  <si>
    <t>Fundación Cardio Infantil</t>
  </si>
  <si>
    <t>FCI</t>
  </si>
  <si>
    <t>ORG188</t>
  </si>
  <si>
    <t>13673 SANTA CATALINA</t>
  </si>
  <si>
    <t>Universidad de Wesleyan</t>
  </si>
  <si>
    <t>UWESLEYAN</t>
  </si>
  <si>
    <t>ORG189</t>
  </si>
  <si>
    <t>13683 SANTA ROSA</t>
  </si>
  <si>
    <t>Fundación para la Conservación y el Desarrollo Sostenible</t>
  </si>
  <si>
    <t>FCDS</t>
  </si>
  <si>
    <t>ORG190</t>
  </si>
  <si>
    <t>13688 SANTA ROSA DEL SUR</t>
  </si>
  <si>
    <t>Sociedad Fiduciaria de Desarrollo Agropecuario S.A.</t>
  </si>
  <si>
    <t>Fiduagraria</t>
  </si>
  <si>
    <t>ORG191</t>
  </si>
  <si>
    <t>13744 SIMITÍ</t>
  </si>
  <si>
    <t>Banco Mundial</t>
  </si>
  <si>
    <t>BM</t>
  </si>
  <si>
    <t>ORG192</t>
  </si>
  <si>
    <t>13760 SOPLAVIENTO</t>
  </si>
  <si>
    <t>Procolombia</t>
  </si>
  <si>
    <t>PROCOLOMBIA</t>
  </si>
  <si>
    <t>ORG193</t>
  </si>
  <si>
    <t>13780 TALAIGUA NUEVO</t>
  </si>
  <si>
    <t>Delegación de la Unión Europea en Colombia</t>
  </si>
  <si>
    <t>ORG194</t>
  </si>
  <si>
    <t>13810 TIQUISIO</t>
  </si>
  <si>
    <t>Organización de las Naciones Unidas para la Alimentación y Agricultura</t>
  </si>
  <si>
    <t>FAO</t>
  </si>
  <si>
    <t>ORG195</t>
  </si>
  <si>
    <t>13836 TURBACO</t>
  </si>
  <si>
    <t>Parques Nacionales Naturales (Colombia)</t>
  </si>
  <si>
    <t>PNNC</t>
  </si>
  <si>
    <t>ORG196</t>
  </si>
  <si>
    <t>13838 TURBANÁ</t>
  </si>
  <si>
    <t>Instituto para la Economía Social</t>
  </si>
  <si>
    <t>IPES</t>
  </si>
  <si>
    <t>ORG197</t>
  </si>
  <si>
    <t>13873 VILLANUEVA</t>
  </si>
  <si>
    <t>Queen University Belfast</t>
  </si>
  <si>
    <t>QUB</t>
  </si>
  <si>
    <t>ORG198</t>
  </si>
  <si>
    <t>13894 ZAMBRANO</t>
  </si>
  <si>
    <t>Universidad de Helsinki (Proyecto LIFEPLAN)</t>
  </si>
  <si>
    <t>UHELSINKI</t>
  </si>
  <si>
    <t>ORG199</t>
  </si>
  <si>
    <t>15001 TUNJA</t>
  </si>
  <si>
    <t>Reserva Natural Los Yátaros</t>
  </si>
  <si>
    <t>ORG200</t>
  </si>
  <si>
    <t>15022 ALMEIDA</t>
  </si>
  <si>
    <t>Corporación Salvamontes</t>
  </si>
  <si>
    <t>SALVAMONTES</t>
  </si>
  <si>
    <t>ORG201</t>
  </si>
  <si>
    <t>15047 AQUITANIA</t>
  </si>
  <si>
    <t>Alcaldía de Anori</t>
  </si>
  <si>
    <t>ORG202</t>
  </si>
  <si>
    <t>15051 ARCABUCO</t>
  </si>
  <si>
    <t>Gobernación de Sucre</t>
  </si>
  <si>
    <t>ORG203</t>
  </si>
  <si>
    <t>15087 BELÉN</t>
  </si>
  <si>
    <t>Ministerio Federal de Educación e investigación de Alemania</t>
  </si>
  <si>
    <t>BMBF</t>
  </si>
  <si>
    <t>ORG204</t>
  </si>
  <si>
    <t>15090 BERBEO</t>
  </si>
  <si>
    <t>Instituto Colombo-Alemán para la Paz</t>
  </si>
  <si>
    <t>CAPAZ</t>
  </si>
  <si>
    <t>ORG205</t>
  </si>
  <si>
    <t>15092 BETÉITIVA</t>
  </si>
  <si>
    <t>Corporación Centro de Excelencia en Ciencias Marinas</t>
  </si>
  <si>
    <t>Cemarin</t>
  </si>
  <si>
    <t>ORG206</t>
  </si>
  <si>
    <t>15097 BOAVITA</t>
  </si>
  <si>
    <t>Justus Liebig University Giessen</t>
  </si>
  <si>
    <t>JLU</t>
  </si>
  <si>
    <t>ORG207</t>
  </si>
  <si>
    <t>15104 BOYACÁ</t>
  </si>
  <si>
    <t>EFTAS (The European Free Trade Association?)</t>
  </si>
  <si>
    <t>EFTAS</t>
  </si>
  <si>
    <t>ORG208</t>
  </si>
  <si>
    <t>15106 BRICEÑO</t>
  </si>
  <si>
    <t>Fraunhofer</t>
  </si>
  <si>
    <t>IME</t>
  </si>
  <si>
    <t>ORG209</t>
  </si>
  <si>
    <t>15109 BUENAVISTA</t>
  </si>
  <si>
    <t>Senckenberg Society for Nature Research</t>
  </si>
  <si>
    <t>ORG210</t>
  </si>
  <si>
    <t>15114 BUSBANZÁ</t>
  </si>
  <si>
    <t>Area Metropolitana del Valle de Aburrá</t>
  </si>
  <si>
    <t>AMVA</t>
  </si>
  <si>
    <t>ORG211</t>
  </si>
  <si>
    <t>15131 CALDAS</t>
  </si>
  <si>
    <t>Instituto Nacional de Recursos Biológicos de Corea del Sur</t>
  </si>
  <si>
    <t>ORG212</t>
  </si>
  <si>
    <t>15135 CAMPOHERMOSO</t>
  </si>
  <si>
    <t>Universidad Pontificia Bolivariana</t>
  </si>
  <si>
    <t>UPB</t>
  </si>
  <si>
    <t>ORG213</t>
  </si>
  <si>
    <t>15162 CERINZA</t>
  </si>
  <si>
    <t>Cornell University</t>
  </si>
  <si>
    <t>UCORNELL</t>
  </si>
  <si>
    <t>ORG214</t>
  </si>
  <si>
    <t>15172 CHINAVITA</t>
  </si>
  <si>
    <t>American Museum of Natural History</t>
  </si>
  <si>
    <t>AMNH</t>
  </si>
  <si>
    <t>ORG215</t>
  </si>
  <si>
    <t>15176 CHIQUINQUIRÁ</t>
  </si>
  <si>
    <t>Corporación Colombiana de Investigación Agropecuaria</t>
  </si>
  <si>
    <t>AGROSAVIA</t>
  </si>
  <si>
    <t>ORG216</t>
  </si>
  <si>
    <t>15180 CHISCAS</t>
  </si>
  <si>
    <t>Unidad Nacional para la gestión del Riesgo de Desastres</t>
  </si>
  <si>
    <t>UNGRD</t>
  </si>
  <si>
    <t>ORG217</t>
  </si>
  <si>
    <t>15183 CHITA</t>
  </si>
  <si>
    <t>Universidad Nacional Autónoma de México</t>
  </si>
  <si>
    <t>UNAM</t>
  </si>
  <si>
    <t>ORG218</t>
  </si>
  <si>
    <t>15185 CHITARAQUE</t>
  </si>
  <si>
    <t>Universidad Texas Tech</t>
  </si>
  <si>
    <t>TTU</t>
  </si>
  <si>
    <t>ORG219</t>
  </si>
  <si>
    <t>15187 CHIVATÁ</t>
  </si>
  <si>
    <t>Universidad de Exeter - Olga lucia hernandez</t>
  </si>
  <si>
    <t>EXETER</t>
  </si>
  <si>
    <t>ORG220</t>
  </si>
  <si>
    <t>15189 CIÉNEGA</t>
  </si>
  <si>
    <t>Fundacion Saldarriaga Concha Olga Lucia Hernandez</t>
  </si>
  <si>
    <t>ORG221</t>
  </si>
  <si>
    <t>15204 CÓMBITA</t>
  </si>
  <si>
    <t>Ministerio de Relaciones Exteriores</t>
  </si>
  <si>
    <t>Minexterior</t>
  </si>
  <si>
    <t>ORG222</t>
  </si>
  <si>
    <t>15212 COPER</t>
  </si>
  <si>
    <t>NERC Paraguas</t>
  </si>
  <si>
    <t>ORG223</t>
  </si>
  <si>
    <t>15215 CORRALES</t>
  </si>
  <si>
    <t>FAC Carolina gomez</t>
  </si>
  <si>
    <t>ORG224</t>
  </si>
  <si>
    <t>15218 COVARACHÍA</t>
  </si>
  <si>
    <t>Universidad de Estocolmo</t>
  </si>
  <si>
    <t>SU</t>
  </si>
  <si>
    <t>ORG225</t>
  </si>
  <si>
    <t>15223 CUBARÁ</t>
  </si>
  <si>
    <t>Autoridad Nacional de Acuicultura y Pesca</t>
  </si>
  <si>
    <t>AUNAP</t>
  </si>
  <si>
    <t>ORG226</t>
  </si>
  <si>
    <t>15224 CUCAITA</t>
  </si>
  <si>
    <t>Universidad de Kansas</t>
  </si>
  <si>
    <t>KU</t>
  </si>
  <si>
    <t>ORG227</t>
  </si>
  <si>
    <t>15226 CUÍTIVA</t>
  </si>
  <si>
    <t>Universidad de Lincoln</t>
  </si>
  <si>
    <t>ULINCOLN</t>
  </si>
  <si>
    <t>ORG228</t>
  </si>
  <si>
    <t>15232 CHÍQUIZA</t>
  </si>
  <si>
    <t>South African National Biodiversity Institute</t>
  </si>
  <si>
    <t>ORG229</t>
  </si>
  <si>
    <t>15236 CHIVOR</t>
  </si>
  <si>
    <t>LIA Cebacol</t>
  </si>
  <si>
    <t>ORG230</t>
  </si>
  <si>
    <t>15238 DUITAMA</t>
  </si>
  <si>
    <t>Universidad de Richmond</t>
  </si>
  <si>
    <t>URICHMOND</t>
  </si>
  <si>
    <t>ORG231</t>
  </si>
  <si>
    <t>15244 EL COCUY</t>
  </si>
  <si>
    <t>Sam Noble Oklahoma Museum of Natural History</t>
  </si>
  <si>
    <t>ORG232</t>
  </si>
  <si>
    <t>15248 EL ESPINO</t>
  </si>
  <si>
    <t>Centro Agropecuario y de Servicios Ambientales Jirijirimo- Sena Regional Vaupés</t>
  </si>
  <si>
    <t>ORG234</t>
  </si>
  <si>
    <t>15272 FIRAVITOBA</t>
  </si>
  <si>
    <t>Jardin Botanico Joaquín Antonio Uribe de Medellin</t>
  </si>
  <si>
    <t>Jardín Botánico de Medellín</t>
  </si>
  <si>
    <t>ORG235</t>
  </si>
  <si>
    <t>15276 FLORESTA</t>
  </si>
  <si>
    <t>Proantioquia</t>
  </si>
  <si>
    <t>ORG236</t>
  </si>
  <si>
    <t>15293 GACHANTIVÁ</t>
  </si>
  <si>
    <t>Universidad de Lund</t>
  </si>
  <si>
    <t>LUNDUNIVERSITY</t>
  </si>
  <si>
    <t>ORG237</t>
  </si>
  <si>
    <t>15296 GÁMEZA</t>
  </si>
  <si>
    <t>Universidad de Washington</t>
  </si>
  <si>
    <t>UWASHINGTON</t>
  </si>
  <si>
    <t>ORG238</t>
  </si>
  <si>
    <t>15299 GARAGOA</t>
  </si>
  <si>
    <t>Generación de energía Emgesa</t>
  </si>
  <si>
    <t>Enel-Emgesa-Codensa</t>
  </si>
  <si>
    <t>ORG239</t>
  </si>
  <si>
    <t>15317 GUACAMAYAS</t>
  </si>
  <si>
    <t>Universidad de la Costa</t>
  </si>
  <si>
    <t>CUC</t>
  </si>
  <si>
    <t>ORG240</t>
  </si>
  <si>
    <t>15322 GUATEQUE</t>
  </si>
  <si>
    <t>Fundación Alianza Natural</t>
  </si>
  <si>
    <t>ORG241</t>
  </si>
  <si>
    <t>15325 GUAYATÁ</t>
  </si>
  <si>
    <t>Wildlife Insights</t>
  </si>
  <si>
    <t>ORG242</t>
  </si>
  <si>
    <t>15332 GÜICÁN DE LA SIERRA</t>
  </si>
  <si>
    <t>Contraloría General de la República</t>
  </si>
  <si>
    <t>CGR</t>
  </si>
  <si>
    <t>ORG243</t>
  </si>
  <si>
    <t>15362 IZA</t>
  </si>
  <si>
    <t>Fundación Avina</t>
  </si>
  <si>
    <t>ORG244</t>
  </si>
  <si>
    <t>15367 JENESANO</t>
  </si>
  <si>
    <t>Programa de Desarrollo y Paz del Cesar / Grupo "Dialogos para la Vida Querida"</t>
  </si>
  <si>
    <t>ORG245</t>
  </si>
  <si>
    <t>15368 JERICÓ</t>
  </si>
  <si>
    <t>Red Nacional de Programas Regionales de Desarrollo y Paz</t>
  </si>
  <si>
    <t>Redprodepaz</t>
  </si>
  <si>
    <t>ORG246</t>
  </si>
  <si>
    <t>15377 LABRANZAGRANDE</t>
  </si>
  <si>
    <t>Red Colombiana de Seguimiento de Fauna Atropellada</t>
  </si>
  <si>
    <t>Recofsa</t>
  </si>
  <si>
    <t>ORG247</t>
  </si>
  <si>
    <t>15380 LA CAPILLA</t>
  </si>
  <si>
    <t>E3 Asesorías / Ecología, Economía y Ética</t>
  </si>
  <si>
    <t>E3</t>
  </si>
  <si>
    <t>ORG248</t>
  </si>
  <si>
    <t>15401 LA VICTORIA</t>
  </si>
  <si>
    <t>Hub Latinoamericano y Caribeño de Innovación Transformativa</t>
  </si>
  <si>
    <t>TIPC</t>
  </si>
  <si>
    <t>ORG249</t>
  </si>
  <si>
    <t>15403 LA UVITA</t>
  </si>
  <si>
    <t>Grupo de trabajo interministerial para la Politica de Conocimiento Ancestral y Tradicional (Conpes)</t>
  </si>
  <si>
    <t>ORG250</t>
  </si>
  <si>
    <t>15407 VILLA DE LEYVA</t>
  </si>
  <si>
    <t>THE NORWEGIAN UNIVERSITY OF LIFE SCIENCES</t>
  </si>
  <si>
    <t>NMBU</t>
  </si>
  <si>
    <t>ORG251</t>
  </si>
  <si>
    <t>15425 MACANAL</t>
  </si>
  <si>
    <t>Museo Nacional de la Universidad Federal de Rio de janeiro</t>
  </si>
  <si>
    <t>URFJ</t>
  </si>
  <si>
    <t>ORG252</t>
  </si>
  <si>
    <t>15442 MARIPÍ</t>
  </si>
  <si>
    <t>Smithsonian National Museum of natural History</t>
  </si>
  <si>
    <t>SNMNH</t>
  </si>
  <si>
    <t>ORG253</t>
  </si>
  <si>
    <t>15455 MIRAFLORES</t>
  </si>
  <si>
    <t>Centro para la Investigacion Forestal Internacional</t>
  </si>
  <si>
    <t>CIFOR</t>
  </si>
  <si>
    <t>ORG254</t>
  </si>
  <si>
    <t>15464 MONGUA</t>
  </si>
  <si>
    <t>Instituto Universitario de Investigacion, centro Iberoamericano de la Biodiversidad - de la Universidad de Alicante</t>
  </si>
  <si>
    <t>CIBIO</t>
  </si>
  <si>
    <t>ORG255</t>
  </si>
  <si>
    <t>15466 MONGUÍ</t>
  </si>
  <si>
    <t>Programa de Colecciones Cientificas Biologicas (PCCB) del Instituto Nacional de Pesquisas de la Amazonia - INPA</t>
  </si>
  <si>
    <t>INPA</t>
  </si>
  <si>
    <t>ORG256</t>
  </si>
  <si>
    <t>15469 MONIQUIRÁ</t>
  </si>
  <si>
    <t>Centro de Biologia Sistematica y Evolucion de la Academia de Ciencias Naturales de la Universidad de Drexel</t>
  </si>
  <si>
    <t>ORG257</t>
  </si>
  <si>
    <t>15476 MOTAVITA</t>
  </si>
  <si>
    <t>Universidad de Brasilia</t>
  </si>
  <si>
    <t>UnB</t>
  </si>
  <si>
    <t>ORG258</t>
  </si>
  <si>
    <t>15480 MUZO</t>
  </si>
  <si>
    <t>UNIVERSIDAD DO VALE DO RIOS DOS SINO</t>
  </si>
  <si>
    <t>UNISINOS</t>
  </si>
  <si>
    <t>ORG259</t>
  </si>
  <si>
    <t>15491 NOBSA</t>
  </si>
  <si>
    <t>MUSEU PARAENSE EMILIO GOELDI</t>
  </si>
  <si>
    <t>ORG260</t>
  </si>
  <si>
    <t>15494 NUEVO COLÓN</t>
  </si>
  <si>
    <t>Museo Nacional de Historia Natural de Francia</t>
  </si>
  <si>
    <t>MNHN</t>
  </si>
  <si>
    <t>ORG261</t>
  </si>
  <si>
    <t>15500 OICATÁ</t>
  </si>
  <si>
    <t>Museo de investigación Alexander Koenig</t>
  </si>
  <si>
    <t>ZFMK</t>
  </si>
  <si>
    <t>ORG262</t>
  </si>
  <si>
    <t>15507 OTANCHE</t>
  </si>
  <si>
    <t>Instituto de Medio Ambiente de Estocolmo</t>
  </si>
  <si>
    <t>SEI</t>
  </si>
  <si>
    <t>ORG263</t>
  </si>
  <si>
    <t>15511 PACHAVITA</t>
  </si>
  <si>
    <t>Programa Nacional para la Gestión Integral del Bosque Seco</t>
  </si>
  <si>
    <t>ORG264</t>
  </si>
  <si>
    <t>15514 PÁEZ</t>
  </si>
  <si>
    <t>Centro de Investigación de la Biodiversidad y Cambio Climático</t>
  </si>
  <si>
    <t>ORG265</t>
  </si>
  <si>
    <t>15516 PAIPA</t>
  </si>
  <si>
    <t>Universidad de Barcelona</t>
  </si>
  <si>
    <t>UB</t>
  </si>
  <si>
    <t>ORG266</t>
  </si>
  <si>
    <t>15518 PAJARITO</t>
  </si>
  <si>
    <t>The Board of Trustees of the Royal Botanic Gardens Kew</t>
  </si>
  <si>
    <t>ORG269</t>
  </si>
  <si>
    <t>15522 PANQUEBA</t>
  </si>
  <si>
    <t>eBird Colombia</t>
  </si>
  <si>
    <t>ORG270</t>
  </si>
  <si>
    <t>15531 PAUNA</t>
  </si>
  <si>
    <t>MUSEO DE HISTORIA NATURAL DE LONDRES</t>
  </si>
  <si>
    <t>NHM</t>
  </si>
  <si>
    <t>ORG271</t>
  </si>
  <si>
    <t>15533 PAYA</t>
  </si>
  <si>
    <t>Biotope, biodiversity and ecosystem specialists</t>
  </si>
  <si>
    <t>BIOTOPE</t>
  </si>
  <si>
    <t>ORG272</t>
  </si>
  <si>
    <t>15537 PAZ DE RÍO</t>
  </si>
  <si>
    <t>UNIVERSIDAD DE SHEFFIELD</t>
  </si>
  <si>
    <t>USHEFFIELD</t>
  </si>
  <si>
    <t>ORG273</t>
  </si>
  <si>
    <t>15542 PESCA</t>
  </si>
  <si>
    <t>MUSEO AMERICANO DE HISTORIA NATURAL DE NUEVA YORK</t>
  </si>
  <si>
    <t>ORG274</t>
  </si>
  <si>
    <t>15550 PISBA</t>
  </si>
  <si>
    <t>MUSEO DE CIENCIAS NATURALES DE LA UNIVERSIDAD ESTATAL DE LOUISIANA</t>
  </si>
  <si>
    <t>LSU</t>
  </si>
  <si>
    <t>ORG275</t>
  </si>
  <si>
    <t>15572 PUERTO BOYACÁ</t>
  </si>
  <si>
    <t>INSTITUTO UNIVERSITARIO DE LA PAZ</t>
  </si>
  <si>
    <t>UNIPAZ</t>
  </si>
  <si>
    <t>ORG276</t>
  </si>
  <si>
    <t>15580 QUÍPAMA</t>
  </si>
  <si>
    <t>Empresas de servicios Públicos de Medellín</t>
  </si>
  <si>
    <t>EPM</t>
  </si>
  <si>
    <t>ORG277</t>
  </si>
  <si>
    <t>15599 RAMIRIQUÍ</t>
  </si>
  <si>
    <t>INSTITUTO EARLHAM</t>
  </si>
  <si>
    <t>EARLHAM</t>
  </si>
  <si>
    <t>ORG278</t>
  </si>
  <si>
    <t>15600 RÁQUIRA</t>
  </si>
  <si>
    <t>INATURALIST</t>
  </si>
  <si>
    <t>ORG279</t>
  </si>
  <si>
    <t>15621 RONDÓN</t>
  </si>
  <si>
    <t>UNIVERSIDAD ECCI</t>
  </si>
  <si>
    <t>ECCI</t>
  </si>
  <si>
    <t>ORG280</t>
  </si>
  <si>
    <t>15632 SABOYÁ</t>
  </si>
  <si>
    <t>CELSIA COLOMBIA S.A. E.S.P</t>
  </si>
  <si>
    <t>CELSIA</t>
  </si>
  <si>
    <t>ORG281</t>
  </si>
  <si>
    <t>15638 SÁCHICA</t>
  </si>
  <si>
    <t>CODENSA S.A E.S.P</t>
  </si>
  <si>
    <t>CODENSA</t>
  </si>
  <si>
    <t>ORG282</t>
  </si>
  <si>
    <t>15646 SAMACÁ</t>
  </si>
  <si>
    <t>FORO ECONOMICO MUNDIAL</t>
  </si>
  <si>
    <t>ORG283</t>
  </si>
  <si>
    <t>15660 SAN EDUARDO</t>
  </si>
  <si>
    <t>World Resources Institute</t>
  </si>
  <si>
    <t>WRI</t>
  </si>
  <si>
    <t>ORG284</t>
  </si>
  <si>
    <t>15664 SAN JOSÉ DE PARE</t>
  </si>
  <si>
    <t>FONDO ACCIÓN</t>
  </si>
  <si>
    <t>ORG285</t>
  </si>
  <si>
    <t>15667 SAN LUIS DE GACENO</t>
  </si>
  <si>
    <t>CONSERVACIÓN INTERNACIONAL</t>
  </si>
  <si>
    <t>CI</t>
  </si>
  <si>
    <t>ORG286</t>
  </si>
  <si>
    <t>15673 SAN MATEO</t>
  </si>
  <si>
    <t>Agencia de Desarrollo Local del Area Metropolitana (en Santurban -Berlin)</t>
  </si>
  <si>
    <t>ORG287</t>
  </si>
  <si>
    <t>15676 SAN MIGUEL DE SEMA</t>
  </si>
  <si>
    <t>Organización del Tratado de Cooperación Amazónica</t>
  </si>
  <si>
    <t>OTCA</t>
  </si>
  <si>
    <t>ORG288</t>
  </si>
  <si>
    <t>15681 SAN PABLO DE BORBUR</t>
  </si>
  <si>
    <t>Fundación Cerros de Bogotá</t>
  </si>
  <si>
    <t>ORG289</t>
  </si>
  <si>
    <t>15686 SANTANA</t>
  </si>
  <si>
    <t>Organización para la Educación y Protección Ambiental</t>
  </si>
  <si>
    <t>OPEPA</t>
  </si>
  <si>
    <t>ORG290</t>
  </si>
  <si>
    <t>15690 SANTA MARÍA</t>
  </si>
  <si>
    <t>Colegio Gimnasio Femenino</t>
  </si>
  <si>
    <t>GF</t>
  </si>
  <si>
    <t>ORG291</t>
  </si>
  <si>
    <t>15693 SANTA ROSA DE VITERBO</t>
  </si>
  <si>
    <t>Fundación Alma</t>
  </si>
  <si>
    <t>ORG293</t>
  </si>
  <si>
    <t>15696 SANTA SOFÍA</t>
  </si>
  <si>
    <t>Universidad de Louisiana</t>
  </si>
  <si>
    <t>ORG294</t>
  </si>
  <si>
    <t>15720 SATIVANORTE</t>
  </si>
  <si>
    <t>Universidad de Stony Brook</t>
  </si>
  <si>
    <t>ORG295</t>
  </si>
  <si>
    <t>15723 SATIVASUR</t>
  </si>
  <si>
    <t>Instituto de Genética de la Universidad Nacional de Colombia</t>
  </si>
  <si>
    <t>ORG296</t>
  </si>
  <si>
    <t>15740 SIACHOQUE</t>
  </si>
  <si>
    <t>Ejército Nacional (Comando Conjunto Cibernético de las Fuerzas Militares)</t>
  </si>
  <si>
    <t>ORG297</t>
  </si>
  <si>
    <t>15753 SOATÁ</t>
  </si>
  <si>
    <t>Instituto Caro y Cuervo</t>
  </si>
  <si>
    <t>ORG298</t>
  </si>
  <si>
    <t>15755 SOCOTÁ</t>
  </si>
  <si>
    <t>Defensoría del Pueblo</t>
  </si>
  <si>
    <t>ORG299</t>
  </si>
  <si>
    <t>15757 SOCHA</t>
  </si>
  <si>
    <t>Fondo Mundial para la Naturaleza</t>
  </si>
  <si>
    <t>WWF</t>
  </si>
  <si>
    <t>ORG300</t>
  </si>
  <si>
    <t>15759 SOGAMOSO</t>
  </si>
  <si>
    <t>Natuserve</t>
  </si>
  <si>
    <t>NatuServe</t>
  </si>
  <si>
    <t>ORG301</t>
  </si>
  <si>
    <t>15761 SOMONDOCO</t>
  </si>
  <si>
    <t xml:space="preserve">Alcaldía Municipal de Montería </t>
  </si>
  <si>
    <t>ORG302</t>
  </si>
  <si>
    <t>15762 SORA</t>
  </si>
  <si>
    <t>Fundación Sahed</t>
  </si>
  <si>
    <t>ORG303</t>
  </si>
  <si>
    <t>15763 SOTAQUIRÁ</t>
  </si>
  <si>
    <t xml:space="preserve">Fundación Maria Luisa </t>
  </si>
  <si>
    <t>ORG304</t>
  </si>
  <si>
    <t>15764 SORACÁ</t>
  </si>
  <si>
    <t>Asociación de recicladores del Sinú</t>
  </si>
  <si>
    <t>ARESINU</t>
  </si>
  <si>
    <t>ORG305</t>
  </si>
  <si>
    <t>15774 SUSACÓN</t>
  </si>
  <si>
    <t>Cámara Colombiana de Construcción</t>
  </si>
  <si>
    <t>CAMACOL</t>
  </si>
  <si>
    <t>ORG306</t>
  </si>
  <si>
    <t>15776 SUTAMARCHÁN</t>
  </si>
  <si>
    <t>Fundación Santa Isabel</t>
  </si>
  <si>
    <t>ORG307</t>
  </si>
  <si>
    <t>15778 SUTATENZA</t>
  </si>
  <si>
    <t>Fundación flora y fauna</t>
  </si>
  <si>
    <t>ORG308</t>
  </si>
  <si>
    <t>15790 TASCO</t>
  </si>
  <si>
    <t>Constructora Adekuar Diseño y Construcción</t>
  </si>
  <si>
    <t>ORG309</t>
  </si>
  <si>
    <t>15798 TENZA</t>
  </si>
  <si>
    <t>Universidad del Sinú</t>
  </si>
  <si>
    <t>ORG310</t>
  </si>
  <si>
    <t>15804 TIBANÁ</t>
  </si>
  <si>
    <t xml:space="preserve">Cámara de Comercio </t>
  </si>
  <si>
    <t>ORG311</t>
  </si>
  <si>
    <t>15806 TIBASOSA</t>
  </si>
  <si>
    <t xml:space="preserve">Comité de defensa del agua y en páramo de Santurbán </t>
  </si>
  <si>
    <t>ORG312</t>
  </si>
  <si>
    <t>15808 TINJACÁ</t>
  </si>
  <si>
    <t>Explora Bucaramanga</t>
  </si>
  <si>
    <t>ORG313</t>
  </si>
  <si>
    <t>15810 TIPACOQUE</t>
  </si>
  <si>
    <t>Grupo ecológico El Colibrí</t>
  </si>
  <si>
    <t>ORG314</t>
  </si>
  <si>
    <t>15814 TOCA</t>
  </si>
  <si>
    <t>Área Metropolitana de Bucaramanga</t>
  </si>
  <si>
    <t>AMB</t>
  </si>
  <si>
    <t>ORG315</t>
  </si>
  <si>
    <t>15816 TOGÜÍ</t>
  </si>
  <si>
    <t>Acueducto Metropolitano de Bucaramanga</t>
  </si>
  <si>
    <t>ORG316</t>
  </si>
  <si>
    <t>15820 TÓPAGA</t>
  </si>
  <si>
    <t>GOAL Global</t>
  </si>
  <si>
    <t>GOAL</t>
  </si>
  <si>
    <t>ORG317</t>
  </si>
  <si>
    <t>15822 TOTA</t>
  </si>
  <si>
    <t>Corambiente</t>
  </si>
  <si>
    <t>ORG318</t>
  </si>
  <si>
    <t>15832 TUNUNGUÁ</t>
  </si>
  <si>
    <t>Unidades tecnológicas de Santander</t>
  </si>
  <si>
    <t>UTS</t>
  </si>
  <si>
    <t>ORG319</t>
  </si>
  <si>
    <t>15835 TURMEQUÉ</t>
  </si>
  <si>
    <t>Secretaría de Salud y Ambiente de Bucaramanga</t>
  </si>
  <si>
    <t>ORG320</t>
  </si>
  <si>
    <t>15837 TUTA</t>
  </si>
  <si>
    <t>Secretaría de Desarrollo Social de Bucaramanga</t>
  </si>
  <si>
    <t>ORG321</t>
  </si>
  <si>
    <t>15839 TUTAZÁ</t>
  </si>
  <si>
    <t>Departamento Administrativo de la defensoría de Espacio Público</t>
  </si>
  <si>
    <t xml:space="preserve"> DADEP</t>
  </si>
  <si>
    <t>ORG322</t>
  </si>
  <si>
    <t>15842 ÚMBITA</t>
  </si>
  <si>
    <t>Fundación para el desarrollo empresarial y social</t>
  </si>
  <si>
    <t>ORG323</t>
  </si>
  <si>
    <t>15861 VENTAQUEMADA</t>
  </si>
  <si>
    <t xml:space="preserve">Servicio Nacional de Aprendizaje </t>
  </si>
  <si>
    <t>SENA</t>
  </si>
  <si>
    <t>ORG324</t>
  </si>
  <si>
    <t>15879 VIRACACHÁ</t>
  </si>
  <si>
    <t>SIAMA</t>
  </si>
  <si>
    <t>ORG325</t>
  </si>
  <si>
    <t>15897 ZETAQUIRA</t>
  </si>
  <si>
    <t xml:space="preserve">Fundación Sahed </t>
  </si>
  <si>
    <t>ORG326</t>
  </si>
  <si>
    <t>17001 MANIZALES</t>
  </si>
  <si>
    <t>Fundación María Luisa</t>
  </si>
  <si>
    <t>ORG327</t>
  </si>
  <si>
    <t>17013 AGUADAS</t>
  </si>
  <si>
    <t>Urbanización Vallejo</t>
  </si>
  <si>
    <t>ORG328</t>
  </si>
  <si>
    <t>17088 BELALCÁZAR</t>
  </si>
  <si>
    <t>Cooperativa Empresarial de Recicladores de Nariño</t>
  </si>
  <si>
    <t>Coemprender</t>
  </si>
  <si>
    <t>ORG329</t>
  </si>
  <si>
    <t>17174 CHINCHINÁ</t>
  </si>
  <si>
    <t xml:space="preserve">Empresa Metropolitana de Aseo de Pasto </t>
  </si>
  <si>
    <t>EMAS</t>
  </si>
  <si>
    <t>ORG330</t>
  </si>
  <si>
    <t>17272 FILADELFIA</t>
  </si>
  <si>
    <t>Alcaldía de Pasto</t>
  </si>
  <si>
    <t>ORG331</t>
  </si>
  <si>
    <t>17380 LA DORADA</t>
  </si>
  <si>
    <t>Verdeen SAS Pasto</t>
  </si>
  <si>
    <t>ORG332</t>
  </si>
  <si>
    <t>17388 LA MERCED</t>
  </si>
  <si>
    <t>Centrales Eléctricas de Nariño</t>
  </si>
  <si>
    <t>CEDENAR</t>
  </si>
  <si>
    <t>ORG333</t>
  </si>
  <si>
    <t>17433 MANZANARES</t>
  </si>
  <si>
    <t>Servicio Público de Alumbrado de Pasto</t>
  </si>
  <si>
    <t>SEPAL</t>
  </si>
  <si>
    <t>ORG334</t>
  </si>
  <si>
    <t>17442 MARMATO</t>
  </si>
  <si>
    <t xml:space="preserve">Fundación todos por Nariño	</t>
  </si>
  <si>
    <t>ORG335</t>
  </si>
  <si>
    <t>17444 MARQUETALIA</t>
  </si>
  <si>
    <t xml:space="preserve">Universidad Mariana </t>
  </si>
  <si>
    <t>ORG336</t>
  </si>
  <si>
    <t>17446 MARULANDA</t>
  </si>
  <si>
    <t>Fundación Mata de Monte</t>
  </si>
  <si>
    <t>ORG337</t>
  </si>
  <si>
    <t>17486 NEIRA</t>
  </si>
  <si>
    <t>Fundación Cerro el Venado</t>
  </si>
  <si>
    <t>ORG338</t>
  </si>
  <si>
    <t>17495 NORCASIA</t>
  </si>
  <si>
    <t>Fundación Universitaria Internacional del Trópico Americano</t>
  </si>
  <si>
    <t>Unitrópico</t>
  </si>
  <si>
    <t>ORG339</t>
  </si>
  <si>
    <t>17513 PÁCORA</t>
  </si>
  <si>
    <t>Grupo Prodeco</t>
  </si>
  <si>
    <t>ORG340</t>
  </si>
  <si>
    <t>17524 PALESTINA</t>
  </si>
  <si>
    <t>Agencia Nacional de Minería</t>
  </si>
  <si>
    <t>ANM</t>
  </si>
  <si>
    <t>ORG341</t>
  </si>
  <si>
    <t>17541 PENSILVANIA</t>
  </si>
  <si>
    <t>Alcaldía Municipal de Becerril</t>
  </si>
  <si>
    <t>ORG342</t>
  </si>
  <si>
    <t>17614 RIOSUCIO</t>
  </si>
  <si>
    <t>Alcaldía Municipal de La Jagua</t>
  </si>
  <si>
    <t>ORG343</t>
  </si>
  <si>
    <t>17616 RISARALDA</t>
  </si>
  <si>
    <t>Sindicato de trabajadores de la Industria del Carbón</t>
  </si>
  <si>
    <t>SINTRACARBÓN</t>
  </si>
  <si>
    <t>ORG344</t>
  </si>
  <si>
    <t>17653 SALAMINA</t>
  </si>
  <si>
    <t>Drummond Ltd.</t>
  </si>
  <si>
    <t>ORG345</t>
  </si>
  <si>
    <t>17662 SAMANÁ</t>
  </si>
  <si>
    <t>Red de Mujeres de El Paso</t>
  </si>
  <si>
    <t>ORG346</t>
  </si>
  <si>
    <t>17665 SAN JOSÉ</t>
  </si>
  <si>
    <t>Consejo Comunitario Afro Julio César Altamar Muñoz</t>
  </si>
  <si>
    <t>ORG347</t>
  </si>
  <si>
    <t>17777 SUPÍA</t>
  </si>
  <si>
    <t>Movimiento Cesar sin Fracking</t>
  </si>
  <si>
    <t>ORG348</t>
  </si>
  <si>
    <t>17867 VICTORIA</t>
  </si>
  <si>
    <t>Asociación Nacional de Usuarios Campesinos en El Paso</t>
  </si>
  <si>
    <t>ANUC</t>
  </si>
  <si>
    <t>ORG349</t>
  </si>
  <si>
    <t>17873 VILLAMARÍA</t>
  </si>
  <si>
    <t>Junta de Acción Comunal de Boquerón</t>
  </si>
  <si>
    <t>ORG350</t>
  </si>
  <si>
    <t>17877 VITERBO</t>
  </si>
  <si>
    <t>Consejo Comunitario Casimiro Meza Mendoza</t>
  </si>
  <si>
    <t>COCONEBO</t>
  </si>
  <si>
    <t>ORG351</t>
  </si>
  <si>
    <t>18001 FLORENCIA</t>
  </si>
  <si>
    <t xml:space="preserve">Ministerio del Trabajo </t>
  </si>
  <si>
    <t>MinTrabajo</t>
  </si>
  <si>
    <t>ORG352</t>
  </si>
  <si>
    <t>18029 ALBANIA</t>
  </si>
  <si>
    <t xml:space="preserve">.Corte Constitucional de Colombia </t>
  </si>
  <si>
    <t>.</t>
  </si>
  <si>
    <t>ORG353</t>
  </si>
  <si>
    <t>18094 BELÉN DE LOS ANDAQUÍES</t>
  </si>
  <si>
    <t>Comisión de la Verdad</t>
  </si>
  <si>
    <t>ORG354</t>
  </si>
  <si>
    <t>18150 CARTAGENA DEL CHAIRÁ</t>
  </si>
  <si>
    <t>Unidad para la Atención y Reparación de las Víctimas</t>
  </si>
  <si>
    <t>ORG355</t>
  </si>
  <si>
    <t>18205 CURILLO</t>
  </si>
  <si>
    <t>Tati</t>
  </si>
  <si>
    <t>ORG356</t>
  </si>
  <si>
    <t>18247 EL DONCELLO</t>
  </si>
  <si>
    <t>18256 EL PAUJÍL</t>
  </si>
  <si>
    <t>18410 LA MONTAÑITA</t>
  </si>
  <si>
    <t>18460 MILÁN</t>
  </si>
  <si>
    <t>18479 MORELIA</t>
  </si>
  <si>
    <t>18592 PUERTO RICO</t>
  </si>
  <si>
    <t>18610 SAN JOSÉ DEL FRAGUA</t>
  </si>
  <si>
    <t>18753 SAN VICENTE DEL CAGUÁN</t>
  </si>
  <si>
    <t>18756 SOLANO</t>
  </si>
  <si>
    <t>18785 SOLITA</t>
  </si>
  <si>
    <t>18860 VALPARAÍSO</t>
  </si>
  <si>
    <t>19001 POPAYÁN</t>
  </si>
  <si>
    <t>19022 ALMAGUER</t>
  </si>
  <si>
    <t>19050 ARGELIA</t>
  </si>
  <si>
    <t>19075 BALBOA</t>
  </si>
  <si>
    <t>19100 BOLÍVAR</t>
  </si>
  <si>
    <t>19110 BUENOS AIRES</t>
  </si>
  <si>
    <t>19130 CAJIBÍO</t>
  </si>
  <si>
    <t>19137 CALDONO</t>
  </si>
  <si>
    <t>19142 CALOTO</t>
  </si>
  <si>
    <t>19212 CORINTO</t>
  </si>
  <si>
    <t>19256 EL TAMBO</t>
  </si>
  <si>
    <t>19290 FLORENCIA</t>
  </si>
  <si>
    <t>19300 GUACHENÉ</t>
  </si>
  <si>
    <t>19318 GUAPI</t>
  </si>
  <si>
    <t>19355 INZÁ</t>
  </si>
  <si>
    <t>19364 JAMBALÓ</t>
  </si>
  <si>
    <t>19392 LA SIERRA</t>
  </si>
  <si>
    <t>19397 LA VEGA</t>
  </si>
  <si>
    <t>19418 LÓPEZ DE MICAY</t>
  </si>
  <si>
    <t>19450 MERCADERES</t>
  </si>
  <si>
    <t>19455 MIRANDA</t>
  </si>
  <si>
    <t>19473 MORALES</t>
  </si>
  <si>
    <t>19513 PADILLA</t>
  </si>
  <si>
    <t>19517 PÁEZ</t>
  </si>
  <si>
    <t>19532 PATÍA</t>
  </si>
  <si>
    <t>19533 PIAMONTE</t>
  </si>
  <si>
    <t>19548 PIENDAMÓ - TUNÍA</t>
  </si>
  <si>
    <t>19573 PUERTO TEJADA</t>
  </si>
  <si>
    <t>19585 PURACÉ</t>
  </si>
  <si>
    <t>19622 ROSAS</t>
  </si>
  <si>
    <t>19693 SAN SEBASTIÁN</t>
  </si>
  <si>
    <t>19698 SANTANDER DE QUILICHAO</t>
  </si>
  <si>
    <t>19701 SANTA ROSA</t>
  </si>
  <si>
    <t>19743 SILVIA</t>
  </si>
  <si>
    <t>19760 SOTARÁ PAISPAMBA</t>
  </si>
  <si>
    <t>19780 SUÁREZ</t>
  </si>
  <si>
    <t>19785 SUCRE</t>
  </si>
  <si>
    <t>19807 TIMBÍO</t>
  </si>
  <si>
    <t>19809 TIMBIQUÍ</t>
  </si>
  <si>
    <t>19821 TORIBÍO</t>
  </si>
  <si>
    <t>19824 TOTORÓ</t>
  </si>
  <si>
    <t>19845 VILLA RICA</t>
  </si>
  <si>
    <t>20001 VALLEDUPAR</t>
  </si>
  <si>
    <t>20011 AGUACHICA</t>
  </si>
  <si>
    <t>20013 AGUSTÍN CODAZZI</t>
  </si>
  <si>
    <t>20032 ASTREA</t>
  </si>
  <si>
    <t>20045 BECERRIL</t>
  </si>
  <si>
    <t>20060 BOSCONIA</t>
  </si>
  <si>
    <t>20175 CHIMICHAGUA</t>
  </si>
  <si>
    <t>20178 CHIRIGUANÁ</t>
  </si>
  <si>
    <t>20228 CURUMANÍ</t>
  </si>
  <si>
    <t>20238 EL COPEY</t>
  </si>
  <si>
    <t>20250 EL PASO</t>
  </si>
  <si>
    <t>20295 GAMARRA</t>
  </si>
  <si>
    <t>20310 GONZÁLEZ</t>
  </si>
  <si>
    <t>20383 LA GLORIA</t>
  </si>
  <si>
    <t>20400 LA JAGUA DE IBIRICO</t>
  </si>
  <si>
    <t>20443 MANAURE BALCÓN DEL CESAR</t>
  </si>
  <si>
    <t>20517 PAILITAS</t>
  </si>
  <si>
    <t>20550 PELAYA</t>
  </si>
  <si>
    <t>20570 PUEBLO BELLO</t>
  </si>
  <si>
    <t>20614 RÍO DE ORO</t>
  </si>
  <si>
    <t>20621 LA PAZ</t>
  </si>
  <si>
    <t>20710 SAN ALBERTO</t>
  </si>
  <si>
    <t>20750 SAN DIEGO</t>
  </si>
  <si>
    <t>20770 SAN MARTÍN</t>
  </si>
  <si>
    <t>20787 TAMALAMEQUE</t>
  </si>
  <si>
    <t>23001 MONTERÍA</t>
  </si>
  <si>
    <t>23068 AYAPEL</t>
  </si>
  <si>
    <t>23079 BUENAVISTA</t>
  </si>
  <si>
    <t>23090 CANALETE</t>
  </si>
  <si>
    <t>23162 CERETÉ</t>
  </si>
  <si>
    <t>23168 CHIMÁ</t>
  </si>
  <si>
    <t>23182 CHINÚ</t>
  </si>
  <si>
    <t>23189 CIÉNAGA DE ORO</t>
  </si>
  <si>
    <t>23300 COTORRA</t>
  </si>
  <si>
    <t>23350 LA APARTADA</t>
  </si>
  <si>
    <t>23417 LORICA</t>
  </si>
  <si>
    <t>23419 LOS CÓRDOBAS</t>
  </si>
  <si>
    <t>23464 MOMIL</t>
  </si>
  <si>
    <t>23466 MONTELÍBANO</t>
  </si>
  <si>
    <t>23500 MOÑITOS</t>
  </si>
  <si>
    <t>23555 PLANETA RICA</t>
  </si>
  <si>
    <t>23570 PUEBLO NUEVO</t>
  </si>
  <si>
    <t>23574 PUERTO ESCONDIDO</t>
  </si>
  <si>
    <t>23580 PUERTO LIBERTADOR</t>
  </si>
  <si>
    <t>23586 PURÍSIMA DE LA CONCEPCIÓN</t>
  </si>
  <si>
    <t>23660 SAHAGÚN</t>
  </si>
  <si>
    <t>23670 SAN ANDRÉS DE SOTAVENTO</t>
  </si>
  <si>
    <t>23672 SAN ANTERO</t>
  </si>
  <si>
    <t>23675 SAN BERNARDO DEL VIENTO</t>
  </si>
  <si>
    <t>23678 SAN CARLOS</t>
  </si>
  <si>
    <t>23682 SAN JOSÉ DE URÉ</t>
  </si>
  <si>
    <t>23686 SAN PELAYO</t>
  </si>
  <si>
    <t>23807 TIERRALTA</t>
  </si>
  <si>
    <t>23815 TUCHÍN</t>
  </si>
  <si>
    <t>23855 VALENCIA</t>
  </si>
  <si>
    <t>25001 AGUA DE DIOS</t>
  </si>
  <si>
    <t>25019 ALBÁN</t>
  </si>
  <si>
    <t>25035 ANAPOIMA</t>
  </si>
  <si>
    <t>25040 ANOLAIMA</t>
  </si>
  <si>
    <t>25053 ARBELÁEZ</t>
  </si>
  <si>
    <t>25086 BELTRÁN</t>
  </si>
  <si>
    <t>25095 BITUIMA</t>
  </si>
  <si>
    <t>25099 BOJACÁ</t>
  </si>
  <si>
    <t>25120 CABRERA</t>
  </si>
  <si>
    <t>25123 CACHIPAY</t>
  </si>
  <si>
    <t>25126 CAJICÁ</t>
  </si>
  <si>
    <t>25148 CAPARRAPÍ</t>
  </si>
  <si>
    <t>25151 CÁQUEZA</t>
  </si>
  <si>
    <t>25154 CARMEN DE CARUPA</t>
  </si>
  <si>
    <t>25168 CHAGUANÍ</t>
  </si>
  <si>
    <t>25175 CHÍA</t>
  </si>
  <si>
    <t>25178 CHIPAQUE</t>
  </si>
  <si>
    <t>25181 CHOACHÍ</t>
  </si>
  <si>
    <t>25183 CHOCONTÁ</t>
  </si>
  <si>
    <t>25200 COGUA</t>
  </si>
  <si>
    <t>25214 COTA</t>
  </si>
  <si>
    <t>25224 CUCUNUBÁ</t>
  </si>
  <si>
    <t>25245 EL COLEGIO</t>
  </si>
  <si>
    <t>25258 EL PEÑÓN</t>
  </si>
  <si>
    <t>25260 EL ROSAL</t>
  </si>
  <si>
    <t>25269 FACATATIVÁ</t>
  </si>
  <si>
    <t>25279 FÓMEQUE</t>
  </si>
  <si>
    <t>25281 FOSCA</t>
  </si>
  <si>
    <t>25286 FUNZA</t>
  </si>
  <si>
    <t>25288 FÚQUENE</t>
  </si>
  <si>
    <t>25290 FUSAGASUGÁ</t>
  </si>
  <si>
    <t>25293 GACHALÁ</t>
  </si>
  <si>
    <t>25295 GACHANCIPÁ</t>
  </si>
  <si>
    <t>25297 GACHETÁ</t>
  </si>
  <si>
    <t>25299 GAMA</t>
  </si>
  <si>
    <t>25307 GIRARDOT</t>
  </si>
  <si>
    <t>25312 GRANADA</t>
  </si>
  <si>
    <t>25317 GUACHETÁ</t>
  </si>
  <si>
    <t>25320 GUADUAS</t>
  </si>
  <si>
    <t>25322 GUASCA</t>
  </si>
  <si>
    <t>25324 GUATAQUÍ</t>
  </si>
  <si>
    <t>25326 GUATAVITA</t>
  </si>
  <si>
    <t>25328 GUAYABAL DE SÍQUIMA</t>
  </si>
  <si>
    <t>25335 GUAYABETAL</t>
  </si>
  <si>
    <t>25339 GUTIÉRREZ</t>
  </si>
  <si>
    <t>25368 JERUSALÉN</t>
  </si>
  <si>
    <t>25372 JUNÍN</t>
  </si>
  <si>
    <t>25377 LA CALERA</t>
  </si>
  <si>
    <t>25386 LA MESA</t>
  </si>
  <si>
    <t>25394 LA PALMA</t>
  </si>
  <si>
    <t>25398 LA PEÑA</t>
  </si>
  <si>
    <t>25402 LA VEGA</t>
  </si>
  <si>
    <t>25407 LENGUAZAQUE</t>
  </si>
  <si>
    <t>25426 MACHETÁ</t>
  </si>
  <si>
    <t>25430 MADRID</t>
  </si>
  <si>
    <t>25436 MANTA</t>
  </si>
  <si>
    <t>25438 MEDINA</t>
  </si>
  <si>
    <t>25473 MOSQUERA</t>
  </si>
  <si>
    <t>25483 NARIÑO</t>
  </si>
  <si>
    <t>25486 NEMOCÓN</t>
  </si>
  <si>
    <t>25488 NILO</t>
  </si>
  <si>
    <t>25489 NIMAIMA</t>
  </si>
  <si>
    <t>25491 NOCAIMA</t>
  </si>
  <si>
    <t>25506 VENECIA</t>
  </si>
  <si>
    <t>25513 PACHO</t>
  </si>
  <si>
    <t>25518 PAIME</t>
  </si>
  <si>
    <t>25524 PANDI</t>
  </si>
  <si>
    <t>25530 PARATEBUENO</t>
  </si>
  <si>
    <t>25535 PASCA</t>
  </si>
  <si>
    <t>25572 PUERTO SALGAR</t>
  </si>
  <si>
    <t>25580 PULÍ</t>
  </si>
  <si>
    <t>25592 QUEBRADANEGRA</t>
  </si>
  <si>
    <t>25594 QUETAME</t>
  </si>
  <si>
    <t>25596 QUIPILE</t>
  </si>
  <si>
    <t>25599 APULO</t>
  </si>
  <si>
    <t>25612 RICAURTE</t>
  </si>
  <si>
    <t>25645 SAN ANTONIO DEL TEQUENDAMA</t>
  </si>
  <si>
    <t>25649 SAN BERNARDO</t>
  </si>
  <si>
    <t>25653 SAN CAYETANO</t>
  </si>
  <si>
    <t>25658 SAN FRANCISCO</t>
  </si>
  <si>
    <t>25662 SAN JUAN DE RIOSECO</t>
  </si>
  <si>
    <t>25718 SASAIMA</t>
  </si>
  <si>
    <t>25736 SESQUILÉ</t>
  </si>
  <si>
    <t>25740 SIBATÉ</t>
  </si>
  <si>
    <t>25743 SILVANIA</t>
  </si>
  <si>
    <t>25745 SIMIJACA</t>
  </si>
  <si>
    <t>25754 SOACHA</t>
  </si>
  <si>
    <t>25758 SOPÓ</t>
  </si>
  <si>
    <t>25769 SUBACHOQUE</t>
  </si>
  <si>
    <t>25772 SUESCA</t>
  </si>
  <si>
    <t>25777 SUPATÁ</t>
  </si>
  <si>
    <t>25779 SUSA</t>
  </si>
  <si>
    <t>25781 SUTATAUSA</t>
  </si>
  <si>
    <t>25785 TABIO</t>
  </si>
  <si>
    <t>25793 TAUSA</t>
  </si>
  <si>
    <t>25797 TENA</t>
  </si>
  <si>
    <t>25799 TENJO</t>
  </si>
  <si>
    <t>25805 TIBACUY</t>
  </si>
  <si>
    <t>25807 TIBIRITA</t>
  </si>
  <si>
    <t>25815 TOCAIMA</t>
  </si>
  <si>
    <t>25817 TOCANCIPÁ</t>
  </si>
  <si>
    <t>25823 TOPAIPÍ</t>
  </si>
  <si>
    <t>25839 UBALÁ</t>
  </si>
  <si>
    <t>25841 UBAQUE</t>
  </si>
  <si>
    <t>25843 VILLA DE SAN DIEGO DE UBATÉ</t>
  </si>
  <si>
    <t>25845 UNE</t>
  </si>
  <si>
    <t>25851 ÚTICA</t>
  </si>
  <si>
    <t>25862 VERGARA</t>
  </si>
  <si>
    <t>25867 VIANÍ</t>
  </si>
  <si>
    <t>25871 VILLAGÓMEZ</t>
  </si>
  <si>
    <t>25873 VILLAPINZÓN</t>
  </si>
  <si>
    <t>25875 VILLETA</t>
  </si>
  <si>
    <t>25878 VIOTÁ</t>
  </si>
  <si>
    <t>25885 YACOPÍ</t>
  </si>
  <si>
    <t>25898 ZIPACÓN</t>
  </si>
  <si>
    <t>25899 ZIPAQUIRÁ</t>
  </si>
  <si>
    <t>27001 QUIBDÓ</t>
  </si>
  <si>
    <t>27006 ACANDÍ</t>
  </si>
  <si>
    <t>27025 ALTO BAUDÓ</t>
  </si>
  <si>
    <t>27050 ATRATO</t>
  </si>
  <si>
    <t>27073 BAGADÓ</t>
  </si>
  <si>
    <t>27075 BAHÍA SOLANO</t>
  </si>
  <si>
    <t>27077 BAJO BAUDÓ</t>
  </si>
  <si>
    <t>27099 BOJAYÁ</t>
  </si>
  <si>
    <t>27135 EL CANTÓN DEL SAN PABLO</t>
  </si>
  <si>
    <t>27150 CARMEN DEL DARIÉN</t>
  </si>
  <si>
    <t>27160 CÉRTEGUI</t>
  </si>
  <si>
    <t>27205 CONDOTO</t>
  </si>
  <si>
    <t>27245 EL CARMEN DE ATRATO</t>
  </si>
  <si>
    <t>27250 EL LITORAL DEL SAN JUAN</t>
  </si>
  <si>
    <t>27361 ISTMINA</t>
  </si>
  <si>
    <t>27372 JURADÓ</t>
  </si>
  <si>
    <t>27413 LLORÓ</t>
  </si>
  <si>
    <t>27425 MEDIO ATRATO</t>
  </si>
  <si>
    <t>27430 MEDIO BAUDÓ</t>
  </si>
  <si>
    <t>27450 MEDIO SAN JUAN</t>
  </si>
  <si>
    <t>27491 NÓVITA</t>
  </si>
  <si>
    <t>27495 NUQUÍ</t>
  </si>
  <si>
    <t>27580 RÍO IRÓ</t>
  </si>
  <si>
    <t>27600 RÍO QUITO</t>
  </si>
  <si>
    <t>27615 RIOSUCIO</t>
  </si>
  <si>
    <t>27660 SAN JOSÉ DEL PALMAR</t>
  </si>
  <si>
    <t>27745 SIPÍ</t>
  </si>
  <si>
    <t>27787 TADÓ</t>
  </si>
  <si>
    <t>27800 UNGUÍA</t>
  </si>
  <si>
    <t>27810 UNIÓN PANAMERICANA</t>
  </si>
  <si>
    <t>41001 NEIVA</t>
  </si>
  <si>
    <t>41006 ACEVEDO</t>
  </si>
  <si>
    <t>41013 AGRADO</t>
  </si>
  <si>
    <t>41016 AIPE</t>
  </si>
  <si>
    <t>41020 ALGECIRAS</t>
  </si>
  <si>
    <t>41026 ALTAMIRA</t>
  </si>
  <si>
    <t>41078 BARAYA</t>
  </si>
  <si>
    <t>41132 CAMPOALEGRE</t>
  </si>
  <si>
    <t>41206 COLOMBIA</t>
  </si>
  <si>
    <t>41244 ELÍAS</t>
  </si>
  <si>
    <t>41298 GARZÓN</t>
  </si>
  <si>
    <t>41306 GIGANTE</t>
  </si>
  <si>
    <t>41319 GUADALUPE</t>
  </si>
  <si>
    <t>41349 HOBO</t>
  </si>
  <si>
    <t>41357 ÍQUIRA</t>
  </si>
  <si>
    <t>41359 ISNOS</t>
  </si>
  <si>
    <t>41378 LA ARGENTINA</t>
  </si>
  <si>
    <t>41396 LA PLATA</t>
  </si>
  <si>
    <t>41483 NÁTAGA</t>
  </si>
  <si>
    <t>41503 OPORAPA</t>
  </si>
  <si>
    <t>41518 PAICOL</t>
  </si>
  <si>
    <t>41524 PALERMO</t>
  </si>
  <si>
    <t>41530 PALESTINA</t>
  </si>
  <si>
    <t>41548 PITAL</t>
  </si>
  <si>
    <t>41551 PITALITO</t>
  </si>
  <si>
    <t>41615 RIVERA</t>
  </si>
  <si>
    <t>41660 SALADOBLANCO</t>
  </si>
  <si>
    <t>41668 SAN AGUSTÍN</t>
  </si>
  <si>
    <t>41676 SANTA MARÍA</t>
  </si>
  <si>
    <t>41770 SUAZA</t>
  </si>
  <si>
    <t>41791 TARQUI</t>
  </si>
  <si>
    <t>41797 TESALIA</t>
  </si>
  <si>
    <t>41799 TELLO</t>
  </si>
  <si>
    <t>41801 TERUEL</t>
  </si>
  <si>
    <t>41807 TIMANÁ</t>
  </si>
  <si>
    <t>41872 VILLAVIEJA</t>
  </si>
  <si>
    <t>41885 YAGUARÁ</t>
  </si>
  <si>
    <t>44001 RIOHACHA</t>
  </si>
  <si>
    <t>44035 ALBANIA</t>
  </si>
  <si>
    <t>44078 BARRANCAS</t>
  </si>
  <si>
    <t>44090 DIBULLA</t>
  </si>
  <si>
    <t>44098 DISTRACCIÓN</t>
  </si>
  <si>
    <t>44110 EL MOLINO</t>
  </si>
  <si>
    <t>44279 FONSECA</t>
  </si>
  <si>
    <t>44378 HATONUEVO</t>
  </si>
  <si>
    <t>44420 LA JAGUA DEL PILAR</t>
  </si>
  <si>
    <t>44430 MAICAO</t>
  </si>
  <si>
    <t>44560 MANAURE</t>
  </si>
  <si>
    <t>44650 SAN JUAN DEL CESAR</t>
  </si>
  <si>
    <t>44847 URIBIA</t>
  </si>
  <si>
    <t>44855 URUMITA</t>
  </si>
  <si>
    <t>44874 VILLANUEVA</t>
  </si>
  <si>
    <t>47001 SANTA MARTA</t>
  </si>
  <si>
    <t>47030 ALGARROBO</t>
  </si>
  <si>
    <t>47053 ARACATACA</t>
  </si>
  <si>
    <t>47058 ARIGUANÍ</t>
  </si>
  <si>
    <t>47161 CERRO DE SAN ANTONIO</t>
  </si>
  <si>
    <t>47170 CHIVOLO</t>
  </si>
  <si>
    <t>47189 CIÉNAGA</t>
  </si>
  <si>
    <t>47205 CONCORDIA</t>
  </si>
  <si>
    <t>47245 EL BANCO</t>
  </si>
  <si>
    <t>47258 EL PIÑÓN</t>
  </si>
  <si>
    <t>47268 EL RETÉN</t>
  </si>
  <si>
    <t>47288 FUNDACIÓN</t>
  </si>
  <si>
    <t>47318 GUAMAL</t>
  </si>
  <si>
    <t>47460 NUEVA GRANADA</t>
  </si>
  <si>
    <t>47541 PEDRAZA</t>
  </si>
  <si>
    <t>47545 PIJIÑO DEL CARMEN</t>
  </si>
  <si>
    <t>47551 PIVIJAY</t>
  </si>
  <si>
    <t>47555 PLATO</t>
  </si>
  <si>
    <t>47570 PUEBLOVIEJO</t>
  </si>
  <si>
    <t>47605 REMOLINO</t>
  </si>
  <si>
    <t>47660 SABANAS DE SAN ÁNGEL</t>
  </si>
  <si>
    <t>47675 SALAMINA</t>
  </si>
  <si>
    <t>47692 SAN SEBASTIÁN DE BUENAVISTA</t>
  </si>
  <si>
    <t>47703 SAN ZENÓN</t>
  </si>
  <si>
    <t>47707 SANTA ANA</t>
  </si>
  <si>
    <t>47720 SANTA BÁRBARA DE PINTO</t>
  </si>
  <si>
    <t>47745 SITIONUEVO</t>
  </si>
  <si>
    <t>47798 TENERIFE</t>
  </si>
  <si>
    <t>47960 ZAPAYÁN</t>
  </si>
  <si>
    <t>47980 ZONA BANANERA</t>
  </si>
  <si>
    <t>50001 VILLAVICENCIO</t>
  </si>
  <si>
    <t>50006 ACACÍAS</t>
  </si>
  <si>
    <t>50110 BARRANCA DE UPÍA</t>
  </si>
  <si>
    <t>50124 CABUYARO</t>
  </si>
  <si>
    <t>50150 CASTILLA LA NUEVA</t>
  </si>
  <si>
    <t>50223 CUBARRAL</t>
  </si>
  <si>
    <t>50226 CUMARAL</t>
  </si>
  <si>
    <t>50245 EL CALVARIO</t>
  </si>
  <si>
    <t>50251 EL CASTILLO</t>
  </si>
  <si>
    <t>50270 EL DORADO</t>
  </si>
  <si>
    <t>50287 FUENTE DE ORO</t>
  </si>
  <si>
    <t>50313 GRANADA</t>
  </si>
  <si>
    <t>50318 GUAMAL</t>
  </si>
  <si>
    <t>50325 MAPIRIPÁN</t>
  </si>
  <si>
    <t>50330 MESETAS</t>
  </si>
  <si>
    <t>50370 URIBE</t>
  </si>
  <si>
    <t>50400 LEJANÍAS</t>
  </si>
  <si>
    <t>50450 PUERTO CONCORDIA</t>
  </si>
  <si>
    <t>50568 PUERTO GAITÁN</t>
  </si>
  <si>
    <t>50573 PUERTO LÓPEZ</t>
  </si>
  <si>
    <t>50577 PUERTO LLERAS</t>
  </si>
  <si>
    <t>50590 PUERTO RICO</t>
  </si>
  <si>
    <t>50606 RESTREPO</t>
  </si>
  <si>
    <t>50680 SAN CARLOS DE GUAROA</t>
  </si>
  <si>
    <t>50683 SAN JUAN DE ARAMA</t>
  </si>
  <si>
    <t>50686 SAN JUANITO</t>
  </si>
  <si>
    <t>50689 SAN MARTÍN</t>
  </si>
  <si>
    <t>50711 VISTAHERMOSA</t>
  </si>
  <si>
    <t>52001 PASTO</t>
  </si>
  <si>
    <t>52019 ALBÁN</t>
  </si>
  <si>
    <t>52022 ALDANA</t>
  </si>
  <si>
    <t>52036 ANCUYA</t>
  </si>
  <si>
    <t>52051 ARBOLEDA</t>
  </si>
  <si>
    <t>52079 BARBACOAS</t>
  </si>
  <si>
    <t>52083 BELÉN</t>
  </si>
  <si>
    <t>52110 BUESACO</t>
  </si>
  <si>
    <t>52203 COLÓN</t>
  </si>
  <si>
    <t>52207 CONSACÁ</t>
  </si>
  <si>
    <t>52210 CONTADERO</t>
  </si>
  <si>
    <t>52215 CÓRDOBA</t>
  </si>
  <si>
    <t>52224 CUASPUD CARLOSAMA</t>
  </si>
  <si>
    <t>52227 CUMBAL</t>
  </si>
  <si>
    <t>52233 CUMBITARA</t>
  </si>
  <si>
    <t>52240 CHACHAGÜÍ</t>
  </si>
  <si>
    <t>52250 EL CHARCO</t>
  </si>
  <si>
    <t>52254 EL PEÑOL</t>
  </si>
  <si>
    <t>52256 EL ROSARIO</t>
  </si>
  <si>
    <t>52258 EL TABLÓN DE GÓMEZ</t>
  </si>
  <si>
    <t>52260 EL TAMBO</t>
  </si>
  <si>
    <t>52287 FUNES</t>
  </si>
  <si>
    <t>52317 GUACHUCAL</t>
  </si>
  <si>
    <t>52320 GUAITARILLA</t>
  </si>
  <si>
    <t>52323 GUALMATÁN</t>
  </si>
  <si>
    <t>52352 ILES</t>
  </si>
  <si>
    <t>52354 IMUÉS</t>
  </si>
  <si>
    <t>52356 IPIALES</t>
  </si>
  <si>
    <t>52378 LA CRUZ</t>
  </si>
  <si>
    <t>52381 LA FLORIDA</t>
  </si>
  <si>
    <t>52385 LA LLANADA</t>
  </si>
  <si>
    <t>52390 LA TOLA</t>
  </si>
  <si>
    <t>52399 LA UNIÓN</t>
  </si>
  <si>
    <t>52405 LEIVA</t>
  </si>
  <si>
    <t>52411 LINARES</t>
  </si>
  <si>
    <t>52418 LOS ANDES</t>
  </si>
  <si>
    <t>52427 MAGÜÍ</t>
  </si>
  <si>
    <t>52435 MALLAMA</t>
  </si>
  <si>
    <t>52473 MOSQUERA</t>
  </si>
  <si>
    <t>52480 NARIÑO</t>
  </si>
  <si>
    <t>52490 OLAYA HERRERA</t>
  </si>
  <si>
    <t>52506 OSPINA</t>
  </si>
  <si>
    <t>52520 FRANCISCO PIZARRO</t>
  </si>
  <si>
    <t>52540 POLICARPA</t>
  </si>
  <si>
    <t>52560 POTOSÍ</t>
  </si>
  <si>
    <t>52565 PROVIDENCIA</t>
  </si>
  <si>
    <t>52573 PUERRES</t>
  </si>
  <si>
    <t>52585 PUPIALES</t>
  </si>
  <si>
    <t>52612 RICAURTE</t>
  </si>
  <si>
    <t>52621 ROBERTO PAYÁN</t>
  </si>
  <si>
    <t>52678 SAMANIEGO</t>
  </si>
  <si>
    <t>52683 SANDONÁ</t>
  </si>
  <si>
    <t>52685 SAN BERNARDO</t>
  </si>
  <si>
    <t>52687 SAN LORENZO</t>
  </si>
  <si>
    <t>52693 SAN PABLO</t>
  </si>
  <si>
    <t>52694 SAN PEDRO DE CARTAGO</t>
  </si>
  <si>
    <t>52696 SANTA BÁRBARA</t>
  </si>
  <si>
    <t>52699 SANTACRUZ</t>
  </si>
  <si>
    <t>52720 SAPUYES</t>
  </si>
  <si>
    <t>52786 TAMINANGO</t>
  </si>
  <si>
    <t>52788 TANGUA</t>
  </si>
  <si>
    <t>52835 SAN ANDRÉS DE TUMACO</t>
  </si>
  <si>
    <t>52838 TÚQUERRES</t>
  </si>
  <si>
    <t>52885 YACUANQUER</t>
  </si>
  <si>
    <t>54001 SAN JOSÉ DE CÚCUTA</t>
  </si>
  <si>
    <t>54003 ÁBREGO</t>
  </si>
  <si>
    <t>54051 ARBOLEDAS</t>
  </si>
  <si>
    <t>54099 BOCHALEMA</t>
  </si>
  <si>
    <t>54109 BUCARASICA</t>
  </si>
  <si>
    <t>54125 CÁCOTA</t>
  </si>
  <si>
    <t>54128 CÁCHIRA</t>
  </si>
  <si>
    <t>54172 CHINÁCOTA</t>
  </si>
  <si>
    <t>54174 CHITAGÁ</t>
  </si>
  <si>
    <t>54206 CONVENCIÓN</t>
  </si>
  <si>
    <t>54223 CUCUTILLA</t>
  </si>
  <si>
    <t>54239 DURANIA</t>
  </si>
  <si>
    <t>54245 EL CARMEN</t>
  </si>
  <si>
    <t>54250 EL TARRA</t>
  </si>
  <si>
    <t>54261 EL ZULIA</t>
  </si>
  <si>
    <t>54313 GRAMALOTE</t>
  </si>
  <si>
    <t>54344 HACARÍ</t>
  </si>
  <si>
    <t>54347 HERRÁN</t>
  </si>
  <si>
    <t>54377 LABATECA</t>
  </si>
  <si>
    <t>54385 LA ESPERANZA</t>
  </si>
  <si>
    <t>54398 LA PLAYA</t>
  </si>
  <si>
    <t>54405 LOS PATIOS</t>
  </si>
  <si>
    <t>54418 LOURDES</t>
  </si>
  <si>
    <t>54480 MUTISCUA</t>
  </si>
  <si>
    <t>54498 OCAÑA</t>
  </si>
  <si>
    <t>54518 PAMPLONA</t>
  </si>
  <si>
    <t>54520 PAMPLONITA</t>
  </si>
  <si>
    <t>54553 PUERTO SANTANDER</t>
  </si>
  <si>
    <t>54599 RAGONVALIA</t>
  </si>
  <si>
    <t>54660 SALAZAR</t>
  </si>
  <si>
    <t>54670 SAN CALIXTO</t>
  </si>
  <si>
    <t>54673 SAN CAYETANO</t>
  </si>
  <si>
    <t>54680 SANTIAGO</t>
  </si>
  <si>
    <t>54720 SARDINATA</t>
  </si>
  <si>
    <t>54743 SILOS</t>
  </si>
  <si>
    <t>54800 TEORAMA</t>
  </si>
  <si>
    <t>54810 TIBÚ</t>
  </si>
  <si>
    <t>54820 TOLEDO</t>
  </si>
  <si>
    <t>54871 VILLA CARO</t>
  </si>
  <si>
    <t>54874 VILLA DEL ROSARIO</t>
  </si>
  <si>
    <t>63001 ARMENIA</t>
  </si>
  <si>
    <t>63111 BUENAVISTA</t>
  </si>
  <si>
    <t>63130 CALARCÁ</t>
  </si>
  <si>
    <t>63190 CIRCASIA</t>
  </si>
  <si>
    <t>63212 CÓRDOBA</t>
  </si>
  <si>
    <t>63272 FILANDIA</t>
  </si>
  <si>
    <t>63302 GÉNOVA</t>
  </si>
  <si>
    <t>63401 LA TEBAIDA</t>
  </si>
  <si>
    <t>63470 MONTENEGRO</t>
  </si>
  <si>
    <t>63548 PIJAO</t>
  </si>
  <si>
    <t>63594 QUIMBAYA</t>
  </si>
  <si>
    <t>63690 SALENTO</t>
  </si>
  <si>
    <t>66001 PEREIRA</t>
  </si>
  <si>
    <t>66045 APÍA</t>
  </si>
  <si>
    <t>66075 BALBOA</t>
  </si>
  <si>
    <t>66088 BELÉN DE UMBRÍA</t>
  </si>
  <si>
    <t>66170 DOSQUEBRADAS</t>
  </si>
  <si>
    <t>66318 GUÁTICA</t>
  </si>
  <si>
    <t>66383 LA CELIA</t>
  </si>
  <si>
    <t>66400 LA VIRGINIA</t>
  </si>
  <si>
    <t>66440 MARSELLA</t>
  </si>
  <si>
    <t>66456 MISTRATÓ</t>
  </si>
  <si>
    <t>66572 PUEBLO RICO</t>
  </si>
  <si>
    <t>66594 QUINCHÍA</t>
  </si>
  <si>
    <t>66682 SANTA ROSA DE CABAL</t>
  </si>
  <si>
    <t>66687 SANTUARIO</t>
  </si>
  <si>
    <t>68001 BUCARAMANGA</t>
  </si>
  <si>
    <t>68013 AGUADA</t>
  </si>
  <si>
    <t>68020 ALBANIA</t>
  </si>
  <si>
    <t>68051 ARATOCA</t>
  </si>
  <si>
    <t>68077 BARBOSA</t>
  </si>
  <si>
    <t>68079 BARICHARA</t>
  </si>
  <si>
    <t>68081 BARRANCABERMEJA</t>
  </si>
  <si>
    <t>68092 BETULIA</t>
  </si>
  <si>
    <t>68101 BOLÍVAR</t>
  </si>
  <si>
    <t>68121 CABRERA</t>
  </si>
  <si>
    <t>68132 CALIFORNIA</t>
  </si>
  <si>
    <t>68147 CAPITANEJO</t>
  </si>
  <si>
    <t>68152 CARCASÍ</t>
  </si>
  <si>
    <t>68160 CEPITÁ</t>
  </si>
  <si>
    <t>68162 CERRITO</t>
  </si>
  <si>
    <t>68167 CHARALÁ</t>
  </si>
  <si>
    <t>68169 CHARTA</t>
  </si>
  <si>
    <t>68176 CHIMA</t>
  </si>
  <si>
    <t>68179 CHIPATÁ</t>
  </si>
  <si>
    <t>68190 CIMITARRA</t>
  </si>
  <si>
    <t>68207 CONCEPCIÓN</t>
  </si>
  <si>
    <t>68209 CONFINES</t>
  </si>
  <si>
    <t>68211 CONTRATACIÓN</t>
  </si>
  <si>
    <t>68217 COROMORO</t>
  </si>
  <si>
    <t>68229 CURITÍ</t>
  </si>
  <si>
    <t>68235 EL CARMEN DE CHUCURÍ</t>
  </si>
  <si>
    <t>68245 EL GUACAMAYO</t>
  </si>
  <si>
    <t>68250 EL PEÑÓN</t>
  </si>
  <si>
    <t>68255 EL PLAYÓN</t>
  </si>
  <si>
    <t>68264 ENCINO</t>
  </si>
  <si>
    <t>68266 ENCISO</t>
  </si>
  <si>
    <t>68271 FLORIÁN</t>
  </si>
  <si>
    <t>68276 FLORIDABLANCA</t>
  </si>
  <si>
    <t>68296 GALÁN</t>
  </si>
  <si>
    <t>68298 GÁMBITA</t>
  </si>
  <si>
    <t>68307 GIRÓN</t>
  </si>
  <si>
    <t>68318 GUACA</t>
  </si>
  <si>
    <t>68320 GUADALUPE</t>
  </si>
  <si>
    <t>68322 GUAPOTÁ</t>
  </si>
  <si>
    <t>68324 GUAVATÁ</t>
  </si>
  <si>
    <t>68327 GÜEPSA</t>
  </si>
  <si>
    <t>68344 HATO</t>
  </si>
  <si>
    <t>68368 JESÚS MARÍA</t>
  </si>
  <si>
    <t>68370 JORDÁN</t>
  </si>
  <si>
    <t>68377 LA BELLEZA</t>
  </si>
  <si>
    <t>68385 LANDÁZURI</t>
  </si>
  <si>
    <t>68397 LA PAZ</t>
  </si>
  <si>
    <t>68406 LEBRIJA</t>
  </si>
  <si>
    <t>68418 LOS SANTOS</t>
  </si>
  <si>
    <t>68425 MACARAVITA</t>
  </si>
  <si>
    <t>68432 MÁLAGA</t>
  </si>
  <si>
    <t>68444 MATANZA</t>
  </si>
  <si>
    <t>68464 MOGOTES</t>
  </si>
  <si>
    <t>68468 MOLAGAVITA</t>
  </si>
  <si>
    <t>68498 OCAMONTE</t>
  </si>
  <si>
    <t>68500 OIBA</t>
  </si>
  <si>
    <t>68502 ONZAGA</t>
  </si>
  <si>
    <t>68522 PALMAR</t>
  </si>
  <si>
    <t>68524 PALMAS DEL SOCORRO</t>
  </si>
  <si>
    <t>68533 PÁRAMO</t>
  </si>
  <si>
    <t>68547 PIEDECUESTA</t>
  </si>
  <si>
    <t>68549 PINCHOTE</t>
  </si>
  <si>
    <t>68572 PUENTE NACIONAL</t>
  </si>
  <si>
    <t>68573 PUERTO PARRA</t>
  </si>
  <si>
    <t>68575 PUERTO WILCHES</t>
  </si>
  <si>
    <t>68615 RIONEGRO</t>
  </si>
  <si>
    <t>68655 SABANA DE TORRES</t>
  </si>
  <si>
    <t>68669 SAN ANDRÉS</t>
  </si>
  <si>
    <t>68673 SAN BENITO</t>
  </si>
  <si>
    <t>68679 SAN GIL</t>
  </si>
  <si>
    <t>68682 SAN JOAQUÍN</t>
  </si>
  <si>
    <t>68684 SAN JOSÉ DE MIRANDA</t>
  </si>
  <si>
    <t>68686 SAN MIGUEL</t>
  </si>
  <si>
    <t>68689 SAN VICENTE DE CHUCURÍ</t>
  </si>
  <si>
    <t>68705 SANTA BÁRBARA</t>
  </si>
  <si>
    <t>68720 SANTA HELENA DEL OPÓN</t>
  </si>
  <si>
    <t>68745 SIMACOTA</t>
  </si>
  <si>
    <t>68755 SOCORRO</t>
  </si>
  <si>
    <t>68770 SUAITA</t>
  </si>
  <si>
    <t>68773 SUCRE</t>
  </si>
  <si>
    <t>68780 SURATÁ</t>
  </si>
  <si>
    <t>68820 TONA</t>
  </si>
  <si>
    <t>68855 VALLE DE SAN JOSÉ</t>
  </si>
  <si>
    <t>68861 VÉLEZ</t>
  </si>
  <si>
    <t>68867 VETAS</t>
  </si>
  <si>
    <t>68872 VILLANUEVA</t>
  </si>
  <si>
    <t>68895 ZAPATOCA</t>
  </si>
  <si>
    <t>70001 SINCELEJO</t>
  </si>
  <si>
    <t>70110 BUENAVISTA</t>
  </si>
  <si>
    <t>70124 CAIMITO</t>
  </si>
  <si>
    <t>70204 COLOSÓ</t>
  </si>
  <si>
    <t>70215 COROZAL</t>
  </si>
  <si>
    <t>70221 COVEÑAS</t>
  </si>
  <si>
    <t>70230 CHALÁN</t>
  </si>
  <si>
    <t>70233 EL ROBLE</t>
  </si>
  <si>
    <t>70235 GALERAS</t>
  </si>
  <si>
    <t>70265 GUARANDA</t>
  </si>
  <si>
    <t>70400 LA UNIÓN</t>
  </si>
  <si>
    <t>70418 LOS PALMITOS</t>
  </si>
  <si>
    <t>70429 MAJAGUAL</t>
  </si>
  <si>
    <t>70473 MORROA</t>
  </si>
  <si>
    <t>70508 OVEJAS</t>
  </si>
  <si>
    <t>70523 PALMITO</t>
  </si>
  <si>
    <t>70670 SAMPUÉS</t>
  </si>
  <si>
    <t>70678 SAN BENITO ABAD</t>
  </si>
  <si>
    <t>70702 SAN JUAN DE BETULIA</t>
  </si>
  <si>
    <t>70708 SAN MARCOS</t>
  </si>
  <si>
    <t>70713 SAN ONOFRE</t>
  </si>
  <si>
    <t>70717 SAN PEDRO</t>
  </si>
  <si>
    <t>70742 SAN LUIS DE SINCÉ</t>
  </si>
  <si>
    <t>70771 SUCRE</t>
  </si>
  <si>
    <t>70820 SANTIAGO DE TOLÚ</t>
  </si>
  <si>
    <t>70823 SAN JOSÉ DE TOLUVIEJO</t>
  </si>
  <si>
    <t>73001 IBAGUÉ</t>
  </si>
  <si>
    <t>73024 ALPUJARRA</t>
  </si>
  <si>
    <t>73026 ALVARADO</t>
  </si>
  <si>
    <t>73030 AMBALEMA</t>
  </si>
  <si>
    <t>73043 ANZOÁTEGUI</t>
  </si>
  <si>
    <t>73055 ARMERO</t>
  </si>
  <si>
    <t>73067 ATACO</t>
  </si>
  <si>
    <t>73124 CAJAMARCA</t>
  </si>
  <si>
    <t>73148 CARMEN DE APICALÁ</t>
  </si>
  <si>
    <t>73152 CASABIANCA</t>
  </si>
  <si>
    <t>73168 CHAPARRAL</t>
  </si>
  <si>
    <t>73200 COELLO</t>
  </si>
  <si>
    <t>73217 COYAIMA</t>
  </si>
  <si>
    <t>73226 CUNDAY</t>
  </si>
  <si>
    <t>73236 DOLORES</t>
  </si>
  <si>
    <t>73268 ESPINAL</t>
  </si>
  <si>
    <t>73270 FALAN</t>
  </si>
  <si>
    <t>73275 FLANDES</t>
  </si>
  <si>
    <t>73283 FRESNO</t>
  </si>
  <si>
    <t>73319 GUAMO</t>
  </si>
  <si>
    <t>73347 HERVEO</t>
  </si>
  <si>
    <t>73349 HONDA</t>
  </si>
  <si>
    <t>73352 ICONONZO</t>
  </si>
  <si>
    <t>73408 LÉRIDA</t>
  </si>
  <si>
    <t>73411 LÍBANO</t>
  </si>
  <si>
    <t>73443 SAN SEBASTIÁN DE MARIQUITA</t>
  </si>
  <si>
    <t>73449 MELGAR</t>
  </si>
  <si>
    <t>73461 MURILLO</t>
  </si>
  <si>
    <t>73483 NATAGAIMA</t>
  </si>
  <si>
    <t>73504 ORTEGA</t>
  </si>
  <si>
    <t>73520 PALOCABILDO</t>
  </si>
  <si>
    <t>73547 PIEDRAS</t>
  </si>
  <si>
    <t>73555 PLANADAS</t>
  </si>
  <si>
    <t>73563 PRADO</t>
  </si>
  <si>
    <t>73585 PURIFICACIÓN</t>
  </si>
  <si>
    <t>73616 RIOBLANCO</t>
  </si>
  <si>
    <t>73622 RONCESVALLES</t>
  </si>
  <si>
    <t>73624 ROVIRA</t>
  </si>
  <si>
    <t>73671 SALDAÑA</t>
  </si>
  <si>
    <t>73675 SAN ANTONIO</t>
  </si>
  <si>
    <t>73678 SAN LUIS</t>
  </si>
  <si>
    <t>73686 SANTA ISABEL</t>
  </si>
  <si>
    <t>73770 SUÁREZ</t>
  </si>
  <si>
    <t>73854 VALLE DE SAN JUAN</t>
  </si>
  <si>
    <t>73861 VENADILLO</t>
  </si>
  <si>
    <t>73870 VILLAHERMOSA</t>
  </si>
  <si>
    <t>73873 VILLARRICA</t>
  </si>
  <si>
    <t>76001 CALI</t>
  </si>
  <si>
    <t>76020 ALCALÁ</t>
  </si>
  <si>
    <t>76036 ANDALUCÍA</t>
  </si>
  <si>
    <t>76041 ANSERMANUEVO</t>
  </si>
  <si>
    <t>76054 ARGELIA</t>
  </si>
  <si>
    <t>76100 BOLÍVAR</t>
  </si>
  <si>
    <t>76109 BUENAVENTURA</t>
  </si>
  <si>
    <t>76111 GUADALAJARA DE BUGA</t>
  </si>
  <si>
    <t>76113 BUGALAGRANDE</t>
  </si>
  <si>
    <t>76122 CAICEDONIA</t>
  </si>
  <si>
    <t>76126 CALIMA</t>
  </si>
  <si>
    <t>76130 CANDELARIA</t>
  </si>
  <si>
    <t>76147 CARTAGO</t>
  </si>
  <si>
    <t>76233 DAGUA</t>
  </si>
  <si>
    <t>76243 EL ÁGUILA</t>
  </si>
  <si>
    <t>76246 EL CAIRO</t>
  </si>
  <si>
    <t>76248 EL CERRITO</t>
  </si>
  <si>
    <t>76250 EL DOVIO</t>
  </si>
  <si>
    <t>76275 FLORIDA</t>
  </si>
  <si>
    <t>76306 GINEBRA</t>
  </si>
  <si>
    <t>76318 GUACARÍ</t>
  </si>
  <si>
    <t>76364 JAMUNDÍ</t>
  </si>
  <si>
    <t>76377 LA CUMBRE</t>
  </si>
  <si>
    <t>76400 LA UNIÓN</t>
  </si>
  <si>
    <t>76403 LA VICTORIA</t>
  </si>
  <si>
    <t>76497 OBANDO</t>
  </si>
  <si>
    <t>76520 PALMIRA</t>
  </si>
  <si>
    <t>76563 PRADERA</t>
  </si>
  <si>
    <t>76606 RESTREPO</t>
  </si>
  <si>
    <t>76616 RIOFRÍO</t>
  </si>
  <si>
    <t>76622 ROLDANILLO</t>
  </si>
  <si>
    <t>76670 SAN PEDRO</t>
  </si>
  <si>
    <t>76736 SEVILLA</t>
  </si>
  <si>
    <t>76823 TORO</t>
  </si>
  <si>
    <t>76828 TRUJILLO</t>
  </si>
  <si>
    <t>76834 TULUÁ</t>
  </si>
  <si>
    <t>76845 ULLOA</t>
  </si>
  <si>
    <t>76863 VERSALLES</t>
  </si>
  <si>
    <t>76869 VIJES</t>
  </si>
  <si>
    <t>76890 YOTOCO</t>
  </si>
  <si>
    <t>76892 YUMBO</t>
  </si>
  <si>
    <t>76895 ZARZAL</t>
  </si>
  <si>
    <t>81001 ARAUCA</t>
  </si>
  <si>
    <t>81065 ARAUQUITA</t>
  </si>
  <si>
    <t>81220 CRAVO NORTE</t>
  </si>
  <si>
    <t>81300 FORTUL</t>
  </si>
  <si>
    <t>81591 PUERTO RONDÓN</t>
  </si>
  <si>
    <t>81736 SARAVENA</t>
  </si>
  <si>
    <t>81794 TAME</t>
  </si>
  <si>
    <t>85001 YOPAL</t>
  </si>
  <si>
    <t>85010 AGUAZUL</t>
  </si>
  <si>
    <t>85015 CHÁMEZA</t>
  </si>
  <si>
    <t>85125 HATO COROZAL</t>
  </si>
  <si>
    <t>85136 LA SALINA</t>
  </si>
  <si>
    <t>85139 MANÍ</t>
  </si>
  <si>
    <t>85162 MONTERREY</t>
  </si>
  <si>
    <t>85225 NUNCHÍA</t>
  </si>
  <si>
    <t>85230 OROCUÉ</t>
  </si>
  <si>
    <t>85250 PAZ DE ARIPORO</t>
  </si>
  <si>
    <t>85263 PORE</t>
  </si>
  <si>
    <t>85279 RECETOR</t>
  </si>
  <si>
    <t>85300 SABANALARGA</t>
  </si>
  <si>
    <t>85315 SÁCAMA</t>
  </si>
  <si>
    <t>85325 SAN LUIS DE PALENQUE</t>
  </si>
  <si>
    <t>85400 TÁMARA</t>
  </si>
  <si>
    <t>85410 TAURAMENA</t>
  </si>
  <si>
    <t>85430 TRINIDAD</t>
  </si>
  <si>
    <t>85440 VILLANUEVA</t>
  </si>
  <si>
    <t>86001 MOCOA</t>
  </si>
  <si>
    <t>86219 COLÓN</t>
  </si>
  <si>
    <t>86320 ORITO</t>
  </si>
  <si>
    <t>86568 PUERTO ASÍS</t>
  </si>
  <si>
    <t>86569 PUERTO CAICEDO</t>
  </si>
  <si>
    <t>86571 PUERTO GUZMÁN</t>
  </si>
  <si>
    <t>86573 PUERTO LEGUÍZAMO</t>
  </si>
  <si>
    <t>86749 SIBUNDOY</t>
  </si>
  <si>
    <t>86755 SAN FRANCISCO</t>
  </si>
  <si>
    <t>86757 SAN MIGUEL</t>
  </si>
  <si>
    <t>86760 SANTIAGO</t>
  </si>
  <si>
    <t>86865 VALLE DEL GUAMUEZ</t>
  </si>
  <si>
    <t>86885 VILLAGARZÓN</t>
  </si>
  <si>
    <t>88001 SAN ANDRÉS</t>
  </si>
  <si>
    <t>88564 PROVIDENCIA</t>
  </si>
  <si>
    <t>91001 LETICIA</t>
  </si>
  <si>
    <t>91263 EL ENCANTO</t>
  </si>
  <si>
    <t>91405 LA CHORRERA</t>
  </si>
  <si>
    <t>91407 LA PEDRERA</t>
  </si>
  <si>
    <t>91430 LA VICTORIA</t>
  </si>
  <si>
    <t>91460 MIRITÍ - PARANÁ</t>
  </si>
  <si>
    <t>91530 PUERTO ALEGRÍA</t>
  </si>
  <si>
    <t>91536 PUERTO ARICA</t>
  </si>
  <si>
    <t>91540 PUERTO NARIÑO</t>
  </si>
  <si>
    <t>91669 PUERTO SANTANDER</t>
  </si>
  <si>
    <t>91798 TARAPACÁ</t>
  </si>
  <si>
    <t>94001 INÍRIDA</t>
  </si>
  <si>
    <t>94343 BARRANCOMINAS</t>
  </si>
  <si>
    <t>94883 SAN FELIPE</t>
  </si>
  <si>
    <t>94884 PUERTO COLOMBIA</t>
  </si>
  <si>
    <t>94885 LA GUADALUPE</t>
  </si>
  <si>
    <t>94886 CACAHUAL</t>
  </si>
  <si>
    <t>94887 PANA PANA</t>
  </si>
  <si>
    <t>94888 MORICHAL</t>
  </si>
  <si>
    <t>95001 SAN JOSÉ DEL GUAVIARE</t>
  </si>
  <si>
    <t>95015 CALAMAR</t>
  </si>
  <si>
    <t>95025 EL RETORNO</t>
  </si>
  <si>
    <t>95200 MIRAFLORES</t>
  </si>
  <si>
    <t>97001 MITÚ</t>
  </si>
  <si>
    <t>97161 CARURÚ</t>
  </si>
  <si>
    <t>97511 PACOA</t>
  </si>
  <si>
    <t>97666 TARAIRA</t>
  </si>
  <si>
    <t>97777 PAPUNAHUA</t>
  </si>
  <si>
    <t>97889 YAVARATÉ</t>
  </si>
  <si>
    <t>99001 PUERTO CARREÑO</t>
  </si>
  <si>
    <t>99524 LA PRIMAVERA</t>
  </si>
  <si>
    <t>99624 SANTA ROSALÍA</t>
  </si>
  <si>
    <t>99773 CUMARIBO</t>
  </si>
  <si>
    <t>Diccionario de datos:</t>
  </si>
  <si>
    <t xml:space="preserve">Variable </t>
  </si>
  <si>
    <t xml:space="preserve">Definición </t>
  </si>
  <si>
    <t>Valores controlados</t>
  </si>
  <si>
    <t xml:space="preserve">Nombre completo de la persona que es entendida como un usuario de la biodiversidad. Antes de compartir abiertamente con todo el instituto, es necesario filtrar nombres propios y anonimizar esta variable en los casos en los casos en los que se registran estos nombres. </t>
  </si>
  <si>
    <t xml:space="preserve">Revisar lista disponible. Si no existe, se puede digitar </t>
  </si>
  <si>
    <t xml:space="preserve">Identificador único. Es un consecutivo alfanumérico que identifica cada uno de los usuarios registrados. </t>
  </si>
  <si>
    <t xml:space="preserve">Digitar el consecutivo en formato PER_001 </t>
  </si>
  <si>
    <t xml:space="preserve">Edad del usuario. Si hay personas en estado de vulnerabilidad y estas se pueden reconocer por su edad, es necesario, al momento de la incorporación a la I2D,  reclasificar los datos por rangos </t>
  </si>
  <si>
    <t xml:space="preserve">Organización </t>
  </si>
  <si>
    <t>Género del usuario</t>
  </si>
  <si>
    <t>mujer, hombre, otro</t>
  </si>
  <si>
    <t>Nombre de la organización a la cual pertenece el usuario. Si contiene nombres sensibles, requiere asignación de alias anónimos al momento de incorporar a la I2D. Estos alias  solo deben conocerse por el equipo investigativo.                                     Ejemplo: 1=Instituto Humboldt</t>
  </si>
  <si>
    <t>Población étnica a la que está asociado el usuario.</t>
  </si>
  <si>
    <t>Seleccionar opción de lista desplegable</t>
  </si>
  <si>
    <t>Ocupación socioeconómica</t>
  </si>
  <si>
    <t>Situación de vulnerabilidad, riesgo o rasgo poblacional que condiciona al usuario. Por ejemplo, víctima del conflicto armado o madre cabeza de familia</t>
  </si>
  <si>
    <t xml:space="preserve">Descripción general del sector socioeconómico en el que normalmente se desempeña el ucuario en el territorio. Por ejemplo, pescador. </t>
  </si>
  <si>
    <t>Actividades productivas que son llevadas a cabo por el usuario. Regístrelas en orden de mayor a menor importancia para el usuario separadas por " | ". Por ejemplo: ganadería | meliponicultura.</t>
  </si>
  <si>
    <t>Tiempo que lleva el usuario habitando o frecuentando la zona de estudio.</t>
  </si>
  <si>
    <t>Expresado en meses</t>
  </si>
  <si>
    <t>Nombre del departamento en el que se localiza el usuario según la división político-administrativa (Divipola) del DANE, y su respectivo código</t>
  </si>
  <si>
    <t>Nombre del municipio en el que se localiza el usuario según la división político-administrativa (Divipola) del DANE, y su respectivo código</t>
  </si>
  <si>
    <t xml:space="preserve">Otros sitio especifico </t>
  </si>
  <si>
    <t xml:space="preserve">Localización del usuario al nivel de referencia veredas </t>
  </si>
  <si>
    <t xml:space="preserve">Localización del usuario en un lugar, sitio, barrio o cualquier otra figura territorial específica donde el actor emprenda sus actividades, diferente a departamento, municipio o vereda. Por ejemplo, Comuna 14. </t>
  </si>
  <si>
    <t>Ubicación geográfica del actor en latitud. Es un campo opcional cuando se requiere geolocalización. Ejemplo: "4.7374"</t>
  </si>
  <si>
    <t>Digitar en coordenadas decimales</t>
  </si>
  <si>
    <t>Sistema de coordenadas</t>
  </si>
  <si>
    <t>Ubicación geográfica del actor en longitud. Es un campo opcional cuando se requiere geolocalización. Ejemplo: "-74.78372".</t>
  </si>
  <si>
    <t>Sistema de referencia espacial en el que fueron colectadas las coordenadas. Ejemplo: grados, minutos, segundos en WGS84</t>
  </si>
  <si>
    <t>Correo</t>
  </si>
  <si>
    <t xml:space="preserve">Teléfono </t>
  </si>
  <si>
    <t>Número de teléfono o celular de la persona de contacto.  Requiere anonimización para compartir</t>
  </si>
  <si>
    <t>Correo Electrónico</t>
  </si>
  <si>
    <t xml:space="preserve">Correo electrónico de la persona de contacto.  Requiere anonimización para compartir </t>
  </si>
  <si>
    <t xml:space="preserve">Nombre de la persona que diligencia la información que describe el actor </t>
  </si>
  <si>
    <t xml:space="preserve">Fecha en la que se registra la información sobre el actor </t>
  </si>
  <si>
    <t>Dato de contacto (correo) de la persona que diligencia la información del actor</t>
  </si>
  <si>
    <t xml:space="preserve">Origen del cual provienen los datos del actor. Indicar si la fuente es primaria o secundaria </t>
  </si>
  <si>
    <t>Práctica de uso</t>
  </si>
  <si>
    <t>ID práctica de uso</t>
  </si>
  <si>
    <t xml:space="preserve">Identificador único. Es un consecutivo alfanumérico que identifica cada una de las prácticas de uso registradas. </t>
  </si>
  <si>
    <r>
      <rPr>
        <sz val="10"/>
        <color theme="1"/>
        <rFont val="Arial"/>
      </rPr>
      <t xml:space="preserve">Debe codificarse cada uno así: </t>
    </r>
    <r>
      <rPr>
        <i/>
        <sz val="10"/>
        <color theme="1"/>
        <rFont val="Arial"/>
      </rPr>
      <t>USO_año en el que se toma la información_consecutivo</t>
    </r>
  </si>
  <si>
    <t>Clasificación del tipo de uso que se practica sobre determinada especie</t>
  </si>
  <si>
    <t>Revisar lista disponible.</t>
  </si>
  <si>
    <t>Clasificación de los tipos de uso que están dentro de la categoría principal. Este campo es abierto.</t>
  </si>
  <si>
    <t>Descripción detallada del uso que se le da a la especie asociada, permite profudizar cuál es la utilidad que el usuario ve en la especie y su modo de uso. Debe guardar coherencia con la categoría y subcategoría de uso correspondiente. Por ejemplo, para una especie de uso medicinal para la piel se puede profundizar si es utilizada para el acné, para tratar la piel reseca, para aliviar quemaduras, entre otras.</t>
  </si>
  <si>
    <t>Grupo biológico al cual pertenece la especie utilizada</t>
  </si>
  <si>
    <t>Ecosistema en el que tiene lugar la práctica de uso registrada</t>
  </si>
  <si>
    <t>Espacio de uso en el que tiene lugar la práctica de uso registrada</t>
  </si>
  <si>
    <t>Parte de la especie que es utilizada durante la práctica de uso correspondiente.</t>
  </si>
  <si>
    <t>Revisar lista disponible. Si no existe, se puede añadir.</t>
  </si>
  <si>
    <t>Unidad de cosecha</t>
  </si>
  <si>
    <t>Unidad de medición en la cual se va a registrar la cantidad cosechada de la parte de uso, se debe especificar si la cantidad cosechada es reportada por individuo de la especie, unidad de área o unidad de tiempo. Ejemplo: gramos/m2, metros/individuo, litros/día, unidades/época de cosecha, etc.</t>
  </si>
  <si>
    <t>Cantidad cosechada</t>
  </si>
  <si>
    <t>Cantidad utilizable de la parte que se obtiene o cosecha de determinado individuo, área o periodo de tiempo. Se pueden registrar rangos.</t>
  </si>
  <si>
    <t xml:space="preserve">Este campo es numérico y debe estar registrado en la unidad de medida seleccionada en el campo "Unidad de productividad de la parte". </t>
  </si>
  <si>
    <t>Etapa de desarrollo en la cual es utilizada la especie en cuestión</t>
  </si>
  <si>
    <t>Época de cosecha</t>
  </si>
  <si>
    <t>Temporada del año en la cual está disponible la especie para ser utilizada, Ejemplo: teporada de lluvias, temporada seca, meses específicos, etc.</t>
  </si>
  <si>
    <t>Frecuencia con la cual es utilizada la especie para la práctica de uso correspondiente.</t>
  </si>
  <si>
    <t>Medida con la cual se puede reflejar el esfuerzo requerido para la obtenciòn de la especie en las condiciones requeridas para la práctica de uso. Esta puede estar registrada en distintas unidades como dìas, kilómetros, número de procesos, etc. Por favor aclarar la unidad de medida en este mismo campo.</t>
  </si>
  <si>
    <t>Forma en la que es obtenida la especie en las condiciones requeridas para la práctica de uso correspondiente. Ejemplo: Caza, crianza, cosecha, propagación, recolección, trueque, cultivo, etc.</t>
  </si>
  <si>
    <t>Técnicas de manejo</t>
  </si>
  <si>
    <t>Se pueden relacionar una descripción detallada de las formas de extracción, manejo o cuidado de las distintas especies relacionadas al uso antes de su transformación.</t>
  </si>
  <si>
    <t>Utilice términos sencillos para referirse a las operaciones requeridas durante el proceso de transformación, separe cada término con " | ". Por ejemplo: Filtración | Molienda | Fermentación o Eviscerado | Sangrado | Desollado | Troceado | Conservación</t>
  </si>
  <si>
    <t>Descripción detallada del proceso de transformación que permite profundizar los términos usados en el campo "Operación de transformación". Incluye recetas y modos de preparación de la especie.</t>
  </si>
  <si>
    <t xml:space="preserve">Infraestructura, Equipos y/o tecnologías </t>
  </si>
  <si>
    <t>Infraestructura y/o equipos que se requieren para aprovechar y/o transformar el recurso biológico. Por favor sepárelos con " | ". Ejemplo: Extractor de fluidos | Plancha industrial</t>
  </si>
  <si>
    <t>Producto(s) que se obtiene(n) luego del proceso de transformación además del principal y que suele ser de menor valor</t>
  </si>
  <si>
    <t>Impactos (positivos o negativos) derivados de la práctica de uso. Por favor sepárelos con " | ".  Ejemplo: Incremento del hábitat | Introducción de especies exóticas.</t>
  </si>
  <si>
    <t>Forma en que los beneficios obtenidos de la práctica de uso son distribuidos entre miembros de la comunidad desde la postura del usuario indicando el tipo de relación (Familia, amigos, vecinos) y el número de personas beneficiadas por cada tipo. Por ejemplo: Familia 3 | Amigos y conocidos 5 | Vecinos 4</t>
  </si>
  <si>
    <t>Conflicto</t>
  </si>
  <si>
    <t>Situaciones de confrontación alrededor de la práctica de uso.</t>
  </si>
  <si>
    <t>Nombre de la persona que diligencia la información</t>
  </si>
  <si>
    <t>Fecha en la que se registra la información</t>
  </si>
  <si>
    <t>Dato de contacto (correo) de la persona que diligencia la información</t>
  </si>
  <si>
    <t xml:space="preserve">Origen del cual provienen los datos. Indicar si la fuente es primaria o secundaria </t>
  </si>
  <si>
    <t>Identificador único. Es un consecutivo alfanumérico que identifica cada una de las prácticas de uso registradas. Permite asociar la práctica de uso a la especie que está siendo utilizada.</t>
  </si>
  <si>
    <t>El nombre científico completo del reino al que pertenece el taxón.</t>
  </si>
  <si>
    <t>El nombre científico completo del filo o división al que pertenece el taxón.</t>
  </si>
  <si>
    <t>El nombre científico completo de la clase al que pertenece el taxón.</t>
  </si>
  <si>
    <t>El nombre científico completo del orden al que pertenece el taxón.</t>
  </si>
  <si>
    <t>El nombre científico completo de la familia al que pertenece el taxón.</t>
  </si>
  <si>
    <t>El nombre científico completo del género al que pertenece el taxón.</t>
  </si>
  <si>
    <t>El nombre científico canónico (sin la autoría) correspondiente a la categoría taxonómica a la que se logró la determinación del organismo observado o colectado. El nombre debe ser congruente con el elemento taxonRank, de modo que se informe a que nivel (especie, género, familia, etc.) se encuentra el nombre documentado.</t>
  </si>
  <si>
    <t>El nombre o nombres comunes del taxón (separados por una barra vertical “|”).</t>
  </si>
  <si>
    <t>Idioma utilizado para registrar el nombre o nombres comunes</t>
  </si>
  <si>
    <r>
      <rPr>
        <u/>
        <sz val="10"/>
        <color rgb="FF0000FF"/>
        <rFont val="Arial"/>
      </rPr>
      <t xml:space="preserve">Estado de amenaza de una especie de acuerdo a la IUCN (International Union for Conservation of Nature): https://www.iucnredlist.org/ o el estado en la lista del MADS (Ministerio de Medio ambiente y Desarrollo Sostenible): </t>
    </r>
    <r>
      <rPr>
        <u/>
        <sz val="10"/>
        <color rgb="FF1155CC"/>
        <rFont val="Arial"/>
      </rPr>
      <t>https://doi.org/10.15472/5an5tz.</t>
    </r>
  </si>
  <si>
    <t>Revisar lista disponible.
EX: Especies extintas
EW: Especies extintas en vida silvestre
RE: Especies extintas regionalmente
CR: Especies en peligro crítico
EN: Especies en peligro
VU: Especies en estado vulnerable
NT: Especies casi amenazadas
LC: Especies en estado de amenaza de menor preocupación
DD: Especies con datos deficientes del estado de amenaza
NA: Especies que no aplica el estado de amenaza
NE: Especies no evaluadas en términos de estado de amenaza</t>
  </si>
  <si>
    <t>Medio de establecimiento</t>
  </si>
  <si>
    <t>Una afirmación que de cuenta si un taxón ha sido introducido a un lugar y tiempo determinado a través de actividad humana directa o indirecta.</t>
  </si>
  <si>
    <t>ID_DarwinCore</t>
  </si>
  <si>
    <t>Por definir</t>
  </si>
  <si>
    <t>ID Práctica de Uso</t>
  </si>
  <si>
    <t>Identificador único. Es un consecutivo alfanumérico que identifica cada una de las prácticas de uso registradas. Permite asociar las unidades espaciales en las que la práctica incide de acuerdo a su ocurrencia en una unidad político-administrativa y/o biofísica. Se puede registrar una o más unidades espaciales para una misma práctica de uso.</t>
  </si>
  <si>
    <r>
      <rPr>
        <sz val="10"/>
        <color theme="1"/>
        <rFont val="Arial"/>
      </rPr>
      <t xml:space="preserve">Mantener el mismo identificador usado en la tabla </t>
    </r>
    <r>
      <rPr>
        <b/>
        <sz val="10"/>
        <color rgb="FFFF9900"/>
        <rFont val="Arial"/>
      </rPr>
      <t>Práctica de uso</t>
    </r>
  </si>
  <si>
    <t>Nombre del departamento en el que se localiza la práctica de uso según la división político-administrativa (Divipola) del DANE</t>
  </si>
  <si>
    <t>Nombre del municipio en el que se localiza la práctica de uso según la división político-administrativa (Divipola) del DANE</t>
  </si>
  <si>
    <t>Vereda en la que se localiza la práctica de uso</t>
  </si>
  <si>
    <t>Localización de la práctica de uso en un lugar, sitio, barrio o cualquier otra figura territorial o unidad espacial específica diferente a departamento, municipio o vereda</t>
  </si>
  <si>
    <t>En caso de que se haya realizado una caracterización predial en otro conjunto de datos (capa geográfica), este campo indica el identificador asignado al predio asociado a la práctica de uso. Permite la vinculación entre los distintos conjuntos de datos.</t>
  </si>
  <si>
    <t>Mantener el mismo identificador usado en el conjunto de datos al cual se hace referencia</t>
  </si>
  <si>
    <t>Nombre del predio asociado a la práctica de uso.</t>
  </si>
  <si>
    <t>Tipo de tenencia del usuario con respecto al predio asociado a la práctica de uso.</t>
  </si>
  <si>
    <t>Área del predio asociado a la práctica de uso.</t>
  </si>
  <si>
    <t>Expresado en hectáreas</t>
  </si>
  <si>
    <t>Altitud en la cual se registró la práctica de uso.</t>
  </si>
  <si>
    <t>Expresado en metros sobre el nivel del mar (msnm)</t>
  </si>
  <si>
    <t>Ubicación geográfica de la práctica de uso en latitud decimal. Es un campo opcional cuando se requiere geolocalización. Ejemplo: "4.8489".</t>
  </si>
  <si>
    <t>Ubicación geográfica de la práctica de uso en longitud decimal. Es un campo opcional cuando se requiere geolocalización. Ejemplo: "-74.8928".</t>
  </si>
  <si>
    <t>Nombre y/o link de acceso a las capas geográficas asociadas en donde se encuentra georreferenciada la práctica de uso en cuestión o el predio asociado.</t>
  </si>
  <si>
    <t>Fuente primaria o secundaria a partir de la cual se obtuvo la referencia espacial que permite asociar la acción con su ocurrencia en el espacio. Ejemplo: cartografía social, GPS, estudio en campo, documento de referencia, etc.</t>
  </si>
  <si>
    <t>ID Practica de uso</t>
  </si>
  <si>
    <t xml:space="preserve">Identificador único. Es un consecutivo alfanumérico que identifica cada una de las prácticas de uso registradas. Permite asociar las prácticas de uso a su producto final correspondiente. </t>
  </si>
  <si>
    <r>
      <rPr>
        <sz val="10"/>
        <color theme="1"/>
        <rFont val="Arial"/>
      </rPr>
      <t xml:space="preserve">Mantener el mismo identificador usado en la tabla </t>
    </r>
    <r>
      <rPr>
        <b/>
        <sz val="10"/>
        <color rgb="FFFF9900"/>
        <rFont val="Arial"/>
      </rPr>
      <t>Práctica de uso</t>
    </r>
  </si>
  <si>
    <t>Determina si el producto que se genera de la transformación del recurso biológico corresponde a un bien material o a un servicio.</t>
  </si>
  <si>
    <t>Descripción detallada del bien o servicio que se genera a partir de la transformación del recurso biológico</t>
  </si>
  <si>
    <t>Categorización del destino o uso final que tendrá el bien o servicio que se genera a partir de la transformación del recurso biológico. Este puede ser de autoconsumo, de uso comercial o para intercambio.</t>
  </si>
  <si>
    <t>Tipología de canales de comercio que son utilizados para vender o intercambiar el producto. Se puede registrar más de un canal de comercio.</t>
  </si>
  <si>
    <t xml:space="preserve">Forma en la que el producto final debe ser usado o aplicado. Ejemplo: Infusión, tópico, inhalación, riego, etc. </t>
  </si>
  <si>
    <t>Actividad económica en donde tiene aplicación el producto</t>
  </si>
  <si>
    <t>Agregación de valor y sofisticación alcanzado por un producto de acuerdo con su nivel de transformación. Lo anterior suele estar mediado por determinada intensidad de investigación, desarrollo e innovación (I+D+i).</t>
  </si>
  <si>
    <r>
      <rPr>
        <sz val="10"/>
        <color theme="1"/>
        <rFont val="Arial"/>
      </rPr>
      <t>Seleccionar opción de lista desplegable:
-</t>
    </r>
    <r>
      <rPr>
        <b/>
        <sz val="10"/>
        <color theme="1"/>
        <rFont val="Arial"/>
      </rPr>
      <t xml:space="preserve"> Materia prima:</t>
    </r>
    <r>
      <rPr>
        <sz val="10"/>
        <color theme="1"/>
        <rFont val="Arial"/>
      </rPr>
      <t xml:space="preserve"> Materia que se utiliza directamente o sin ningún tipo de transformación
- </t>
    </r>
    <r>
      <rPr>
        <b/>
        <sz val="10"/>
        <color theme="1"/>
        <rFont val="Arial"/>
      </rPr>
      <t>Bajo valor:</t>
    </r>
    <r>
      <rPr>
        <sz val="10"/>
        <color theme="1"/>
        <rFont val="Arial"/>
      </rPr>
      <t xml:space="preserve"> Productos primarios con bajo valor agregado. Suele involucrar procesos físicos para su transformación. 
- </t>
    </r>
    <r>
      <rPr>
        <b/>
        <sz val="10"/>
        <color theme="1"/>
        <rFont val="Arial"/>
      </rPr>
      <t>Intermedio valor:</t>
    </r>
    <r>
      <rPr>
        <sz val="10"/>
        <color theme="1"/>
        <rFont val="Arial"/>
      </rPr>
      <t xml:space="preserve"> Productos primarios con bajo valor agregado. Suele involucrar procesos físicos y químicos para su transformación. 
- </t>
    </r>
    <r>
      <rPr>
        <b/>
        <sz val="10"/>
        <color theme="1"/>
        <rFont val="Arial"/>
      </rPr>
      <t>Alto valor:</t>
    </r>
    <r>
      <rPr>
        <sz val="10"/>
        <color theme="1"/>
        <rFont val="Arial"/>
      </rPr>
      <t xml:space="preserve"> Productos secundarios con algo de valor agregado. Suele involucrar procesos más sofisticados para su obtención, incluso biológicos (como una fermentación).
- </t>
    </r>
    <r>
      <rPr>
        <b/>
        <sz val="10"/>
        <color theme="1"/>
        <rFont val="Arial"/>
      </rPr>
      <t>Muy alto valor:</t>
    </r>
    <r>
      <rPr>
        <sz val="10"/>
        <color theme="1"/>
        <rFont val="Arial"/>
      </rPr>
      <t xml:space="preserve"> Suele estar relacionado por un sector industrial fuerte y bien organizado que tiene capacidades para su obtención (debido a las especialidades y requerimientos particulares que conlleva)</t>
    </r>
  </si>
  <si>
    <t>Cantidad que se produce mensualmente del producto en cuestión.</t>
  </si>
  <si>
    <t xml:space="preserve">Este campo es numérico y debe estar registrado en la unidad de medida seleccionada en el campo "Unidad de producción". </t>
  </si>
  <si>
    <t>Unidad de medición en la cual está expresada la cantidad de producción. Ejemplo: gramos, metros, litros, etc.</t>
  </si>
  <si>
    <t xml:space="preserve">Valor estimado para la puesta de un producto en un mercado.
</t>
  </si>
  <si>
    <t>Normas, sellos y/o estándares implementados para generar el producto.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</si>
</sst>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6">
    <numFmt numFmtId="164" formatCode="#,##0.000000"/>
    <numFmt numFmtId="165" formatCode="yyyy&quot;-&quot;mm&quot;-&quot;dd"/>
    <numFmt numFmtId="166" formatCode="dd/mm/yyyy"/>
    <numFmt numFmtId="167" formatCode="d/m/yyyy"/>
    <numFmt numFmtId="168" formatCode="d&quot; de &quot;mmmm&quot; de &quot;yyyy"/>
    <numFmt numFmtId="169" formatCode="yyyy\-mm\-dd"/>
  </numFmts>
  <fonts count="84" x14ac:knownFonts="1">
    <font>
      <sz val="10"/>
      <color rgb="FF000000"/>
      <name val="Arial"/>
      <scheme val="minor"/>
    </font>
    <font>
      <sz val="10"/>
      <color theme="1"/>
      <name val="Arial"/>
    </font>
    <font>
      <b/>
      <sz val="33"/>
      <color rgb="FFFFFFFF"/>
      <name val="Arial"/>
    </font>
    <font>
      <sz val="10"/>
      <name val="Arial"/>
    </font>
    <font>
      <b/>
      <sz val="12"/>
      <color theme="1"/>
      <name val="Arial"/>
    </font>
    <font>
      <b/>
      <sz val="14"/>
      <color rgb="FFFFFFFF"/>
      <name val="Arial"/>
    </font>
    <font>
      <sz val="13"/>
      <color rgb="FF434343"/>
      <name val="Arial"/>
    </font>
    <font>
      <sz val="12"/>
      <color theme="1"/>
      <name val="Arial"/>
    </font>
    <font>
      <b/>
      <sz val="12"/>
      <color rgb="FF434343"/>
      <name val="Arial"/>
    </font>
    <font>
      <sz val="12"/>
      <color rgb="FF434343"/>
      <name val="Arial"/>
    </font>
    <font>
      <b/>
      <sz val="14"/>
      <color rgb="FF434343"/>
      <name val="Arial"/>
    </font>
    <font>
      <b/>
      <sz val="12"/>
      <color theme="9"/>
      <name val="Arial"/>
    </font>
    <font>
      <b/>
      <sz val="12"/>
      <color rgb="FF11A9CC"/>
      <name val="Arial"/>
    </font>
    <font>
      <b/>
      <sz val="12"/>
      <color rgb="FFFF9900"/>
      <name val="Arial"/>
    </font>
    <font>
      <b/>
      <sz val="12"/>
      <color rgb="FFBF9000"/>
      <name val="Arial"/>
    </font>
    <font>
      <b/>
      <sz val="12"/>
      <color rgb="FF6AA84F"/>
      <name val="Arial"/>
    </font>
    <font>
      <sz val="12"/>
      <color rgb="FF000000"/>
      <name val="Arial"/>
    </font>
    <font>
      <b/>
      <sz val="12"/>
      <color rgb="FFB45F06"/>
      <name val="Arial"/>
    </font>
    <font>
      <b/>
      <sz val="12"/>
      <color rgb="FF000000"/>
      <name val="Arial"/>
    </font>
    <font>
      <sz val="12"/>
      <color rgb="FFCC0000"/>
      <name val="Arial"/>
    </font>
    <font>
      <b/>
      <sz val="12"/>
      <color rgb="FFCC0000"/>
      <name val="Arial"/>
    </font>
    <font>
      <b/>
      <i/>
      <sz val="12"/>
      <color rgb="FF666666"/>
      <name val="Arial"/>
    </font>
    <font>
      <b/>
      <sz val="12"/>
      <color rgb="FF666666"/>
      <name val="Arial"/>
    </font>
    <font>
      <b/>
      <sz val="12"/>
      <color rgb="FFFFFFFF"/>
      <name val="Arial"/>
    </font>
    <font>
      <b/>
      <sz val="11"/>
      <color theme="1"/>
      <name val="Arial"/>
    </font>
    <font>
      <sz val="11"/>
      <color rgb="FF434343"/>
      <name val="Arial"/>
    </font>
    <font>
      <b/>
      <sz val="10"/>
      <color theme="1"/>
      <name val="Arial"/>
    </font>
    <font>
      <b/>
      <sz val="10"/>
      <color rgb="FF990000"/>
      <name val="Arial"/>
    </font>
    <font>
      <sz val="10"/>
      <color rgb="FF000000"/>
      <name val="Arial"/>
    </font>
    <font>
      <i/>
      <sz val="10"/>
      <color theme="1"/>
      <name val="Arial"/>
    </font>
    <font>
      <i/>
      <sz val="10"/>
      <color rgb="FF990000"/>
      <name val="Arial"/>
    </font>
    <font>
      <sz val="10"/>
      <color rgb="FFFFFFFF"/>
      <name val="Arial"/>
    </font>
    <font>
      <sz val="11"/>
      <color rgb="FF000000"/>
      <name val="Arial"/>
    </font>
    <font>
      <sz val="11"/>
      <color theme="1"/>
      <name val="Calibri"/>
    </font>
    <font>
      <u/>
      <sz val="10"/>
      <color rgb="FF0000FF"/>
      <name val="Arial"/>
    </font>
    <font>
      <u/>
      <sz val="10"/>
      <color rgb="FF1155CC"/>
      <name val="Arial"/>
    </font>
    <font>
      <sz val="11"/>
      <color rgb="FF050505"/>
      <name val="Arial"/>
    </font>
    <font>
      <sz val="10"/>
      <color rgb="FF050505"/>
      <name val="Arial"/>
    </font>
    <font>
      <sz val="10"/>
      <color theme="1"/>
      <name val="Arial"/>
    </font>
    <font>
      <u/>
      <sz val="10"/>
      <color rgb="FF0000FF"/>
      <name val="Arial"/>
    </font>
    <font>
      <sz val="10"/>
      <color rgb="FF1F1F1F"/>
      <name val="Arial"/>
    </font>
    <font>
      <i/>
      <sz val="10"/>
      <color theme="1"/>
      <name val="Arial"/>
    </font>
    <font>
      <sz val="10"/>
      <color theme="1"/>
      <name val="Arial"/>
      <scheme val="minor"/>
    </font>
    <font>
      <sz val="10"/>
      <color rgb="FF000000"/>
      <name val="Arial"/>
    </font>
    <font>
      <sz val="10"/>
      <color rgb="FF333847"/>
      <name val="Arial"/>
    </font>
    <font>
      <i/>
      <sz val="10"/>
      <color rgb="FF000000"/>
      <name val="Arial"/>
    </font>
    <font>
      <i/>
      <sz val="10"/>
      <color rgb="FF000000"/>
      <name val="Arial"/>
    </font>
    <font>
      <sz val="12"/>
      <color theme="1"/>
      <name val="Calibri"/>
    </font>
    <font>
      <b/>
      <sz val="10"/>
      <color rgb="FF6AA84F"/>
      <name val="Arial"/>
    </font>
    <font>
      <b/>
      <i/>
      <sz val="10"/>
      <color theme="1"/>
      <name val="Arial"/>
    </font>
    <font>
      <i/>
      <sz val="12"/>
      <color theme="1"/>
      <name val="Calibri"/>
    </font>
    <font>
      <sz val="11"/>
      <color rgb="FF000000"/>
      <name val="Calibri"/>
    </font>
    <font>
      <sz val="12"/>
      <color rgb="FF000000"/>
      <name val="Calibri"/>
    </font>
    <font>
      <i/>
      <sz val="12"/>
      <color rgb="FF000000"/>
      <name val="Calibri"/>
    </font>
    <font>
      <i/>
      <sz val="10"/>
      <color theme="1"/>
      <name val="Arial"/>
      <scheme val="minor"/>
    </font>
    <font>
      <b/>
      <sz val="10"/>
      <color rgb="FFB45F06"/>
      <name val="Arial"/>
    </font>
    <font>
      <b/>
      <i/>
      <sz val="10"/>
      <color rgb="FFB45F06"/>
      <name val="Arial"/>
    </font>
    <font>
      <b/>
      <sz val="25"/>
      <color rgb="FFFFFFFF"/>
      <name val="Arial"/>
    </font>
    <font>
      <b/>
      <sz val="23"/>
      <color rgb="FFFFFFFF"/>
      <name val="Arial"/>
    </font>
    <font>
      <b/>
      <sz val="23"/>
      <color rgb="FF434343"/>
      <name val="Arial"/>
    </font>
    <font>
      <sz val="10"/>
      <color rgb="FF666666"/>
      <name val="Arial"/>
    </font>
    <font>
      <b/>
      <u/>
      <sz val="10"/>
      <color rgb="FF1155CC"/>
      <name val="Arial"/>
    </font>
    <font>
      <sz val="8"/>
      <color theme="1"/>
      <name val="Arial"/>
    </font>
    <font>
      <sz val="9"/>
      <color rgb="FF11A9CC"/>
      <name val="Arial"/>
    </font>
    <font>
      <sz val="10"/>
      <color rgb="FFFF0000"/>
      <name val="Arial"/>
    </font>
    <font>
      <sz val="8"/>
      <color rgb="FF000000"/>
      <name val="Arial"/>
    </font>
    <font>
      <b/>
      <sz val="22"/>
      <color rgb="FFFFFFFF"/>
      <name val="Arial"/>
    </font>
    <font>
      <b/>
      <sz val="22"/>
      <color rgb="FF434343"/>
      <name val="Arial"/>
    </font>
    <font>
      <b/>
      <sz val="11"/>
      <color rgb="FF434343"/>
      <name val="Arial"/>
    </font>
    <font>
      <b/>
      <sz val="11"/>
      <color rgb="FFFFFFFF"/>
      <name val="Arial"/>
    </font>
    <font>
      <sz val="10"/>
      <color rgb="FFCC0000"/>
      <name val="Arial"/>
    </font>
    <font>
      <b/>
      <sz val="10"/>
      <color rgb="FF000000"/>
      <name val="Arial"/>
    </font>
    <font>
      <i/>
      <sz val="10"/>
      <color rgb="FFCC0000"/>
      <name val="Arial"/>
    </font>
    <font>
      <b/>
      <i/>
      <sz val="22"/>
      <color rgb="FFFFFFFF"/>
      <name val="Arial"/>
    </font>
    <font>
      <b/>
      <i/>
      <sz val="14"/>
      <color theme="1"/>
      <name val="Arial"/>
    </font>
    <font>
      <b/>
      <sz val="10"/>
      <color rgb="FF11A9CC"/>
      <name val="Arial"/>
    </font>
    <font>
      <b/>
      <i/>
      <sz val="22"/>
      <color rgb="FF000000"/>
      <name val="Arial"/>
    </font>
    <font>
      <b/>
      <sz val="11"/>
      <color rgb="FF000000"/>
      <name val="Arial"/>
    </font>
    <font>
      <b/>
      <sz val="10"/>
      <color rgb="FFFF9900"/>
      <name val="Arial"/>
    </font>
    <font>
      <u/>
      <sz val="10"/>
      <color rgb="FF0000FF"/>
      <name val="Arial"/>
    </font>
    <font>
      <b/>
      <i/>
      <sz val="22"/>
      <color rgb="FFB45F06"/>
      <name val="Arial"/>
    </font>
    <font>
      <b/>
      <sz val="11"/>
      <color rgb="FFB45F06"/>
      <name val="Arial"/>
    </font>
    <font>
      <b/>
      <i/>
      <sz val="10"/>
      <color rgb="FF000000"/>
      <name val="Arial"/>
    </font>
    <font>
      <b/>
      <u/>
      <sz val="7"/>
      <color rgb="FF1155CC"/>
      <name val="Arial"/>
    </font>
  </fonts>
  <fills count="28">
    <fill>
      <patternFill patternType="none"/>
    </fill>
    <fill>
      <patternFill patternType="gray125"/>
    </fill>
    <fill>
      <patternFill patternType="solid">
        <fgColor theme="0"/>
        <bgColor theme="0"/>
      </patternFill>
    </fill>
    <fill>
      <patternFill patternType="solid">
        <fgColor rgb="FFFFFFFF"/>
        <bgColor rgb="FFFFFFFF"/>
      </patternFill>
    </fill>
    <fill>
      <patternFill patternType="solid">
        <fgColor rgb="FF434343"/>
        <bgColor rgb="FF434343"/>
      </patternFill>
    </fill>
    <fill>
      <patternFill patternType="solid">
        <fgColor rgb="FFCFE2F3"/>
        <bgColor rgb="FFCFE2F3"/>
      </patternFill>
    </fill>
    <fill>
      <patternFill patternType="solid">
        <fgColor rgb="FFFCE5CD"/>
        <bgColor rgb="FFFCE5CD"/>
      </patternFill>
    </fill>
    <fill>
      <patternFill patternType="solid">
        <fgColor rgb="FFB7E1CD"/>
        <bgColor rgb="FFB7E1CD"/>
      </patternFill>
    </fill>
    <fill>
      <patternFill patternType="solid">
        <fgColor rgb="FFD9EAD3"/>
        <bgColor rgb="FFD9EAD3"/>
      </patternFill>
    </fill>
    <fill>
      <patternFill patternType="solid">
        <fgColor rgb="FFFFF2CC"/>
        <bgColor rgb="FFFFF2CC"/>
      </patternFill>
    </fill>
    <fill>
      <patternFill patternType="solid">
        <fgColor rgb="FFF3F3F3"/>
        <bgColor rgb="FFF3F3F3"/>
      </patternFill>
    </fill>
    <fill>
      <patternFill patternType="solid">
        <fgColor rgb="FFF4CCCC"/>
        <bgColor rgb="FFF4CCCC"/>
      </patternFill>
    </fill>
    <fill>
      <patternFill patternType="solid">
        <fgColor rgb="FF666666"/>
        <bgColor rgb="FF666666"/>
      </patternFill>
    </fill>
    <fill>
      <patternFill patternType="solid">
        <fgColor theme="9"/>
        <bgColor theme="9"/>
      </patternFill>
    </fill>
    <fill>
      <patternFill patternType="solid">
        <fgColor rgb="FFA4C2F4"/>
        <bgColor rgb="FFA4C2F4"/>
      </patternFill>
    </fill>
    <fill>
      <patternFill patternType="solid">
        <fgColor rgb="FFFF9900"/>
        <bgColor rgb="FFFF9900"/>
      </patternFill>
    </fill>
    <fill>
      <patternFill patternType="solid">
        <fgColor rgb="FFA5F981"/>
        <bgColor rgb="FFA5F981"/>
      </patternFill>
    </fill>
    <fill>
      <patternFill patternType="solid">
        <fgColor rgb="FFFFFF00"/>
        <bgColor rgb="FFFFFF00"/>
      </patternFill>
    </fill>
    <fill>
      <patternFill patternType="solid">
        <fgColor rgb="FF9FC5E8"/>
        <bgColor rgb="FF9FC5E8"/>
      </patternFill>
    </fill>
    <fill>
      <patternFill patternType="solid">
        <fgColor rgb="FF00FFFF"/>
        <bgColor rgb="FF00FFFF"/>
      </patternFill>
    </fill>
    <fill>
      <patternFill patternType="solid">
        <fgColor rgb="FFC9DAF8"/>
        <bgColor rgb="FFC9DAF8"/>
      </patternFill>
    </fill>
    <fill>
      <patternFill patternType="solid">
        <fgColor rgb="FFFF00FF"/>
        <bgColor rgb="FFFF00FF"/>
      </patternFill>
    </fill>
    <fill>
      <patternFill patternType="solid">
        <fgColor rgb="FF93C47D"/>
        <bgColor rgb="FF93C47D"/>
      </patternFill>
    </fill>
    <fill>
      <patternFill patternType="solid">
        <fgColor rgb="FFFFE599"/>
        <bgColor rgb="FFFFE599"/>
      </patternFill>
    </fill>
    <fill>
      <patternFill patternType="solid">
        <fgColor rgb="FF46BDC6"/>
        <bgColor rgb="FF46BDC6"/>
      </patternFill>
    </fill>
    <fill>
      <patternFill patternType="solid">
        <fgColor rgb="FF00FF00"/>
        <bgColor rgb="FF00FF00"/>
      </patternFill>
    </fill>
    <fill>
      <patternFill patternType="solid">
        <fgColor rgb="FFFF0000"/>
        <bgColor rgb="FFFF0000"/>
      </patternFill>
    </fill>
    <fill>
      <patternFill patternType="solid">
        <fgColor rgb="FF6AA84F"/>
        <bgColor rgb="FF6AA84F"/>
      </patternFill>
    </fill>
  </fills>
  <borders count="71">
    <border>
      <left/>
      <right/>
      <top/>
      <bottom/>
      <diagonal/>
    </border>
    <border>
      <left/>
      <right/>
      <top/>
      <bottom/>
      <diagonal/>
    </border>
    <border>
      <left/>
      <right/>
      <top/>
      <bottom/>
      <diagonal/>
    </border>
    <border>
      <left/>
      <right/>
      <top/>
      <bottom/>
      <diagonal/>
    </border>
    <border>
      <left/>
      <right/>
      <top style="thin">
        <color rgb="FFF3F3F3"/>
      </top>
      <bottom style="thin">
        <color rgb="FFF3F3F3"/>
      </bottom>
      <diagonal/>
    </border>
    <border>
      <left/>
      <right/>
      <top style="thin">
        <color rgb="FFF3F3F3"/>
      </top>
      <bottom style="thin">
        <color rgb="FFF3F3F3"/>
      </bottom>
      <diagonal/>
    </border>
    <border>
      <left/>
      <right style="thin">
        <color rgb="FFF3F3F3"/>
      </right>
      <top style="thin">
        <color rgb="FFF3F3F3"/>
      </top>
      <bottom style="thin">
        <color rgb="FFF3F3F3"/>
      </bottom>
      <diagonal/>
    </border>
    <border>
      <left/>
      <right/>
      <top style="thin">
        <color rgb="FFF3F3F3"/>
      </top>
      <bottom/>
      <diagonal/>
    </border>
    <border>
      <left/>
      <right/>
      <top style="thin">
        <color rgb="FFF3F3F3"/>
      </top>
      <bottom/>
      <diagonal/>
    </border>
    <border>
      <left/>
      <right style="thin">
        <color rgb="FFF3F3F3"/>
      </right>
      <top style="thin">
        <color rgb="FFF3F3F3"/>
      </top>
      <bottom/>
      <diagonal/>
    </border>
    <border>
      <left/>
      <right/>
      <top/>
      <bottom style="thick">
        <color rgb="FF434343"/>
      </bottom>
      <diagonal/>
    </border>
    <border>
      <left/>
      <right/>
      <top/>
      <bottom style="thick">
        <color rgb="FF434343"/>
      </bottom>
      <diagonal/>
    </border>
    <border>
      <left style="medium">
        <color rgb="FF3D85C6"/>
      </left>
      <right style="medium">
        <color rgb="FF3D85C6"/>
      </right>
      <top style="medium">
        <color rgb="FF3D85C6"/>
      </top>
      <bottom style="medium">
        <color rgb="FF3D85C6"/>
      </bottom>
      <diagonal/>
    </border>
    <border>
      <left style="medium">
        <color rgb="FFFF9900"/>
      </left>
      <right style="medium">
        <color rgb="FFFF9900"/>
      </right>
      <top style="medium">
        <color rgb="FFFF9900"/>
      </top>
      <bottom style="medium">
        <color rgb="FFFF9900"/>
      </bottom>
      <diagonal/>
    </border>
    <border>
      <left style="medium">
        <color rgb="FF6AA84F"/>
      </left>
      <right style="medium">
        <color rgb="FF6AA84F"/>
      </right>
      <top style="medium">
        <color rgb="FF6AA84F"/>
      </top>
      <bottom/>
      <diagonal/>
    </border>
    <border>
      <left style="medium">
        <color rgb="FFB45F06"/>
      </left>
      <right style="medium">
        <color rgb="FFB45F06"/>
      </right>
      <top style="medium">
        <color rgb="FFB45F06"/>
      </top>
      <bottom style="medium">
        <color rgb="FFB45F06"/>
      </bottom>
      <diagonal/>
    </border>
    <border>
      <left style="thin">
        <color rgb="FFF3F3F3"/>
      </left>
      <right/>
      <top style="thin">
        <color rgb="FFF3F3F3"/>
      </top>
      <bottom style="thin">
        <color rgb="FFF3F3F3"/>
      </bottom>
      <diagonal/>
    </border>
    <border>
      <left style="medium">
        <color rgb="FFB7B7B7"/>
      </left>
      <right style="medium">
        <color rgb="FFB7B7B7"/>
      </right>
      <top style="medium">
        <color rgb="FFB7B7B7"/>
      </top>
      <bottom style="medium">
        <color rgb="FFB7B7B7"/>
      </bottom>
      <diagonal/>
    </border>
    <border>
      <left/>
      <right/>
      <top/>
      <bottom style="thick">
        <color rgb="FF666666"/>
      </bottom>
      <diagonal/>
    </border>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ck">
        <color rgb="FF46BDC6"/>
      </left>
      <right/>
      <top style="thick">
        <color rgb="FF46BDC6"/>
      </top>
      <bottom/>
      <diagonal/>
    </border>
    <border>
      <left/>
      <right/>
      <top style="thick">
        <color rgb="FF46BDC6"/>
      </top>
      <bottom/>
      <diagonal/>
    </border>
    <border>
      <left/>
      <right style="thick">
        <color rgb="FF46BDC6"/>
      </right>
      <top style="thick">
        <color rgb="FF46BDC6"/>
      </top>
      <bottom/>
      <diagonal/>
    </border>
    <border>
      <left style="thick">
        <color rgb="FF46BDC6"/>
      </left>
      <right/>
      <top/>
      <bottom/>
      <diagonal/>
    </border>
    <border>
      <left/>
      <right style="thick">
        <color rgb="FF46BDC6"/>
      </right>
      <top/>
      <bottom/>
      <diagonal/>
    </border>
    <border>
      <left style="thick">
        <color rgb="FF46BDC6"/>
      </left>
      <right/>
      <top/>
      <bottom/>
      <diagonal/>
    </border>
    <border>
      <left/>
      <right style="thick">
        <color rgb="FF46BDC6"/>
      </right>
      <top/>
      <bottom/>
      <diagonal/>
    </border>
    <border>
      <left style="thick">
        <color rgb="FF46BDC6"/>
      </left>
      <right/>
      <top/>
      <bottom style="thick">
        <color rgb="FF46BDC6"/>
      </bottom>
      <diagonal/>
    </border>
    <border>
      <left/>
      <right/>
      <top/>
      <bottom style="thick">
        <color rgb="FF46BDC6"/>
      </bottom>
      <diagonal/>
    </border>
    <border>
      <left/>
      <right style="thick">
        <color rgb="FF46BDC6"/>
      </right>
      <top/>
      <bottom style="thick">
        <color rgb="FF46BDC6"/>
      </bottom>
      <diagonal/>
    </border>
    <border>
      <left style="thick">
        <color rgb="FFFF9900"/>
      </left>
      <right/>
      <top style="thick">
        <color rgb="FFFF9900"/>
      </top>
      <bottom/>
      <diagonal/>
    </border>
    <border>
      <left/>
      <right/>
      <top style="thick">
        <color rgb="FFFF9900"/>
      </top>
      <bottom/>
      <diagonal/>
    </border>
    <border>
      <left/>
      <right style="thick">
        <color rgb="FFFF9900"/>
      </right>
      <top style="thick">
        <color rgb="FFFF9900"/>
      </top>
      <bottom/>
      <diagonal/>
    </border>
    <border>
      <left style="thick">
        <color rgb="FFFF9900"/>
      </left>
      <right/>
      <top/>
      <bottom/>
      <diagonal/>
    </border>
    <border>
      <left/>
      <right style="thick">
        <color rgb="FFFF9900"/>
      </right>
      <top/>
      <bottom/>
      <diagonal/>
    </border>
    <border>
      <left/>
      <right style="thick">
        <color rgb="FFFF9900"/>
      </right>
      <top/>
      <bottom/>
      <diagonal/>
    </border>
    <border>
      <left style="thick">
        <color rgb="FFFF9900"/>
      </left>
      <right/>
      <top/>
      <bottom style="thick">
        <color rgb="FFFF9900"/>
      </bottom>
      <diagonal/>
    </border>
    <border>
      <left/>
      <right/>
      <top/>
      <bottom style="thick">
        <color rgb="FFFF9900"/>
      </bottom>
      <diagonal/>
    </border>
    <border>
      <left/>
      <right style="thick">
        <color rgb="FFFF9900"/>
      </right>
      <top/>
      <bottom style="thick">
        <color rgb="FFFF9900"/>
      </bottom>
      <diagonal/>
    </border>
    <border>
      <left style="thick">
        <color rgb="FF34A853"/>
      </left>
      <right/>
      <top style="thick">
        <color rgb="FF34A853"/>
      </top>
      <bottom/>
      <diagonal/>
    </border>
    <border>
      <left/>
      <right/>
      <top style="thick">
        <color rgb="FF34A853"/>
      </top>
      <bottom/>
      <diagonal/>
    </border>
    <border>
      <left/>
      <right style="thick">
        <color rgb="FF34A853"/>
      </right>
      <top style="thick">
        <color rgb="FF34A853"/>
      </top>
      <bottom/>
      <diagonal/>
    </border>
    <border>
      <left style="thick">
        <color rgb="FF34A853"/>
      </left>
      <right/>
      <top/>
      <bottom/>
      <diagonal/>
    </border>
    <border>
      <left/>
      <right style="thick">
        <color rgb="FF34A853"/>
      </right>
      <top/>
      <bottom/>
      <diagonal/>
    </border>
    <border>
      <left/>
      <right style="thick">
        <color rgb="FF34A853"/>
      </right>
      <top/>
      <bottom/>
      <diagonal/>
    </border>
    <border>
      <left style="thick">
        <color rgb="FF34A853"/>
      </left>
      <right/>
      <top/>
      <bottom style="thick">
        <color rgb="FF34A853"/>
      </bottom>
      <diagonal/>
    </border>
    <border>
      <left/>
      <right/>
      <top/>
      <bottom style="thick">
        <color rgb="FF34A853"/>
      </bottom>
      <diagonal/>
    </border>
    <border>
      <left/>
      <right style="thick">
        <color rgb="FF34A853"/>
      </right>
      <top/>
      <bottom style="thick">
        <color rgb="FF34A853"/>
      </bottom>
      <diagonal/>
    </border>
    <border>
      <left style="thick">
        <color rgb="FF38761D"/>
      </left>
      <right/>
      <top style="thick">
        <color rgb="FF38761D"/>
      </top>
      <bottom/>
      <diagonal/>
    </border>
    <border>
      <left/>
      <right/>
      <top style="thick">
        <color rgb="FF38761D"/>
      </top>
      <bottom/>
      <diagonal/>
    </border>
    <border>
      <left/>
      <right style="thick">
        <color rgb="FF38761D"/>
      </right>
      <top style="thick">
        <color rgb="FF38761D"/>
      </top>
      <bottom/>
      <diagonal/>
    </border>
    <border>
      <left style="thick">
        <color rgb="FF38761D"/>
      </left>
      <right/>
      <top/>
      <bottom/>
      <diagonal/>
    </border>
    <border>
      <left/>
      <right style="thick">
        <color rgb="FF38761D"/>
      </right>
      <top/>
      <bottom/>
      <diagonal/>
    </border>
    <border>
      <left style="thick">
        <color rgb="FF38761D"/>
      </left>
      <right/>
      <top style="thick">
        <color rgb="FF34A853"/>
      </top>
      <bottom/>
      <diagonal/>
    </border>
    <border>
      <left/>
      <right/>
      <top style="thick">
        <color rgb="FF34A853"/>
      </top>
      <bottom/>
      <diagonal/>
    </border>
    <border>
      <left/>
      <right style="thick">
        <color rgb="FF38761D"/>
      </right>
      <top style="thick">
        <color rgb="FF34A853"/>
      </top>
      <bottom/>
      <diagonal/>
    </border>
    <border>
      <left/>
      <right style="thick">
        <color rgb="FF38761D"/>
      </right>
      <top/>
      <bottom/>
      <diagonal/>
    </border>
    <border>
      <left style="thick">
        <color rgb="FF38761D"/>
      </left>
      <right/>
      <top/>
      <bottom style="thick">
        <color rgb="FF38761D"/>
      </bottom>
      <diagonal/>
    </border>
    <border>
      <left/>
      <right/>
      <top/>
      <bottom style="thick">
        <color rgb="FF38761D"/>
      </bottom>
      <diagonal/>
    </border>
    <border>
      <left/>
      <right style="thick">
        <color rgb="FF38761D"/>
      </right>
      <top/>
      <bottom style="thick">
        <color rgb="FF38761D"/>
      </bottom>
      <diagonal/>
    </border>
    <border>
      <left style="thick">
        <color rgb="FFB45F06"/>
      </left>
      <right/>
      <top style="thick">
        <color rgb="FFB45F06"/>
      </top>
      <bottom/>
      <diagonal/>
    </border>
    <border>
      <left/>
      <right/>
      <top style="thick">
        <color rgb="FFB45F06"/>
      </top>
      <bottom/>
      <diagonal/>
    </border>
    <border>
      <left/>
      <right style="thick">
        <color rgb="FFB45F06"/>
      </right>
      <top style="thick">
        <color rgb="FFB45F06"/>
      </top>
      <bottom/>
      <diagonal/>
    </border>
    <border>
      <left style="thick">
        <color rgb="FFB45F06"/>
      </left>
      <right/>
      <top/>
      <bottom style="thick">
        <color rgb="FFB45F06"/>
      </bottom>
      <diagonal/>
    </border>
    <border>
      <left/>
      <right/>
      <top/>
      <bottom style="thick">
        <color rgb="FFB45F06"/>
      </bottom>
      <diagonal/>
    </border>
    <border>
      <left/>
      <right style="thick">
        <color rgb="FFB45F06"/>
      </right>
      <top/>
      <bottom style="thick">
        <color rgb="FFB45F06"/>
      </bottom>
      <diagonal/>
    </border>
    <border>
      <left style="thick">
        <color rgb="FFB45F06"/>
      </left>
      <right/>
      <top/>
      <bottom/>
      <diagonal/>
    </border>
    <border>
      <left/>
      <right style="thick">
        <color rgb="FFB45F06"/>
      </right>
      <top/>
      <bottom/>
      <diagonal/>
    </border>
    <border>
      <left/>
      <right/>
      <top/>
      <bottom style="thick">
        <color rgb="FFB45F06"/>
      </bottom>
      <diagonal/>
    </border>
  </borders>
  <cellStyleXfs count="1">
    <xf numFmtId="0" fontId="0" fillId="0" borderId="0"/>
  </cellStyleXfs>
  <cellXfs count="371">
    <xf numFmtId="0" fontId="0" fillId="0" borderId="0" xfId="0"/>
    <xf numFmtId="0" fontId="1" fillId="2" borderId="1" xfId="0" applyFont="1" applyFill="1" applyBorder="1"/>
    <xf numFmtId="0" fontId="1" fillId="3" borderId="1" xfId="0" applyFont="1" applyFill="1" applyBorder="1"/>
    <xf numFmtId="0" fontId="4" fillId="3" borderId="1" xfId="0" applyFont="1" applyFill="1" applyBorder="1" applyAlignment="1">
      <alignment horizontal="center" vertical="center"/>
    </xf>
    <xf numFmtId="0" fontId="4" fillId="0" borderId="0" xfId="0" applyFont="1" applyAlignment="1">
      <alignment horizontal="center"/>
    </xf>
    <xf numFmtId="0" fontId="7" fillId="3" borderId="1" xfId="0" applyFont="1" applyFill="1" applyBorder="1" applyAlignment="1">
      <alignment horizontal="center" vertical="top" wrapText="1"/>
    </xf>
    <xf numFmtId="0" fontId="8" fillId="0" borderId="0" xfId="0" applyFont="1" applyAlignment="1">
      <alignment vertical="center"/>
    </xf>
    <xf numFmtId="0" fontId="10" fillId="3" borderId="1" xfId="0" applyFont="1" applyFill="1" applyBorder="1" applyAlignment="1">
      <alignment horizontal="left" vertical="center" wrapText="1"/>
    </xf>
    <xf numFmtId="0" fontId="11" fillId="0" borderId="0" xfId="0" applyFont="1" applyAlignment="1">
      <alignment horizontal="center" vertical="center" wrapText="1"/>
    </xf>
    <xf numFmtId="0" fontId="9" fillId="3" borderId="1" xfId="0" applyFont="1" applyFill="1" applyBorder="1" applyAlignment="1">
      <alignment horizontal="left" vertical="center" wrapText="1"/>
    </xf>
    <xf numFmtId="0" fontId="12" fillId="5" borderId="12" xfId="0" applyFont="1" applyFill="1" applyBorder="1" applyAlignment="1">
      <alignment horizontal="center" vertical="center" wrapText="1"/>
    </xf>
    <xf numFmtId="0" fontId="13" fillId="3" borderId="1" xfId="0" applyFont="1" applyFill="1" applyBorder="1" applyAlignment="1">
      <alignment horizontal="center" vertical="center" wrapText="1"/>
    </xf>
    <xf numFmtId="0" fontId="13" fillId="6" borderId="13" xfId="0" applyFont="1" applyFill="1" applyBorder="1" applyAlignment="1">
      <alignment horizontal="center" vertical="center" wrapText="1"/>
    </xf>
    <xf numFmtId="0" fontId="14" fillId="3" borderId="1" xfId="0" applyFont="1" applyFill="1" applyBorder="1" applyAlignment="1">
      <alignment horizontal="center" vertical="center" wrapText="1"/>
    </xf>
    <xf numFmtId="0" fontId="15" fillId="7" borderId="1" xfId="0" applyFont="1" applyFill="1" applyBorder="1" applyAlignment="1">
      <alignment horizontal="center" vertical="center" wrapText="1"/>
    </xf>
    <xf numFmtId="0" fontId="15" fillId="2" borderId="1" xfId="0" applyFont="1" applyFill="1" applyBorder="1" applyAlignment="1">
      <alignment horizontal="center" vertical="center" wrapText="1"/>
    </xf>
    <xf numFmtId="0" fontId="9" fillId="2" borderId="1" xfId="0" applyFont="1" applyFill="1" applyBorder="1" applyAlignment="1">
      <alignment horizontal="left" vertical="center" wrapText="1"/>
    </xf>
    <xf numFmtId="0" fontId="7" fillId="2" borderId="1" xfId="0" applyFont="1" applyFill="1" applyBorder="1" applyAlignment="1">
      <alignment horizontal="center" vertical="top" wrapText="1"/>
    </xf>
    <xf numFmtId="0" fontId="15" fillId="8" borderId="14" xfId="0" applyFont="1" applyFill="1" applyBorder="1" applyAlignment="1">
      <alignment horizontal="center" vertical="center" wrapText="1"/>
    </xf>
    <xf numFmtId="0" fontId="15" fillId="0" borderId="0" xfId="0" applyFont="1" applyAlignment="1">
      <alignment horizontal="center" vertical="center" wrapText="1"/>
    </xf>
    <xf numFmtId="0" fontId="10" fillId="3" borderId="1" xfId="0" applyFont="1" applyFill="1" applyBorder="1" applyAlignment="1">
      <alignment horizontal="left" wrapText="1"/>
    </xf>
    <xf numFmtId="0" fontId="16" fillId="0" borderId="0" xfId="0" applyFont="1" applyAlignment="1">
      <alignment vertical="center" wrapText="1"/>
    </xf>
    <xf numFmtId="0" fontId="17" fillId="9" borderId="15" xfId="0" applyFont="1" applyFill="1" applyBorder="1" applyAlignment="1">
      <alignment horizontal="center" vertical="center" wrapText="1"/>
    </xf>
    <xf numFmtId="0" fontId="18" fillId="3" borderId="1" xfId="0" applyFont="1" applyFill="1" applyBorder="1" applyAlignment="1">
      <alignment horizontal="center" vertical="center" wrapText="1"/>
    </xf>
    <xf numFmtId="0" fontId="18" fillId="10" borderId="1" xfId="0" applyFont="1" applyFill="1" applyBorder="1" applyAlignment="1">
      <alignment horizontal="center" vertical="center" wrapText="1"/>
    </xf>
    <xf numFmtId="0" fontId="9" fillId="0" borderId="0" xfId="0" applyFont="1" applyAlignment="1">
      <alignment vertical="center" wrapText="1"/>
    </xf>
    <xf numFmtId="0" fontId="1" fillId="10" borderId="1" xfId="0" applyFont="1" applyFill="1" applyBorder="1" applyAlignment="1">
      <alignment horizontal="center"/>
    </xf>
    <xf numFmtId="0" fontId="19" fillId="3" borderId="1" xfId="0" applyFont="1" applyFill="1" applyBorder="1" applyAlignment="1">
      <alignment horizontal="center" vertical="center" wrapText="1"/>
    </xf>
    <xf numFmtId="0" fontId="20" fillId="11" borderId="17" xfId="0" applyFont="1" applyFill="1" applyBorder="1" applyAlignment="1">
      <alignment horizontal="center" vertical="center" wrapText="1"/>
    </xf>
    <xf numFmtId="0" fontId="21" fillId="3" borderId="1" xfId="0" applyFont="1" applyFill="1" applyBorder="1" applyAlignment="1">
      <alignment horizontal="center" vertical="center" wrapText="1"/>
    </xf>
    <xf numFmtId="0" fontId="21" fillId="10" borderId="1" xfId="0" applyFont="1" applyFill="1" applyBorder="1" applyAlignment="1">
      <alignment horizontal="center" vertical="center" wrapText="1"/>
    </xf>
    <xf numFmtId="0" fontId="22" fillId="3" borderId="1" xfId="0" applyFont="1" applyFill="1" applyBorder="1" applyAlignment="1">
      <alignment horizontal="center" vertical="top" wrapText="1"/>
    </xf>
    <xf numFmtId="0" fontId="23" fillId="12" borderId="1" xfId="0" applyFont="1" applyFill="1" applyBorder="1" applyAlignment="1">
      <alignment horizontal="center" vertical="center"/>
    </xf>
    <xf numFmtId="0" fontId="22" fillId="10" borderId="18" xfId="0" applyFont="1" applyFill="1" applyBorder="1" applyAlignment="1">
      <alignment horizontal="center" wrapText="1"/>
    </xf>
    <xf numFmtId="0" fontId="24" fillId="2" borderId="1" xfId="0" applyFont="1" applyFill="1" applyBorder="1" applyAlignment="1">
      <alignment horizontal="center"/>
    </xf>
    <xf numFmtId="0" fontId="10" fillId="0" borderId="0" xfId="0" applyFont="1" applyAlignment="1">
      <alignment vertical="center" wrapText="1"/>
    </xf>
    <xf numFmtId="0" fontId="26" fillId="13" borderId="1" xfId="0" applyFont="1" applyFill="1" applyBorder="1" applyAlignment="1">
      <alignment horizontal="center" vertical="center" wrapText="1"/>
    </xf>
    <xf numFmtId="0" fontId="27" fillId="13" borderId="1" xfId="0" applyFont="1" applyFill="1" applyBorder="1" applyAlignment="1">
      <alignment horizontal="center" vertical="center" wrapText="1"/>
    </xf>
    <xf numFmtId="0" fontId="28" fillId="13" borderId="1" xfId="0" applyFont="1" applyFill="1" applyBorder="1" applyAlignment="1">
      <alignment horizontal="center" vertical="center" wrapText="1"/>
    </xf>
    <xf numFmtId="0" fontId="1" fillId="13" borderId="1" xfId="0" applyFont="1" applyFill="1" applyBorder="1" applyAlignment="1">
      <alignment horizontal="center" vertical="center" wrapText="1"/>
    </xf>
    <xf numFmtId="0" fontId="29" fillId="13" borderId="1" xfId="0" applyFont="1" applyFill="1" applyBorder="1" applyAlignment="1">
      <alignment horizontal="center" vertical="center" wrapText="1"/>
    </xf>
    <xf numFmtId="0" fontId="30" fillId="13" borderId="1" xfId="0" applyFont="1" applyFill="1" applyBorder="1" applyAlignment="1">
      <alignment horizontal="center" vertical="center" wrapText="1"/>
    </xf>
    <xf numFmtId="0" fontId="31" fillId="12" borderId="1" xfId="0" applyFont="1" applyFill="1" applyBorder="1" applyAlignment="1">
      <alignment horizontal="center" vertical="center" wrapText="1"/>
    </xf>
    <xf numFmtId="0" fontId="26" fillId="3" borderId="1" xfId="0" applyFont="1" applyFill="1" applyBorder="1" applyAlignment="1">
      <alignment horizontal="center" vertical="center" wrapText="1"/>
    </xf>
    <xf numFmtId="0" fontId="1" fillId="14" borderId="1" xfId="0" applyFont="1" applyFill="1" applyBorder="1" applyAlignment="1">
      <alignment horizontal="center" wrapText="1"/>
    </xf>
    <xf numFmtId="0" fontId="32" fillId="3" borderId="0" xfId="0" applyFont="1" applyFill="1"/>
    <xf numFmtId="0" fontId="1" fillId="0" borderId="0" xfId="0" applyFont="1" applyAlignment="1">
      <alignment wrapText="1"/>
    </xf>
    <xf numFmtId="0" fontId="1" fillId="0" borderId="0" xfId="0" applyFont="1" applyAlignment="1">
      <alignment horizontal="center" vertical="center" wrapText="1"/>
    </xf>
    <xf numFmtId="0" fontId="1" fillId="0" borderId="0" xfId="0" applyFont="1" applyAlignment="1">
      <alignment vertical="center" wrapText="1"/>
    </xf>
    <xf numFmtId="164" fontId="1" fillId="0" borderId="0" xfId="0" applyNumberFormat="1" applyFont="1" applyAlignment="1">
      <alignment vertical="center" wrapText="1"/>
    </xf>
    <xf numFmtId="0" fontId="1" fillId="0" borderId="0" xfId="0" applyFont="1"/>
    <xf numFmtId="0" fontId="33" fillId="0" borderId="0" xfId="0" applyFont="1"/>
    <xf numFmtId="165" fontId="1" fillId="0" borderId="0" xfId="0" applyNumberFormat="1" applyFont="1" applyAlignment="1">
      <alignment horizontal="right"/>
    </xf>
    <xf numFmtId="0" fontId="34" fillId="0" borderId="0" xfId="0" applyFont="1" applyAlignment="1">
      <alignment wrapText="1"/>
    </xf>
    <xf numFmtId="0" fontId="1" fillId="3" borderId="1" xfId="0" applyFont="1" applyFill="1" applyBorder="1" applyAlignment="1">
      <alignment wrapText="1"/>
    </xf>
    <xf numFmtId="0" fontId="35" fillId="0" borderId="0" xfId="0" applyFont="1"/>
    <xf numFmtId="0" fontId="36" fillId="0" borderId="0" xfId="0" applyFont="1" applyAlignment="1">
      <alignment wrapText="1"/>
    </xf>
    <xf numFmtId="0" fontId="37" fillId="0" borderId="0" xfId="0" applyFont="1" applyAlignment="1">
      <alignment wrapText="1"/>
    </xf>
    <xf numFmtId="164" fontId="1" fillId="0" borderId="0" xfId="0" applyNumberFormat="1" applyFont="1" applyAlignment="1">
      <alignment horizontal="right" vertical="center" wrapText="1"/>
    </xf>
    <xf numFmtId="0" fontId="38" fillId="0" borderId="0" xfId="0" applyFont="1"/>
    <xf numFmtId="0" fontId="1" fillId="0" borderId="0" xfId="0" applyFont="1" applyAlignment="1">
      <alignment vertical="center"/>
    </xf>
    <xf numFmtId="166" fontId="1" fillId="0" borderId="0" xfId="0" applyNumberFormat="1" applyFont="1" applyAlignment="1">
      <alignment horizontal="right"/>
    </xf>
    <xf numFmtId="0" fontId="1" fillId="3" borderId="1" xfId="0" applyFont="1" applyFill="1" applyBorder="1" applyAlignment="1">
      <alignment horizontal="center" vertical="center"/>
    </xf>
    <xf numFmtId="0" fontId="39" fillId="0" borderId="0" xfId="0" applyFont="1" applyAlignment="1">
      <alignment vertical="center" wrapText="1"/>
    </xf>
    <xf numFmtId="167" fontId="1" fillId="0" borderId="0" xfId="0" applyNumberFormat="1" applyFont="1" applyAlignment="1">
      <alignment horizontal="center" vertical="center" wrapText="1"/>
    </xf>
    <xf numFmtId="0" fontId="40" fillId="3" borderId="1" xfId="0" applyFont="1" applyFill="1" applyBorder="1" applyAlignment="1">
      <alignment horizontal="left"/>
    </xf>
    <xf numFmtId="0" fontId="28" fillId="3" borderId="1" xfId="0" applyFont="1" applyFill="1" applyBorder="1"/>
    <xf numFmtId="0" fontId="28" fillId="3" borderId="1" xfId="0" applyFont="1" applyFill="1" applyBorder="1" applyAlignment="1">
      <alignment horizontal="left" wrapText="1"/>
    </xf>
    <xf numFmtId="0" fontId="28" fillId="3" borderId="1" xfId="0" applyFont="1" applyFill="1" applyBorder="1" applyAlignment="1">
      <alignment horizontal="center" vertical="center" wrapText="1"/>
    </xf>
    <xf numFmtId="168" fontId="1" fillId="0" borderId="0" xfId="0" applyNumberFormat="1" applyFont="1" applyAlignment="1">
      <alignment wrapText="1"/>
    </xf>
    <xf numFmtId="167" fontId="1" fillId="0" borderId="0" xfId="0" applyNumberFormat="1" applyFont="1" applyAlignment="1">
      <alignment wrapText="1"/>
    </xf>
    <xf numFmtId="0" fontId="1" fillId="0" borderId="0" xfId="0" applyFont="1" applyAlignment="1">
      <alignment horizontal="center" vertical="center"/>
    </xf>
    <xf numFmtId="0" fontId="1" fillId="15" borderId="1" xfId="0" applyFont="1" applyFill="1" applyBorder="1" applyAlignment="1">
      <alignment horizontal="center" vertical="center" wrapText="1"/>
    </xf>
    <xf numFmtId="0" fontId="26" fillId="16" borderId="1" xfId="0" applyFont="1" applyFill="1" applyBorder="1" applyAlignment="1">
      <alignment horizontal="center" vertical="center" wrapText="1"/>
    </xf>
    <xf numFmtId="0" fontId="1" fillId="15" borderId="19" xfId="0" applyFont="1" applyFill="1" applyBorder="1" applyAlignment="1">
      <alignment horizontal="center" vertical="center" wrapText="1"/>
    </xf>
    <xf numFmtId="0" fontId="28" fillId="15" borderId="1" xfId="0" applyFont="1" applyFill="1" applyBorder="1" applyAlignment="1">
      <alignment horizontal="center" vertical="center" wrapText="1"/>
    </xf>
    <xf numFmtId="0" fontId="1" fillId="15" borderId="1" xfId="0" applyFont="1" applyFill="1" applyBorder="1" applyAlignment="1">
      <alignment horizontal="left" vertical="center" wrapText="1"/>
    </xf>
    <xf numFmtId="0" fontId="29" fillId="15" borderId="1" xfId="0" applyFont="1" applyFill="1" applyBorder="1" applyAlignment="1">
      <alignment horizontal="center" vertical="center" wrapText="1"/>
    </xf>
    <xf numFmtId="0" fontId="1" fillId="6" borderId="1" xfId="0" applyFont="1" applyFill="1" applyBorder="1" applyAlignment="1">
      <alignment horizontal="left" vertical="center" wrapText="1"/>
    </xf>
    <xf numFmtId="167" fontId="1" fillId="6" borderId="1" xfId="0" applyNumberFormat="1" applyFont="1" applyFill="1" applyBorder="1" applyAlignment="1">
      <alignment horizontal="left" vertical="center" wrapText="1"/>
    </xf>
    <xf numFmtId="0" fontId="1" fillId="14" borderId="0" xfId="0" applyFont="1" applyFill="1" applyAlignment="1">
      <alignment horizontal="center" wrapText="1"/>
    </xf>
    <xf numFmtId="0" fontId="1" fillId="7" borderId="0" xfId="0" applyFont="1" applyFill="1" applyAlignment="1">
      <alignment horizontal="center" wrapText="1"/>
    </xf>
    <xf numFmtId="0" fontId="29" fillId="2" borderId="0" xfId="0" applyFont="1" applyFill="1" applyAlignment="1">
      <alignment horizontal="left"/>
    </xf>
    <xf numFmtId="0" fontId="1" fillId="0" borderId="0" xfId="0" applyFont="1" applyAlignment="1">
      <alignment horizontal="left" vertical="center"/>
    </xf>
    <xf numFmtId="0" fontId="38" fillId="0" borderId="0" xfId="0" applyFont="1" applyAlignment="1">
      <alignment horizontal="left"/>
    </xf>
    <xf numFmtId="0" fontId="28" fillId="0" borderId="0" xfId="0" applyFont="1" applyAlignment="1">
      <alignment wrapText="1"/>
    </xf>
    <xf numFmtId="165" fontId="1" fillId="0" borderId="0" xfId="0" applyNumberFormat="1" applyFont="1" applyAlignment="1">
      <alignment horizontal="left" vertical="center" wrapText="1"/>
    </xf>
    <xf numFmtId="0" fontId="41" fillId="0" borderId="0" xfId="0" applyFont="1"/>
    <xf numFmtId="0" fontId="42" fillId="0" borderId="0" xfId="0" applyFont="1"/>
    <xf numFmtId="0" fontId="42" fillId="0" borderId="0" xfId="0" applyFont="1" applyAlignment="1">
      <alignment horizontal="left"/>
    </xf>
    <xf numFmtId="0" fontId="29" fillId="0" borderId="0" xfId="0" applyFont="1" applyAlignment="1">
      <alignment vertical="center" wrapText="1"/>
    </xf>
    <xf numFmtId="0" fontId="43" fillId="3" borderId="0" xfId="0" applyFont="1" applyFill="1" applyAlignment="1">
      <alignment horizontal="left"/>
    </xf>
    <xf numFmtId="0" fontId="1" fillId="0" borderId="0" xfId="0" applyFont="1" applyAlignment="1">
      <alignment horizontal="left" vertical="center" wrapText="1"/>
    </xf>
    <xf numFmtId="0" fontId="1" fillId="0" borderId="0" xfId="0" applyFont="1" applyAlignment="1">
      <alignment horizontal="left" wrapText="1"/>
    </xf>
    <xf numFmtId="0" fontId="28" fillId="0" borderId="0" xfId="0" applyFont="1" applyAlignment="1">
      <alignment horizontal="left" wrapText="1"/>
    </xf>
    <xf numFmtId="0" fontId="43" fillId="14" borderId="0" xfId="0" applyFont="1" applyFill="1" applyAlignment="1">
      <alignment horizontal="center"/>
    </xf>
    <xf numFmtId="0" fontId="28" fillId="0" borderId="0" xfId="0" applyFont="1"/>
    <xf numFmtId="0" fontId="1" fillId="0" borderId="0" xfId="0" applyFont="1" applyAlignment="1">
      <alignment horizontal="left"/>
    </xf>
    <xf numFmtId="0" fontId="43" fillId="0" borderId="0" xfId="0" applyFont="1" applyAlignment="1">
      <alignment horizontal="left"/>
    </xf>
    <xf numFmtId="0" fontId="43" fillId="0" borderId="0" xfId="0" applyFont="1"/>
    <xf numFmtId="0" fontId="41" fillId="0" borderId="0" xfId="0" applyFont="1" applyAlignment="1">
      <alignment wrapText="1"/>
    </xf>
    <xf numFmtId="0" fontId="43" fillId="3" borderId="0" xfId="0" applyFont="1" applyFill="1"/>
    <xf numFmtId="0" fontId="28" fillId="0" borderId="0" xfId="0" applyFont="1" applyAlignment="1">
      <alignment horizontal="left"/>
    </xf>
    <xf numFmtId="0" fontId="43" fillId="14" borderId="1" xfId="0" applyFont="1" applyFill="1" applyBorder="1" applyAlignment="1">
      <alignment horizontal="center"/>
    </xf>
    <xf numFmtId="0" fontId="29" fillId="2" borderId="0" xfId="0" applyFont="1" applyFill="1" applyAlignment="1">
      <alignment vertical="center" wrapText="1"/>
    </xf>
    <xf numFmtId="0" fontId="44" fillId="0" borderId="0" xfId="0" applyFont="1" applyAlignment="1">
      <alignment wrapText="1"/>
    </xf>
    <xf numFmtId="0" fontId="1" fillId="2" borderId="0" xfId="0" applyFont="1" applyFill="1" applyAlignment="1">
      <alignment vertical="center" wrapText="1"/>
    </xf>
    <xf numFmtId="0" fontId="29" fillId="2" borderId="0" xfId="0" applyFont="1" applyFill="1" applyAlignment="1">
      <alignment wrapText="1"/>
    </xf>
    <xf numFmtId="0" fontId="45" fillId="0" borderId="0" xfId="0" applyFont="1" applyAlignment="1">
      <alignment wrapText="1"/>
    </xf>
    <xf numFmtId="0" fontId="46" fillId="2" borderId="0" xfId="0" applyFont="1" applyFill="1" applyAlignment="1">
      <alignment wrapText="1"/>
    </xf>
    <xf numFmtId="0" fontId="45" fillId="0" borderId="0" xfId="0" applyFont="1"/>
    <xf numFmtId="0" fontId="47" fillId="3" borderId="0" xfId="0" applyFont="1" applyFill="1" applyAlignment="1">
      <alignment horizontal="left"/>
    </xf>
    <xf numFmtId="0" fontId="46" fillId="2" borderId="0" xfId="0" applyFont="1" applyFill="1"/>
    <xf numFmtId="0" fontId="45" fillId="3" borderId="0" xfId="0" applyFont="1" applyFill="1"/>
    <xf numFmtId="0" fontId="45" fillId="3" borderId="0" xfId="0" applyFont="1" applyFill="1" applyAlignment="1">
      <alignment wrapText="1"/>
    </xf>
    <xf numFmtId="169" fontId="1" fillId="0" borderId="0" xfId="0" applyNumberFormat="1" applyFont="1" applyAlignment="1">
      <alignment horizontal="left" vertical="center"/>
    </xf>
    <xf numFmtId="0" fontId="38" fillId="3" borderId="0" xfId="0" applyFont="1" applyFill="1" applyAlignment="1">
      <alignment horizontal="left"/>
    </xf>
    <xf numFmtId="0" fontId="38" fillId="3" borderId="0" xfId="0" applyFont="1" applyFill="1"/>
    <xf numFmtId="0" fontId="43" fillId="18" borderId="0" xfId="0" applyFont="1" applyFill="1" applyAlignment="1">
      <alignment horizontal="center"/>
    </xf>
    <xf numFmtId="0" fontId="38" fillId="19" borderId="0" xfId="0" applyFont="1" applyFill="1"/>
    <xf numFmtId="0" fontId="45" fillId="2" borderId="0" xfId="0" applyFont="1" applyFill="1"/>
    <xf numFmtId="0" fontId="1" fillId="3" borderId="0" xfId="0" applyFont="1" applyFill="1" applyAlignment="1">
      <alignment vertical="center" wrapText="1"/>
    </xf>
    <xf numFmtId="0" fontId="46" fillId="3" borderId="0" xfId="0" applyFont="1" applyFill="1" applyAlignment="1">
      <alignment wrapText="1"/>
    </xf>
    <xf numFmtId="0" fontId="1" fillId="3" borderId="0" xfId="0" applyFont="1" applyFill="1" applyAlignment="1">
      <alignment horizontal="left" vertical="center" wrapText="1"/>
    </xf>
    <xf numFmtId="165" fontId="1" fillId="3" borderId="0" xfId="0" applyNumberFormat="1" applyFont="1" applyFill="1" applyAlignment="1">
      <alignment horizontal="left" vertical="center" wrapText="1"/>
    </xf>
    <xf numFmtId="0" fontId="42" fillId="3" borderId="0" xfId="0" applyFont="1" applyFill="1" applyAlignment="1">
      <alignment horizontal="left"/>
    </xf>
    <xf numFmtId="0" fontId="42" fillId="3" borderId="0" xfId="0" applyFont="1" applyFill="1"/>
    <xf numFmtId="0" fontId="29" fillId="3" borderId="0" xfId="0" applyFont="1" applyFill="1" applyAlignment="1">
      <alignment horizontal="left"/>
    </xf>
    <xf numFmtId="0" fontId="1" fillId="20" borderId="0" xfId="0" applyFont="1" applyFill="1" applyAlignment="1">
      <alignment horizontal="center" wrapText="1"/>
    </xf>
    <xf numFmtId="167" fontId="1" fillId="6" borderId="0" xfId="0" applyNumberFormat="1" applyFont="1" applyFill="1" applyAlignment="1">
      <alignment horizontal="left" vertical="center" wrapText="1"/>
    </xf>
    <xf numFmtId="0" fontId="42" fillId="21" borderId="0" xfId="0" applyFont="1" applyFill="1" applyAlignment="1">
      <alignment horizontal="left"/>
    </xf>
    <xf numFmtId="0" fontId="42" fillId="21" borderId="0" xfId="0" applyFont="1" applyFill="1"/>
    <xf numFmtId="0" fontId="38" fillId="14" borderId="0" xfId="0" applyFont="1" applyFill="1" applyAlignment="1">
      <alignment horizontal="center"/>
    </xf>
    <xf numFmtId="0" fontId="43" fillId="2" borderId="0" xfId="0" applyFont="1" applyFill="1" applyAlignment="1">
      <alignment horizontal="left"/>
    </xf>
    <xf numFmtId="167" fontId="43" fillId="6" borderId="1" xfId="0" applyNumberFormat="1" applyFont="1" applyFill="1" applyBorder="1" applyAlignment="1">
      <alignment horizontal="left"/>
    </xf>
    <xf numFmtId="166" fontId="43" fillId="17" borderId="0" xfId="0" applyNumberFormat="1" applyFont="1" applyFill="1" applyAlignment="1">
      <alignment horizontal="left"/>
    </xf>
    <xf numFmtId="0" fontId="38" fillId="14" borderId="1" xfId="0" applyFont="1" applyFill="1" applyBorder="1" applyAlignment="1">
      <alignment horizontal="center"/>
    </xf>
    <xf numFmtId="0" fontId="38" fillId="0" borderId="0" xfId="0" applyFont="1" applyAlignment="1">
      <alignment horizontal="left" wrapText="1"/>
    </xf>
    <xf numFmtId="165" fontId="38" fillId="0" borderId="0" xfId="0" applyNumberFormat="1" applyFont="1" applyAlignment="1">
      <alignment horizontal="left" wrapText="1"/>
    </xf>
    <xf numFmtId="0" fontId="41" fillId="2" borderId="0" xfId="0" applyFont="1" applyFill="1"/>
    <xf numFmtId="0" fontId="1" fillId="3" borderId="0" xfId="0" applyFont="1" applyFill="1" applyAlignment="1">
      <alignment horizontal="left"/>
    </xf>
    <xf numFmtId="0" fontId="1" fillId="3" borderId="0" xfId="0" applyFont="1" applyFill="1" applyAlignment="1">
      <alignment horizontal="left" vertical="center"/>
    </xf>
    <xf numFmtId="167" fontId="42" fillId="6" borderId="1" xfId="0" applyNumberFormat="1" applyFont="1" applyFill="1" applyBorder="1" applyAlignment="1">
      <alignment horizontal="left"/>
    </xf>
    <xf numFmtId="0" fontId="42" fillId="14" borderId="1" xfId="0" applyFont="1" applyFill="1" applyBorder="1" applyAlignment="1">
      <alignment horizontal="center"/>
    </xf>
    <xf numFmtId="0" fontId="42" fillId="14" borderId="0" xfId="0" applyFont="1" applyFill="1" applyAlignment="1">
      <alignment horizontal="center"/>
    </xf>
    <xf numFmtId="0" fontId="44" fillId="0" borderId="0" xfId="0" applyFont="1" applyAlignment="1">
      <alignment vertical="center"/>
    </xf>
    <xf numFmtId="0" fontId="26" fillId="16" borderId="19" xfId="0" applyFont="1" applyFill="1" applyBorder="1" applyAlignment="1">
      <alignment horizontal="center" vertical="center" wrapText="1"/>
    </xf>
    <xf numFmtId="0" fontId="48" fillId="10" borderId="19" xfId="0" applyFont="1" applyFill="1" applyBorder="1" applyAlignment="1">
      <alignment horizontal="center" vertical="center" wrapText="1"/>
    </xf>
    <xf numFmtId="0" fontId="26" fillId="15" borderId="19" xfId="0" applyFont="1" applyFill="1" applyBorder="1" applyAlignment="1">
      <alignment horizontal="center" vertical="center" wrapText="1"/>
    </xf>
    <xf numFmtId="0" fontId="49" fillId="16" borderId="1" xfId="0" applyFont="1" applyFill="1" applyBorder="1" applyAlignment="1">
      <alignment horizontal="center" vertical="center" wrapText="1"/>
    </xf>
    <xf numFmtId="0" fontId="46" fillId="0" borderId="0" xfId="0" applyFont="1"/>
    <xf numFmtId="0" fontId="50" fillId="2" borderId="0" xfId="0" applyFont="1" applyFill="1" applyAlignment="1">
      <alignment horizontal="left"/>
    </xf>
    <xf numFmtId="0" fontId="51" fillId="0" borderId="0" xfId="0" applyFont="1" applyAlignment="1">
      <alignment horizontal="left"/>
    </xf>
    <xf numFmtId="165" fontId="1" fillId="0" borderId="0" xfId="0" applyNumberFormat="1" applyFont="1" applyAlignment="1">
      <alignment horizontal="center" vertical="center" wrapText="1"/>
    </xf>
    <xf numFmtId="0" fontId="29" fillId="0" borderId="0" xfId="0" applyFont="1"/>
    <xf numFmtId="0" fontId="28" fillId="3" borderId="0" xfId="0" applyFont="1" applyFill="1" applyAlignment="1">
      <alignment horizontal="left"/>
    </xf>
    <xf numFmtId="0" fontId="51" fillId="0" borderId="0" xfId="0" applyFont="1" applyAlignment="1">
      <alignment horizontal="left" wrapText="1"/>
    </xf>
    <xf numFmtId="0" fontId="51" fillId="0" borderId="0" xfId="0" applyFont="1"/>
    <xf numFmtId="0" fontId="28" fillId="3" borderId="0" xfId="0" applyFont="1" applyFill="1"/>
    <xf numFmtId="0" fontId="46" fillId="3" borderId="0" xfId="0" applyFont="1" applyFill="1"/>
    <xf numFmtId="0" fontId="1" fillId="3" borderId="0" xfId="0" applyFont="1" applyFill="1"/>
    <xf numFmtId="0" fontId="28" fillId="2" borderId="0" xfId="0" applyFont="1" applyFill="1"/>
    <xf numFmtId="0" fontId="1" fillId="2" borderId="0" xfId="0" applyFont="1" applyFill="1"/>
    <xf numFmtId="0" fontId="47" fillId="2" borderId="0" xfId="0" applyFont="1" applyFill="1" applyAlignment="1">
      <alignment horizontal="left"/>
    </xf>
    <xf numFmtId="0" fontId="29" fillId="2" borderId="0" xfId="0" applyFont="1" applyFill="1"/>
    <xf numFmtId="0" fontId="38" fillId="2" borderId="0" xfId="0" applyFont="1" applyFill="1"/>
    <xf numFmtId="0" fontId="28" fillId="2" borderId="0" xfId="0" applyFont="1" applyFill="1" applyAlignment="1">
      <alignment horizontal="left"/>
    </xf>
    <xf numFmtId="0" fontId="52" fillId="3" borderId="0" xfId="0" applyFont="1" applyFill="1" applyAlignment="1">
      <alignment horizontal="left"/>
    </xf>
    <xf numFmtId="0" fontId="46" fillId="2" borderId="0" xfId="0" applyFont="1" applyFill="1" applyAlignment="1">
      <alignment horizontal="left"/>
    </xf>
    <xf numFmtId="0" fontId="53" fillId="0" borderId="0" xfId="0" applyFont="1"/>
    <xf numFmtId="0" fontId="41" fillId="3" borderId="0" xfId="0" applyFont="1" applyFill="1"/>
    <xf numFmtId="0" fontId="54" fillId="0" borderId="0" xfId="0" applyFont="1"/>
    <xf numFmtId="0" fontId="26" fillId="15" borderId="1" xfId="0" applyFont="1" applyFill="1" applyBorder="1" applyAlignment="1">
      <alignment horizontal="center" vertical="center" wrapText="1"/>
    </xf>
    <xf numFmtId="0" fontId="1" fillId="22" borderId="1" xfId="0" applyFont="1" applyFill="1" applyBorder="1" applyAlignment="1">
      <alignment horizontal="center" vertical="center" wrapText="1"/>
    </xf>
    <xf numFmtId="0" fontId="29" fillId="22" borderId="1" xfId="0" applyFont="1" applyFill="1" applyBorder="1" applyAlignment="1">
      <alignment horizontal="center" vertical="center" wrapText="1"/>
    </xf>
    <xf numFmtId="0" fontId="38" fillId="0" borderId="0" xfId="0" applyFont="1" applyAlignment="1">
      <alignment horizontal="right"/>
    </xf>
    <xf numFmtId="164" fontId="28" fillId="0" borderId="0" xfId="0" applyNumberFormat="1" applyFont="1" applyAlignment="1">
      <alignment horizontal="right"/>
    </xf>
    <xf numFmtId="0" fontId="28" fillId="0" borderId="0" xfId="0" applyFont="1" applyAlignment="1">
      <alignment horizontal="right" wrapText="1"/>
    </xf>
    <xf numFmtId="0" fontId="43" fillId="0" borderId="0" xfId="0" applyFont="1" applyAlignment="1">
      <alignment horizontal="right"/>
    </xf>
    <xf numFmtId="164" fontId="32" fillId="0" borderId="0" xfId="0" applyNumberFormat="1" applyFont="1" applyAlignment="1">
      <alignment horizontal="right"/>
    </xf>
    <xf numFmtId="0" fontId="38" fillId="3" borderId="0" xfId="0" applyFont="1" applyFill="1" applyAlignment="1">
      <alignment horizontal="right"/>
    </xf>
    <xf numFmtId="0" fontId="1" fillId="3" borderId="0" xfId="0" applyFont="1" applyFill="1" applyAlignment="1">
      <alignment wrapText="1"/>
    </xf>
    <xf numFmtId="0" fontId="1" fillId="6" borderId="1" xfId="0" applyFont="1" applyFill="1" applyBorder="1"/>
    <xf numFmtId="0" fontId="55" fillId="23" borderId="1" xfId="0" applyFont="1" applyFill="1" applyBorder="1" applyAlignment="1">
      <alignment horizontal="center" vertical="center" wrapText="1"/>
    </xf>
    <xf numFmtId="0" fontId="56" fillId="23" borderId="1" xfId="0" applyFont="1" applyFill="1" applyBorder="1" applyAlignment="1">
      <alignment horizontal="center" vertical="center" wrapText="1"/>
    </xf>
    <xf numFmtId="0" fontId="28" fillId="3" borderId="1" xfId="0" applyFont="1" applyFill="1" applyBorder="1" applyAlignment="1">
      <alignment horizontal="left"/>
    </xf>
    <xf numFmtId="0" fontId="1" fillId="6" borderId="1" xfId="0" applyFont="1" applyFill="1" applyBorder="1" applyAlignment="1">
      <alignment horizontal="left" wrapText="1"/>
    </xf>
    <xf numFmtId="0" fontId="57" fillId="4" borderId="1" xfId="0" applyFont="1" applyFill="1" applyBorder="1" applyAlignment="1">
      <alignment horizontal="left"/>
    </xf>
    <xf numFmtId="0" fontId="58" fillId="4" borderId="1" xfId="0" applyFont="1" applyFill="1" applyBorder="1" applyAlignment="1">
      <alignment horizontal="left" wrapText="1"/>
    </xf>
    <xf numFmtId="0" fontId="58" fillId="4" borderId="1" xfId="0" applyFont="1" applyFill="1" applyBorder="1" applyAlignment="1">
      <alignment horizontal="left"/>
    </xf>
    <xf numFmtId="0" fontId="59" fillId="0" borderId="0" xfId="0" applyFont="1" applyAlignment="1">
      <alignment horizontal="left"/>
    </xf>
    <xf numFmtId="0" fontId="31" fillId="13" borderId="1" xfId="0" applyFont="1" applyFill="1" applyBorder="1" applyAlignment="1">
      <alignment horizontal="center" wrapText="1"/>
    </xf>
    <xf numFmtId="0" fontId="31" fillId="13" borderId="1" xfId="0" applyFont="1" applyFill="1" applyBorder="1" applyAlignment="1">
      <alignment horizontal="center"/>
    </xf>
    <xf numFmtId="0" fontId="60" fillId="3" borderId="20" xfId="0" applyFont="1" applyFill="1" applyBorder="1" applyAlignment="1">
      <alignment horizontal="center" vertical="center" wrapText="1"/>
    </xf>
    <xf numFmtId="0" fontId="31" fillId="3" borderId="1" xfId="0" applyFont="1" applyFill="1" applyBorder="1" applyAlignment="1">
      <alignment horizontal="center"/>
    </xf>
    <xf numFmtId="0" fontId="31" fillId="24" borderId="1" xfId="0" applyFont="1" applyFill="1" applyBorder="1" applyAlignment="1">
      <alignment horizontal="center"/>
    </xf>
    <xf numFmtId="0" fontId="31" fillId="15" borderId="21" xfId="0" applyFont="1" applyFill="1" applyBorder="1" applyAlignment="1">
      <alignment horizontal="center" vertical="center"/>
    </xf>
    <xf numFmtId="0" fontId="31" fillId="15" borderId="19" xfId="0" applyFont="1" applyFill="1" applyBorder="1" applyAlignment="1">
      <alignment horizontal="center"/>
    </xf>
    <xf numFmtId="0" fontId="61" fillId="15" borderId="1" xfId="0" applyFont="1" applyFill="1" applyBorder="1" applyAlignment="1">
      <alignment horizontal="center" wrapText="1"/>
    </xf>
    <xf numFmtId="0" fontId="31" fillId="15" borderId="1" xfId="0" applyFont="1" applyFill="1" applyBorder="1" applyAlignment="1">
      <alignment horizontal="center"/>
    </xf>
    <xf numFmtId="0" fontId="55" fillId="0" borderId="0" xfId="0" applyFont="1" applyAlignment="1">
      <alignment horizontal="center" vertical="center" wrapText="1"/>
    </xf>
    <xf numFmtId="0" fontId="26" fillId="22" borderId="1" xfId="0" applyFont="1" applyFill="1" applyBorder="1" applyAlignment="1">
      <alignment horizontal="center" vertical="center" wrapText="1"/>
    </xf>
    <xf numFmtId="0" fontId="62" fillId="0" borderId="20" xfId="0" applyFont="1" applyBorder="1" applyAlignment="1">
      <alignment wrapText="1"/>
    </xf>
    <xf numFmtId="0" fontId="63" fillId="0" borderId="0" xfId="0" applyFont="1" applyAlignment="1">
      <alignment vertical="center"/>
    </xf>
    <xf numFmtId="0" fontId="33" fillId="0" borderId="20" xfId="0" applyFont="1" applyBorder="1" applyAlignment="1">
      <alignment wrapText="1"/>
    </xf>
    <xf numFmtId="0" fontId="51" fillId="0" borderId="20" xfId="0" applyFont="1" applyBorder="1" applyAlignment="1">
      <alignment vertical="center" wrapText="1"/>
    </xf>
    <xf numFmtId="0" fontId="1" fillId="0" borderId="20" xfId="0" applyFont="1" applyBorder="1" applyAlignment="1">
      <alignment horizontal="center" wrapText="1"/>
    </xf>
    <xf numFmtId="0" fontId="38" fillId="0" borderId="20" xfId="0" applyFont="1" applyBorder="1" applyAlignment="1">
      <alignment horizontal="center"/>
    </xf>
    <xf numFmtId="0" fontId="1" fillId="0" borderId="20" xfId="0" applyFont="1" applyBorder="1"/>
    <xf numFmtId="0" fontId="1" fillId="0" borderId="20" xfId="0" applyFont="1" applyBorder="1" applyAlignment="1">
      <alignment wrapText="1"/>
    </xf>
    <xf numFmtId="0" fontId="1" fillId="0" borderId="20" xfId="0" applyFont="1" applyBorder="1" applyAlignment="1">
      <alignment horizontal="center" vertical="center"/>
    </xf>
    <xf numFmtId="0" fontId="1" fillId="0" borderId="20" xfId="0" applyFont="1" applyBorder="1" applyAlignment="1">
      <alignment horizontal="center"/>
    </xf>
    <xf numFmtId="0" fontId="1" fillId="0" borderId="20" xfId="0" applyFont="1" applyBorder="1" applyAlignment="1">
      <alignment horizontal="center" vertical="center" wrapText="1"/>
    </xf>
    <xf numFmtId="0" fontId="28" fillId="3" borderId="1" xfId="0" applyFont="1" applyFill="1" applyBorder="1" applyAlignment="1">
      <alignment horizontal="center" vertical="center"/>
    </xf>
    <xf numFmtId="0" fontId="38" fillId="0" borderId="20" xfId="0" applyFont="1" applyBorder="1"/>
    <xf numFmtId="0" fontId="64" fillId="0" borderId="0" xfId="0" applyFont="1"/>
    <xf numFmtId="0" fontId="28" fillId="0" borderId="0" xfId="0" applyFont="1" applyAlignment="1">
      <alignment horizontal="center" vertical="center"/>
    </xf>
    <xf numFmtId="0" fontId="64" fillId="0" borderId="0" xfId="0" applyFont="1" applyAlignment="1">
      <alignment horizontal="center"/>
    </xf>
    <xf numFmtId="0" fontId="62" fillId="0" borderId="20" xfId="0" applyFont="1" applyBorder="1"/>
    <xf numFmtId="0" fontId="62" fillId="0" borderId="0" xfId="0" applyFont="1"/>
    <xf numFmtId="0" fontId="62" fillId="0" borderId="20" xfId="0" applyFont="1" applyBorder="1" applyAlignment="1">
      <alignment vertical="center" wrapText="1"/>
    </xf>
    <xf numFmtId="0" fontId="62" fillId="0" borderId="20" xfId="0" applyFont="1" applyBorder="1" applyAlignment="1">
      <alignment horizontal="left" wrapText="1"/>
    </xf>
    <xf numFmtId="0" fontId="65" fillId="3" borderId="20" xfId="0" applyFont="1" applyFill="1" applyBorder="1" applyAlignment="1">
      <alignment horizontal="left"/>
    </xf>
    <xf numFmtId="0" fontId="1" fillId="4" borderId="1" xfId="0" applyFont="1" applyFill="1" applyBorder="1"/>
    <xf numFmtId="0" fontId="31" fillId="4" borderId="1" xfId="0" applyFont="1" applyFill="1" applyBorder="1"/>
    <xf numFmtId="0" fontId="31" fillId="3" borderId="1" xfId="0" applyFont="1" applyFill="1" applyBorder="1"/>
    <xf numFmtId="0" fontId="66" fillId="3" borderId="1" xfId="0" applyFont="1" applyFill="1" applyBorder="1" applyAlignment="1">
      <alignment horizontal="center"/>
    </xf>
    <xf numFmtId="0" fontId="67" fillId="3" borderId="1" xfId="0" applyFont="1" applyFill="1" applyBorder="1" applyAlignment="1">
      <alignment horizontal="center"/>
    </xf>
    <xf numFmtId="0" fontId="68" fillId="3" borderId="1" xfId="0" applyFont="1" applyFill="1" applyBorder="1" applyAlignment="1">
      <alignment horizontal="center"/>
    </xf>
    <xf numFmtId="0" fontId="69" fillId="13" borderId="25" xfId="0" applyFont="1" applyFill="1" applyBorder="1" applyAlignment="1">
      <alignment horizontal="center"/>
    </xf>
    <xf numFmtId="0" fontId="69" fillId="13" borderId="1" xfId="0" applyFont="1" applyFill="1" applyBorder="1" applyAlignment="1">
      <alignment horizontal="center"/>
    </xf>
    <xf numFmtId="0" fontId="69" fillId="13" borderId="26" xfId="0" applyFont="1" applyFill="1" applyBorder="1" applyAlignment="1">
      <alignment horizontal="center"/>
    </xf>
    <xf numFmtId="0" fontId="70" fillId="0" borderId="27" xfId="0" applyFont="1" applyBorder="1" applyAlignment="1">
      <alignment horizontal="left" vertical="center" wrapText="1"/>
    </xf>
    <xf numFmtId="0" fontId="1" fillId="0" borderId="28" xfId="0" applyFont="1" applyBorder="1" applyAlignment="1">
      <alignment vertical="center" wrapText="1"/>
    </xf>
    <xf numFmtId="0" fontId="71" fillId="0" borderId="27" xfId="0" applyFont="1" applyBorder="1" applyAlignment="1">
      <alignment horizontal="center" vertical="center" wrapText="1"/>
    </xf>
    <xf numFmtId="0" fontId="1" fillId="10" borderId="1" xfId="0" applyFont="1" applyFill="1" applyBorder="1" applyAlignment="1">
      <alignment vertical="center" wrapText="1"/>
    </xf>
    <xf numFmtId="0" fontId="1" fillId="10" borderId="26" xfId="0" applyFont="1" applyFill="1" applyBorder="1" applyAlignment="1">
      <alignment vertical="center" wrapText="1"/>
    </xf>
    <xf numFmtId="0" fontId="71" fillId="3" borderId="1" xfId="0" applyFont="1" applyFill="1" applyBorder="1" applyAlignment="1">
      <alignment horizontal="center" vertical="center" wrapText="1"/>
    </xf>
    <xf numFmtId="0" fontId="28" fillId="10" borderId="25" xfId="0" applyFont="1" applyFill="1" applyBorder="1" applyAlignment="1">
      <alignment horizontal="left" vertical="center" wrapText="1"/>
    </xf>
    <xf numFmtId="0" fontId="1" fillId="0" borderId="28" xfId="0" applyFont="1" applyBorder="1" applyAlignment="1">
      <alignment horizontal="left" vertical="center" wrapText="1"/>
    </xf>
    <xf numFmtId="0" fontId="1" fillId="10" borderId="26" xfId="0" applyFont="1" applyFill="1" applyBorder="1" applyAlignment="1">
      <alignment horizontal="left" vertical="center" wrapText="1"/>
    </xf>
    <xf numFmtId="0" fontId="1" fillId="3" borderId="1" xfId="0" applyFont="1" applyFill="1" applyBorder="1" applyAlignment="1">
      <alignment vertical="center" wrapText="1"/>
    </xf>
    <xf numFmtId="0" fontId="1" fillId="3" borderId="25" xfId="0" applyFont="1" applyFill="1" applyBorder="1" applyAlignment="1">
      <alignment horizontal="left" vertical="center" wrapText="1"/>
    </xf>
    <xf numFmtId="0" fontId="1" fillId="3" borderId="26" xfId="0" applyFont="1" applyFill="1" applyBorder="1" applyAlignment="1">
      <alignment vertical="center" wrapText="1"/>
    </xf>
    <xf numFmtId="0" fontId="1" fillId="10" borderId="25" xfId="0" applyFont="1" applyFill="1" applyBorder="1" applyAlignment="1">
      <alignment horizontal="left" vertical="center" wrapText="1"/>
    </xf>
    <xf numFmtId="0" fontId="28" fillId="3" borderId="25" xfId="0" applyFont="1" applyFill="1" applyBorder="1" applyAlignment="1">
      <alignment horizontal="left" vertical="center" wrapText="1"/>
    </xf>
    <xf numFmtId="0" fontId="46" fillId="10" borderId="25" xfId="0" applyFont="1" applyFill="1" applyBorder="1" applyAlignment="1">
      <alignment horizontal="left" vertical="center" wrapText="1"/>
    </xf>
    <xf numFmtId="0" fontId="29" fillId="10" borderId="1" xfId="0" applyFont="1" applyFill="1" applyBorder="1" applyAlignment="1">
      <alignment vertical="center" wrapText="1"/>
    </xf>
    <xf numFmtId="0" fontId="29" fillId="3" borderId="25" xfId="0" applyFont="1" applyFill="1" applyBorder="1" applyAlignment="1">
      <alignment horizontal="left" vertical="center" wrapText="1"/>
    </xf>
    <xf numFmtId="0" fontId="29" fillId="3" borderId="1" xfId="0" applyFont="1" applyFill="1" applyBorder="1" applyAlignment="1">
      <alignment vertical="center" wrapText="1"/>
    </xf>
    <xf numFmtId="0" fontId="72" fillId="10" borderId="25" xfId="0" applyFont="1" applyFill="1" applyBorder="1" applyAlignment="1">
      <alignment horizontal="left" vertical="center" wrapText="1"/>
    </xf>
    <xf numFmtId="0" fontId="1" fillId="10" borderId="1" xfId="0" applyFont="1" applyFill="1" applyBorder="1" applyAlignment="1">
      <alignment wrapText="1"/>
    </xf>
    <xf numFmtId="0" fontId="1" fillId="10" borderId="26" xfId="0" applyFont="1" applyFill="1" applyBorder="1"/>
    <xf numFmtId="0" fontId="72" fillId="3" borderId="25" xfId="0" applyFont="1" applyFill="1" applyBorder="1" applyAlignment="1">
      <alignment horizontal="left" vertical="center" wrapText="1"/>
    </xf>
    <xf numFmtId="0" fontId="1" fillId="3" borderId="26" xfId="0" applyFont="1" applyFill="1" applyBorder="1"/>
    <xf numFmtId="0" fontId="29" fillId="10" borderId="25" xfId="0" applyFont="1" applyFill="1" applyBorder="1" applyAlignment="1">
      <alignment horizontal="left" vertical="center" wrapText="1"/>
    </xf>
    <xf numFmtId="0" fontId="1" fillId="3" borderId="26" xfId="0" applyFont="1" applyFill="1" applyBorder="1" applyAlignment="1">
      <alignment vertical="center"/>
    </xf>
    <xf numFmtId="0" fontId="72" fillId="3" borderId="25" xfId="0" applyFont="1" applyFill="1" applyBorder="1" applyAlignment="1">
      <alignment wrapText="1"/>
    </xf>
    <xf numFmtId="0" fontId="29" fillId="3" borderId="1" xfId="0" applyFont="1" applyFill="1" applyBorder="1" applyAlignment="1">
      <alignment wrapText="1"/>
    </xf>
    <xf numFmtId="0" fontId="1" fillId="10" borderId="26" xfId="0" applyFont="1" applyFill="1" applyBorder="1" applyAlignment="1">
      <alignment vertical="center"/>
    </xf>
    <xf numFmtId="0" fontId="72" fillId="10" borderId="25" xfId="0" applyFont="1" applyFill="1" applyBorder="1" applyAlignment="1">
      <alignment wrapText="1"/>
    </xf>
    <xf numFmtId="0" fontId="29" fillId="10" borderId="1" xfId="0" applyFont="1" applyFill="1" applyBorder="1" applyAlignment="1">
      <alignment wrapText="1"/>
    </xf>
    <xf numFmtId="0" fontId="1" fillId="0" borderId="29" xfId="0" applyFont="1" applyBorder="1" applyAlignment="1">
      <alignment wrapText="1"/>
    </xf>
    <xf numFmtId="0" fontId="1" fillId="10" borderId="30" xfId="0" applyFont="1" applyFill="1" applyBorder="1" applyAlignment="1">
      <alignment vertical="center" wrapText="1"/>
    </xf>
    <xf numFmtId="0" fontId="1" fillId="0" borderId="31" xfId="0" applyFont="1" applyBorder="1" applyAlignment="1">
      <alignment vertical="center"/>
    </xf>
    <xf numFmtId="0" fontId="74" fillId="0" borderId="0" xfId="0" applyFont="1" applyAlignment="1">
      <alignment horizontal="center"/>
    </xf>
    <xf numFmtId="0" fontId="69" fillId="15" borderId="35" xfId="0" applyFont="1" applyFill="1" applyBorder="1" applyAlignment="1">
      <alignment horizontal="center"/>
    </xf>
    <xf numFmtId="0" fontId="69" fillId="15" borderId="1" xfId="0" applyFont="1" applyFill="1" applyBorder="1" applyAlignment="1">
      <alignment horizontal="center"/>
    </xf>
    <xf numFmtId="0" fontId="69" fillId="15" borderId="36" xfId="0" applyFont="1" applyFill="1" applyBorder="1" applyAlignment="1">
      <alignment horizontal="center"/>
    </xf>
    <xf numFmtId="0" fontId="24" fillId="0" borderId="0" xfId="0" applyFont="1" applyAlignment="1">
      <alignment horizontal="center"/>
    </xf>
    <xf numFmtId="0" fontId="75" fillId="15" borderId="1" xfId="0" applyFont="1" applyFill="1" applyBorder="1" applyAlignment="1">
      <alignment horizontal="center" vertical="center" wrapText="1"/>
    </xf>
    <xf numFmtId="0" fontId="1" fillId="25" borderId="36" xfId="0" applyFont="1" applyFill="1" applyBorder="1" applyAlignment="1">
      <alignment vertical="center" wrapText="1"/>
    </xf>
    <xf numFmtId="0" fontId="1" fillId="10" borderId="36" xfId="0" applyFont="1" applyFill="1" applyBorder="1" applyAlignment="1">
      <alignment vertical="center" wrapText="1"/>
    </xf>
    <xf numFmtId="0" fontId="26" fillId="0" borderId="0" xfId="0" applyFont="1" applyAlignment="1">
      <alignment horizontal="center" vertical="center" wrapText="1"/>
    </xf>
    <xf numFmtId="0" fontId="1" fillId="0" borderId="37" xfId="0" applyFont="1" applyBorder="1" applyAlignment="1">
      <alignment vertical="center"/>
    </xf>
    <xf numFmtId="0" fontId="71" fillId="0" borderId="0" xfId="0" applyFont="1" applyAlignment="1">
      <alignment horizontal="center" vertical="center" wrapText="1"/>
    </xf>
    <xf numFmtId="0" fontId="1" fillId="10" borderId="1" xfId="0" applyFont="1" applyFill="1" applyBorder="1" applyAlignment="1">
      <alignment horizontal="left" vertical="center" wrapText="1"/>
    </xf>
    <xf numFmtId="0" fontId="1" fillId="3" borderId="36" xfId="0" applyFont="1" applyFill="1" applyBorder="1" applyAlignment="1">
      <alignment vertical="center" wrapText="1"/>
    </xf>
    <xf numFmtId="0" fontId="1" fillId="17" borderId="1" xfId="0" applyFont="1" applyFill="1" applyBorder="1" applyAlignment="1">
      <alignment vertical="center" wrapText="1"/>
    </xf>
    <xf numFmtId="0" fontId="29" fillId="17" borderId="1" xfId="0" applyFont="1" applyFill="1" applyBorder="1" applyAlignment="1">
      <alignment horizontal="left" vertical="center" wrapText="1"/>
    </xf>
    <xf numFmtId="0" fontId="29" fillId="0" borderId="37" xfId="0" applyFont="1" applyBorder="1" applyAlignment="1">
      <alignment vertical="center" wrapText="1"/>
    </xf>
    <xf numFmtId="0" fontId="1" fillId="0" borderId="37" xfId="0" applyFont="1" applyBorder="1" applyAlignment="1">
      <alignment horizontal="left" vertical="center" wrapText="1"/>
    </xf>
    <xf numFmtId="0" fontId="1" fillId="17" borderId="1" xfId="0" applyFont="1" applyFill="1" applyBorder="1" applyAlignment="1">
      <alignment horizontal="center" vertical="center" wrapText="1"/>
    </xf>
    <xf numFmtId="0" fontId="28" fillId="10" borderId="35" xfId="0" applyFont="1" applyFill="1" applyBorder="1" applyAlignment="1">
      <alignment horizontal="left" vertical="center" wrapText="1"/>
    </xf>
    <xf numFmtId="0" fontId="31" fillId="0" borderId="0" xfId="0" applyFont="1" applyAlignment="1">
      <alignment horizontal="center" vertical="center" wrapText="1"/>
    </xf>
    <xf numFmtId="0" fontId="1" fillId="3" borderId="35" xfId="0" applyFont="1" applyFill="1" applyBorder="1" applyAlignment="1">
      <alignment horizontal="left" vertical="center" wrapText="1"/>
    </xf>
    <xf numFmtId="0" fontId="1" fillId="3" borderId="36" xfId="0" applyFont="1" applyFill="1" applyBorder="1" applyAlignment="1">
      <alignment vertical="center"/>
    </xf>
    <xf numFmtId="0" fontId="1" fillId="0" borderId="38" xfId="0" applyFont="1" applyBorder="1" applyAlignment="1">
      <alignment wrapText="1"/>
    </xf>
    <xf numFmtId="0" fontId="1" fillId="0" borderId="39" xfId="0" applyFont="1" applyBorder="1"/>
    <xf numFmtId="0" fontId="1" fillId="0" borderId="40" xfId="0" applyFont="1" applyBorder="1"/>
    <xf numFmtId="0" fontId="77" fillId="16" borderId="44" xfId="0" applyFont="1" applyFill="1" applyBorder="1" applyAlignment="1">
      <alignment horizontal="center"/>
    </xf>
    <xf numFmtId="0" fontId="77" fillId="16" borderId="1" xfId="0" applyFont="1" applyFill="1" applyBorder="1" applyAlignment="1">
      <alignment horizontal="center"/>
    </xf>
    <xf numFmtId="0" fontId="77" fillId="16" borderId="45" xfId="0" applyFont="1" applyFill="1" applyBorder="1" applyAlignment="1">
      <alignment horizontal="center"/>
    </xf>
    <xf numFmtId="0" fontId="78" fillId="16" borderId="44" xfId="0" applyFont="1" applyFill="1" applyBorder="1" applyAlignment="1">
      <alignment horizontal="center" vertical="center" wrapText="1"/>
    </xf>
    <xf numFmtId="0" fontId="1" fillId="0" borderId="46" xfId="0" applyFont="1" applyBorder="1"/>
    <xf numFmtId="0" fontId="26" fillId="16" borderId="44" xfId="0" applyFont="1" applyFill="1" applyBorder="1" applyAlignment="1">
      <alignment horizontal="center" vertical="center" wrapText="1"/>
    </xf>
    <xf numFmtId="0" fontId="79" fillId="0" borderId="0" xfId="0" applyFont="1" applyAlignment="1">
      <alignment wrapText="1"/>
    </xf>
    <xf numFmtId="0" fontId="1" fillId="0" borderId="46" xfId="0" applyFont="1" applyBorder="1" applyAlignment="1">
      <alignment wrapText="1"/>
    </xf>
    <xf numFmtId="0" fontId="49" fillId="16" borderId="44" xfId="0" applyFont="1" applyFill="1" applyBorder="1" applyAlignment="1">
      <alignment horizontal="center" vertical="center" wrapText="1"/>
    </xf>
    <xf numFmtId="0" fontId="1" fillId="26" borderId="1" xfId="0" applyFont="1" applyFill="1" applyBorder="1"/>
    <xf numFmtId="0" fontId="71" fillId="10" borderId="44" xfId="0" applyFont="1" applyFill="1" applyBorder="1" applyAlignment="1">
      <alignment horizontal="left" vertical="center" wrapText="1"/>
    </xf>
    <xf numFmtId="0" fontId="26" fillId="3" borderId="44" xfId="0" applyFont="1" applyFill="1" applyBorder="1" applyAlignment="1">
      <alignment horizontal="left" vertical="center" wrapText="1"/>
    </xf>
    <xf numFmtId="0" fontId="26" fillId="0" borderId="47" xfId="0" applyFont="1" applyBorder="1" applyAlignment="1">
      <alignment wrapText="1"/>
    </xf>
    <xf numFmtId="0" fontId="1" fillId="0" borderId="48" xfId="0" applyFont="1" applyBorder="1"/>
    <xf numFmtId="0" fontId="1" fillId="0" borderId="49" xfId="0" applyFont="1" applyBorder="1"/>
    <xf numFmtId="0" fontId="69" fillId="27" borderId="53" xfId="0" applyFont="1" applyFill="1" applyBorder="1" applyAlignment="1">
      <alignment horizontal="center"/>
    </xf>
    <xf numFmtId="0" fontId="69" fillId="27" borderId="1" xfId="0" applyFont="1" applyFill="1" applyBorder="1" applyAlignment="1">
      <alignment horizontal="center"/>
    </xf>
    <xf numFmtId="0" fontId="69" fillId="27" borderId="54" xfId="0" applyFont="1" applyFill="1" applyBorder="1" applyAlignment="1">
      <alignment horizontal="center"/>
    </xf>
    <xf numFmtId="0" fontId="78" fillId="10" borderId="55" xfId="0" applyFont="1" applyFill="1" applyBorder="1" applyAlignment="1">
      <alignment vertical="center" wrapText="1"/>
    </xf>
    <xf numFmtId="0" fontId="1" fillId="10" borderId="56" xfId="0" applyFont="1" applyFill="1" applyBorder="1" applyAlignment="1">
      <alignment vertical="center" wrapText="1"/>
    </xf>
    <xf numFmtId="0" fontId="1" fillId="10" borderId="57" xfId="0" applyFont="1" applyFill="1" applyBorder="1" applyAlignment="1">
      <alignment vertical="center" wrapText="1"/>
    </xf>
    <xf numFmtId="0" fontId="26" fillId="3" borderId="53" xfId="0" applyFont="1" applyFill="1" applyBorder="1" applyAlignment="1">
      <alignment vertical="center" wrapText="1"/>
    </xf>
    <xf numFmtId="0" fontId="1" fillId="3" borderId="54" xfId="0" applyFont="1" applyFill="1" applyBorder="1" applyAlignment="1">
      <alignment vertical="center" wrapText="1"/>
    </xf>
    <xf numFmtId="0" fontId="26" fillId="10" borderId="53" xfId="0" applyFont="1" applyFill="1" applyBorder="1" applyAlignment="1">
      <alignment vertical="center" wrapText="1"/>
    </xf>
    <xf numFmtId="0" fontId="1" fillId="10" borderId="54" xfId="0" applyFont="1" applyFill="1" applyBorder="1" applyAlignment="1">
      <alignment vertical="center" wrapText="1"/>
    </xf>
    <xf numFmtId="0" fontId="49" fillId="10" borderId="53" xfId="0" applyFont="1" applyFill="1" applyBorder="1" applyAlignment="1">
      <alignment vertical="center" wrapText="1"/>
    </xf>
    <xf numFmtId="0" fontId="49" fillId="3" borderId="53" xfId="0" applyFont="1" applyFill="1" applyBorder="1" applyAlignment="1">
      <alignment vertical="center" wrapText="1"/>
    </xf>
    <xf numFmtId="0" fontId="49" fillId="22" borderId="53" xfId="0" applyFont="1" applyFill="1" applyBorder="1" applyAlignment="1">
      <alignment horizontal="center" vertical="center" wrapText="1"/>
    </xf>
    <xf numFmtId="0" fontId="1" fillId="0" borderId="58" xfId="0" applyFont="1" applyBorder="1"/>
    <xf numFmtId="0" fontId="71" fillId="12" borderId="53" xfId="0" applyFont="1" applyFill="1" applyBorder="1" applyAlignment="1">
      <alignment horizontal="center" vertical="center" wrapText="1"/>
    </xf>
    <xf numFmtId="0" fontId="71" fillId="12" borderId="59" xfId="0" applyFont="1" applyFill="1" applyBorder="1" applyAlignment="1">
      <alignment horizontal="center" vertical="center" wrapText="1"/>
    </xf>
    <xf numFmtId="0" fontId="1" fillId="10" borderId="60" xfId="0" applyFont="1" applyFill="1" applyBorder="1" applyAlignment="1">
      <alignment vertical="center" wrapText="1"/>
    </xf>
    <xf numFmtId="0" fontId="1" fillId="0" borderId="61" xfId="0" applyFont="1" applyBorder="1"/>
    <xf numFmtId="0" fontId="81" fillId="23" borderId="65" xfId="0" applyFont="1" applyFill="1" applyBorder="1" applyAlignment="1">
      <alignment horizontal="center"/>
    </xf>
    <xf numFmtId="0" fontId="81" fillId="23" borderId="66" xfId="0" applyFont="1" applyFill="1" applyBorder="1" applyAlignment="1">
      <alignment horizontal="center"/>
    </xf>
    <xf numFmtId="0" fontId="81" fillId="23" borderId="67" xfId="0" applyFont="1" applyFill="1" applyBorder="1" applyAlignment="1">
      <alignment horizontal="center"/>
    </xf>
    <xf numFmtId="0" fontId="78" fillId="15" borderId="68" xfId="0" applyFont="1" applyFill="1" applyBorder="1" applyAlignment="1">
      <alignment horizontal="center" vertical="center" wrapText="1"/>
    </xf>
    <xf numFmtId="0" fontId="1" fillId="10" borderId="69" xfId="0" applyFont="1" applyFill="1" applyBorder="1" applyAlignment="1">
      <alignment vertical="center" wrapText="1"/>
    </xf>
    <xf numFmtId="0" fontId="71" fillId="23" borderId="68" xfId="0" applyFont="1" applyFill="1" applyBorder="1" applyAlignment="1">
      <alignment horizontal="center" vertical="center" wrapText="1"/>
    </xf>
    <xf numFmtId="0" fontId="82" fillId="23" borderId="68" xfId="0" applyFont="1" applyFill="1" applyBorder="1" applyAlignment="1">
      <alignment horizontal="center" vertical="center" wrapText="1"/>
    </xf>
    <xf numFmtId="0" fontId="71" fillId="12" borderId="68" xfId="0" applyFont="1" applyFill="1" applyBorder="1" applyAlignment="1">
      <alignment horizontal="center" vertical="center" wrapText="1"/>
    </xf>
    <xf numFmtId="0" fontId="71" fillId="12" borderId="65" xfId="0" applyFont="1" applyFill="1" applyBorder="1" applyAlignment="1">
      <alignment horizontal="center" vertical="center" wrapText="1"/>
    </xf>
    <xf numFmtId="0" fontId="1" fillId="0" borderId="70" xfId="0" applyFont="1" applyBorder="1"/>
    <xf numFmtId="0" fontId="1" fillId="10" borderId="67" xfId="0" applyFont="1" applyFill="1" applyBorder="1" applyAlignment="1">
      <alignment vertical="center" wrapText="1"/>
    </xf>
    <xf numFmtId="0" fontId="9" fillId="0" borderId="16" xfId="0" applyFont="1" applyBorder="1" applyAlignment="1">
      <alignment vertical="center" wrapText="1"/>
    </xf>
    <xf numFmtId="0" fontId="3" fillId="0" borderId="5" xfId="0" applyFont="1" applyBorder="1"/>
    <xf numFmtId="0" fontId="3" fillId="0" borderId="6" xfId="0" applyFont="1" applyBorder="1"/>
    <xf numFmtId="0" fontId="10" fillId="3" borderId="10" xfId="0" applyFont="1" applyFill="1" applyBorder="1" applyAlignment="1">
      <alignment horizontal="left" wrapText="1"/>
    </xf>
    <xf numFmtId="0" fontId="3" fillId="0" borderId="11" xfId="0" applyFont="1" applyBorder="1"/>
    <xf numFmtId="0" fontId="25" fillId="0" borderId="5" xfId="0" applyFont="1" applyBorder="1" applyAlignment="1">
      <alignment horizontal="left" wrapText="1"/>
    </xf>
    <xf numFmtId="0" fontId="10" fillId="3" borderId="10" xfId="0" applyFont="1" applyFill="1" applyBorder="1" applyAlignment="1">
      <alignment horizontal="left" vertical="center" wrapText="1"/>
    </xf>
    <xf numFmtId="0" fontId="9" fillId="3" borderId="4" xfId="0" applyFont="1" applyFill="1" applyBorder="1" applyAlignment="1">
      <alignment horizontal="left" vertical="center" wrapText="1"/>
    </xf>
    <xf numFmtId="0" fontId="9" fillId="3" borderId="2" xfId="0" applyFont="1" applyFill="1" applyBorder="1" applyAlignment="1">
      <alignment horizontal="left" vertical="center" wrapText="1"/>
    </xf>
    <xf numFmtId="0" fontId="3" fillId="0" borderId="3" xfId="0" applyFont="1" applyBorder="1"/>
    <xf numFmtId="0" fontId="9" fillId="0" borderId="5" xfId="0" applyFont="1" applyBorder="1" applyAlignment="1">
      <alignment vertical="center" wrapText="1"/>
    </xf>
    <xf numFmtId="0" fontId="6" fillId="3" borderId="2" xfId="0" applyFont="1" applyFill="1" applyBorder="1" applyAlignment="1">
      <alignment horizontal="center" vertical="center" wrapText="1"/>
    </xf>
    <xf numFmtId="0" fontId="9" fillId="3" borderId="7" xfId="0" applyFont="1" applyFill="1" applyBorder="1" applyAlignment="1">
      <alignment horizontal="left" vertical="center" wrapText="1"/>
    </xf>
    <xf numFmtId="0" fontId="3" fillId="0" borderId="8" xfId="0" applyFont="1" applyBorder="1"/>
    <xf numFmtId="0" fontId="3" fillId="0" borderId="9" xfId="0" applyFont="1" applyBorder="1"/>
    <xf numFmtId="0" fontId="2" fillId="4" borderId="2" xfId="0" applyFont="1" applyFill="1" applyBorder="1" applyAlignment="1">
      <alignment horizontal="center" vertical="center" wrapText="1"/>
    </xf>
    <xf numFmtId="0" fontId="5" fillId="4" borderId="2" xfId="0" applyFont="1" applyFill="1" applyBorder="1" applyAlignment="1">
      <alignment horizontal="center"/>
    </xf>
    <xf numFmtId="0" fontId="6" fillId="3" borderId="2" xfId="0" applyFont="1" applyFill="1" applyBorder="1" applyAlignment="1">
      <alignment horizontal="center" vertical="top" wrapText="1"/>
    </xf>
    <xf numFmtId="0" fontId="43" fillId="0" borderId="0" xfId="0" applyFont="1" applyAlignment="1">
      <alignment horizontal="left"/>
    </xf>
    <xf numFmtId="0" fontId="0" fillId="0" borderId="0" xfId="0"/>
    <xf numFmtId="0" fontId="66" fillId="13" borderId="22" xfId="0" applyFont="1" applyFill="1" applyBorder="1" applyAlignment="1">
      <alignment horizontal="center"/>
    </xf>
    <xf numFmtId="0" fontId="3" fillId="0" borderId="23" xfId="0" applyFont="1" applyBorder="1"/>
    <xf numFmtId="0" fontId="3" fillId="0" borderId="24" xfId="0" applyFont="1" applyBorder="1"/>
    <xf numFmtId="0" fontId="73" fillId="15" borderId="32" xfId="0" applyFont="1" applyFill="1" applyBorder="1" applyAlignment="1">
      <alignment horizontal="center"/>
    </xf>
    <xf numFmtId="0" fontId="3" fillId="0" borderId="33" xfId="0" applyFont="1" applyBorder="1"/>
    <xf numFmtId="0" fontId="3" fillId="0" borderId="34" xfId="0" applyFont="1" applyBorder="1"/>
    <xf numFmtId="0" fontId="76" fillId="16" borderId="41" xfId="0" applyFont="1" applyFill="1" applyBorder="1" applyAlignment="1">
      <alignment horizontal="center"/>
    </xf>
    <xf numFmtId="0" fontId="3" fillId="0" borderId="42" xfId="0" applyFont="1" applyBorder="1"/>
    <xf numFmtId="0" fontId="3" fillId="0" borderId="43" xfId="0" applyFont="1" applyBorder="1"/>
    <xf numFmtId="0" fontId="73" fillId="27" borderId="50" xfId="0" applyFont="1" applyFill="1" applyBorder="1" applyAlignment="1">
      <alignment horizontal="center"/>
    </xf>
    <xf numFmtId="0" fontId="3" fillId="0" borderId="51" xfId="0" applyFont="1" applyBorder="1"/>
    <xf numFmtId="0" fontId="3" fillId="0" borderId="52" xfId="0" applyFont="1" applyBorder="1"/>
    <xf numFmtId="0" fontId="80" fillId="23" borderId="62" xfId="0" applyFont="1" applyFill="1" applyBorder="1" applyAlignment="1">
      <alignment horizontal="center"/>
    </xf>
    <xf numFmtId="0" fontId="3" fillId="0" borderId="63" xfId="0" applyFont="1" applyBorder="1"/>
    <xf numFmtId="0" fontId="3" fillId="0" borderId="64" xfId="0" applyFont="1" applyBorder="1"/>
    <xf numFmtId="0" fontId="1" fillId="0" borderId="0" xfId="0" applyFont="1" applyFill="1"/>
    <xf numFmtId="0" fontId="28" fillId="0" borderId="0" xfId="0" applyFont="1" applyFill="1"/>
  </cellXfs>
  <cellStyles count="1">
    <cellStyle name="Normal" xfId="0" builtinId="0"/>
  </cellStyles>
  <dxfs count="22">
    <dxf>
      <fill>
        <patternFill patternType="solid">
          <fgColor rgb="FFB7E1CD"/>
          <bgColor rgb="FFB7E1CD"/>
        </patternFill>
      </fill>
    </dxf>
    <dxf>
      <fill>
        <patternFill patternType="solid">
          <fgColor rgb="FFFF0000"/>
          <bgColor rgb="FFFF0000"/>
        </patternFill>
      </fill>
    </dxf>
    <dxf>
      <fill>
        <patternFill patternType="solid">
          <fgColor rgb="FFFF0000"/>
          <bgColor rgb="FFFF0000"/>
        </patternFill>
      </fill>
    </dxf>
    <dxf>
      <fill>
        <patternFill patternType="none"/>
      </fill>
    </dxf>
    <dxf>
      <fill>
        <patternFill patternType="solid">
          <fgColor rgb="FFF3F3F3"/>
          <bgColor rgb="FFF3F3F3"/>
        </patternFill>
      </fill>
    </dxf>
    <dxf>
      <fill>
        <patternFill patternType="solid">
          <fgColor rgb="FFFFFFFF"/>
          <bgColor rgb="FFFFFFFF"/>
        </patternFill>
      </fill>
    </dxf>
    <dxf>
      <fill>
        <patternFill patternType="solid">
          <fgColor rgb="FFF3F3F3"/>
          <bgColor rgb="FFF3F3F3"/>
        </patternFill>
      </fill>
    </dxf>
    <dxf>
      <fill>
        <patternFill patternType="solid">
          <fgColor rgb="FFF3F3F3"/>
          <bgColor rgb="FFF3F3F3"/>
        </patternFill>
      </fill>
    </dxf>
    <dxf>
      <fill>
        <patternFill patternType="solid">
          <fgColor rgb="FFFFFFFF"/>
          <bgColor rgb="FFFFFFFF"/>
        </patternFill>
      </fill>
    </dxf>
    <dxf>
      <fill>
        <patternFill patternType="solid">
          <fgColor rgb="FFF3F3F3"/>
          <bgColor rgb="FFF3F3F3"/>
        </patternFill>
      </fill>
    </dxf>
    <dxf>
      <fill>
        <patternFill patternType="solid">
          <fgColor rgb="FFF3F3F3"/>
          <bgColor rgb="FFF3F3F3"/>
        </patternFill>
      </fill>
    </dxf>
    <dxf>
      <fill>
        <patternFill patternType="solid">
          <fgColor rgb="FFFFFFFF"/>
          <bgColor rgb="FFFFFFFF"/>
        </patternFill>
      </fill>
    </dxf>
    <dxf>
      <fill>
        <patternFill patternType="solid">
          <fgColor rgb="FFF3F3F3"/>
          <bgColor rgb="FFF3F3F3"/>
        </patternFill>
      </fill>
    </dxf>
    <dxf>
      <fill>
        <patternFill patternType="solid">
          <fgColor rgb="FFF3F3F3"/>
          <bgColor rgb="FFF3F3F3"/>
        </patternFill>
      </fill>
    </dxf>
    <dxf>
      <fill>
        <patternFill patternType="solid">
          <fgColor rgb="FFFFFFFF"/>
          <bgColor rgb="FFFFFFFF"/>
        </patternFill>
      </fill>
    </dxf>
    <dxf>
      <fill>
        <patternFill patternType="solid">
          <fgColor rgb="FFF3F3F3"/>
          <bgColor rgb="FFF3F3F3"/>
        </patternFill>
      </fill>
    </dxf>
    <dxf>
      <fill>
        <patternFill patternType="solid">
          <fgColor rgb="FFFFFFFF"/>
          <bgColor rgb="FFFFFFFF"/>
        </patternFill>
      </fill>
    </dxf>
    <dxf>
      <fill>
        <patternFill patternType="solid">
          <fgColor rgb="FFF3F3F3"/>
          <bgColor rgb="FFF3F3F3"/>
        </patternFill>
      </fill>
    </dxf>
    <dxf>
      <fill>
        <patternFill patternType="solid">
          <fgColor rgb="FFF3F3F3"/>
          <bgColor rgb="FFF3F3F3"/>
        </patternFill>
      </fill>
    </dxf>
    <dxf>
      <fill>
        <patternFill patternType="solid">
          <fgColor rgb="FFFFFFFF"/>
          <bgColor rgb="FFFFFFFF"/>
        </patternFill>
      </fill>
    </dxf>
    <dxf>
      <fill>
        <patternFill patternType="solid">
          <fgColor rgb="FFFFFFFF"/>
          <bgColor rgb="FFFFFFFF"/>
        </patternFill>
      </fill>
    </dxf>
    <dxf>
      <fill>
        <patternFill patternType="solid">
          <fgColor rgb="FFF3F3F3"/>
          <bgColor rgb="FFF3F3F3"/>
        </patternFill>
      </fill>
    </dxf>
  </dxfs>
  <tableStyles count="7">
    <tableStyle name="Diccionario-style" pivot="0" count="2" xr9:uid="{00000000-0011-0000-FFFF-FFFF00000000}">
      <tableStyleElement type="firstRowStripe" dxfId="21"/>
      <tableStyleElement type="secondRowStripe" dxfId="20"/>
    </tableStyle>
    <tableStyle name="Diccionario-style 2" pivot="0" count="2" xr9:uid="{00000000-0011-0000-FFFF-FFFF01000000}">
      <tableStyleElement type="firstRowStripe" dxfId="19"/>
      <tableStyleElement type="secondRowStripe" dxfId="18"/>
    </tableStyle>
    <tableStyle name="Diccionario-style 3" pivot="0" count="3" xr9:uid="{00000000-0011-0000-FFFF-FFFF02000000}">
      <tableStyleElement type="headerRow" dxfId="17"/>
      <tableStyleElement type="firstRowStripe" dxfId="16"/>
      <tableStyleElement type="secondRowStripe" dxfId="15"/>
    </tableStyle>
    <tableStyle name="Diccionario-style 4" pivot="0" count="2" xr9:uid="{00000000-0011-0000-FFFF-FFFF03000000}">
      <tableStyleElement type="firstRowStripe" dxfId="14"/>
      <tableStyleElement type="secondRowStripe" dxfId="13"/>
    </tableStyle>
    <tableStyle name="Diccionario-style 5" pivot="0" count="3" xr9:uid="{00000000-0011-0000-FFFF-FFFF04000000}">
      <tableStyleElement type="headerRow" dxfId="12"/>
      <tableStyleElement type="firstRowStripe" dxfId="11"/>
      <tableStyleElement type="secondRowStripe" dxfId="10"/>
    </tableStyle>
    <tableStyle name="Diccionario-style 6" pivot="0" count="3" xr9:uid="{00000000-0011-0000-FFFF-FFFF05000000}">
      <tableStyleElement type="headerRow" dxfId="9"/>
      <tableStyleElement type="firstRowStripe" dxfId="8"/>
      <tableStyleElement type="secondRowStripe" dxfId="7"/>
    </tableStyle>
    <tableStyle name="Diccionario-style 7" pivot="0" count="3" xr9:uid="{00000000-0011-0000-FFFF-FFFF06000000}">
      <tableStyleElement type="headerRow" dxfId="6"/>
      <tableStyleElement type="firstRowStripe" dxfId="5"/>
      <tableStyleElement type="secondRowStripe" dxfId="4"/>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2"/></Relationships>
</file>

<file path=xl/_rels/comments3.xml.rels><?xml version="1.0" encoding="UTF-8" standalone="yes"?>
<Relationships xmlns="http://schemas.openxmlformats.org/package/2006/relationships"><Relationship Id="rId1" Type="http://customschemas.google.com/relationships/workbookmetadata" Target="commentsmeta3"/></Relationships>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customschemas.google.com/relationships/workbookmetadata" Target="metadata"/><Relationship Id="rId3" Type="http://schemas.openxmlformats.org/officeDocument/2006/relationships/worksheet" Target="worksheets/sheet3.xml"/><Relationship Id="rId7" Type="http://schemas.openxmlformats.org/officeDocument/2006/relationships/worksheet" Target="worksheets/sheet7.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5"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theme" Target="theme/theme1.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7</xdr:col>
      <xdr:colOff>228600</xdr:colOff>
      <xdr:row>1</xdr:row>
      <xdr:rowOff>133350</xdr:rowOff>
    </xdr:from>
    <xdr:ext cx="1628775" cy="1343025"/>
    <xdr:pic>
      <xdr:nvPicPr>
        <xdr:cNvPr id="2" name="image2.png" title="Imagen">
          <a:extLst>
            <a:ext uri="{FF2B5EF4-FFF2-40B4-BE49-F238E27FC236}">
              <a16:creationId xmlns:a16="http://schemas.microsoft.com/office/drawing/2014/main" id="{00000000-0008-0000-00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1</xdr:col>
      <xdr:colOff>0</xdr:colOff>
      <xdr:row>27</xdr:row>
      <xdr:rowOff>0</xdr:rowOff>
    </xdr:from>
    <xdr:ext cx="1724025" cy="590550"/>
    <xdr:pic>
      <xdr:nvPicPr>
        <xdr:cNvPr id="3" name="image1.png">
          <a:extLst>
            <a:ext uri="{FF2B5EF4-FFF2-40B4-BE49-F238E27FC236}">
              <a16:creationId xmlns:a16="http://schemas.microsoft.com/office/drawing/2014/main" id="{00000000-0008-0000-00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wsDr>
</file>

<file path=xl/externalLinks/_rels/externalLink1.xml.rels><?xml version="1.0" encoding="UTF-8" standalone="yes"?>
<Relationships xmlns="http://schemas.openxmlformats.org/package/2006/relationships"><Relationship Id="rId1" Type="http://schemas.microsoft.com/office/2006/relationships/xlExternalLinkPath/xlPathMissing" Target="Actor"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ctor"/>
    </sheetNames>
    <sheetDataSet>
      <sheetData sheetId="0"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C20:D21" headerRowCount="0">
  <tableColumns count="2">
    <tableColumn id="1" xr3:uid="{00000000-0010-0000-0000-000001000000}" name="Column1"/>
    <tableColumn id="2" xr3:uid="{00000000-0010-0000-0000-000002000000}" name="Column2"/>
  </tableColumns>
  <tableStyleInfo name="Diccionario-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B23:C24" headerRowCount="0">
  <tableColumns count="2">
    <tableColumn id="1" xr3:uid="{00000000-0010-0000-0100-000001000000}" name="Column1"/>
    <tableColumn id="2" xr3:uid="{00000000-0010-0000-0100-000002000000}" name="Column2"/>
  </tableColumns>
  <tableStyleInfo name="Diccionario-style 2"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B32:D59">
  <tableColumns count="3">
    <tableColumn id="1" xr3:uid="{00000000-0010-0000-0200-000001000000}" name="ID Usuario"/>
    <tableColumn id="2" xr3:uid="{00000000-0010-0000-0200-000002000000}" name="Identificador único. Es un consecutivo alfanumérico que identifica cada uno de los usuarios registrados. "/>
    <tableColumn id="3" xr3:uid="{00000000-0010-0000-0200-000003000000}" name="Digitar el consecutivo en formato PER_001 "/>
  </tableColumns>
  <tableStyleInfo name="Diccionario-style 3"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4" displayName="Table_4" ref="B63:D79" headerRowCount="0">
  <tableColumns count="3">
    <tableColumn id="1" xr3:uid="{00000000-0010-0000-0300-000001000000}" name="Column1"/>
    <tableColumn id="2" xr3:uid="{00000000-0010-0000-0300-000002000000}" name="Column2"/>
    <tableColumn id="3" xr3:uid="{00000000-0010-0000-0300-000003000000}" name="Column3"/>
  </tableColumns>
  <tableStyleInfo name="Diccionario-style 4"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_5" displayName="Table_5" ref="B83:D100">
  <tableColumns count="3">
    <tableColumn id="1" xr3:uid="{00000000-0010-0000-0400-000001000000}" name="ID Práctica de Uso"/>
    <tableColumn id="2" xr3:uid="{00000000-0010-0000-0400-000002000000}" name="Identificador único. Es un consecutivo alfanumérico que identifica cada una de las prácticas de uso registradas. Permite asociar las unidades espaciales en las que la práctica incide de acuerdo a su ocurrencia en una unidad político-administrativa y/o bio"/>
    <tableColumn id="3" xr3:uid="{00000000-0010-0000-0400-000003000000}" name="Mantener el mismo identificador usado en la tabla Práctica de uso"/>
  </tableColumns>
  <tableStyleInfo name="Diccionario-style 5" showFirstColumn="1" showLastColumn="1"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_6" displayName="Table_6" ref="B104:B119">
  <tableColumns count="1">
    <tableColumn id="1" xr3:uid="{00000000-0010-0000-0500-000001000000}" name="ID Practica de uso"/>
  </tableColumns>
  <tableStyleInfo name="Diccionario-style 6" showFirstColumn="1" showLastColumn="1"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_7" displayName="Table_7" ref="C104:D119">
  <tableColumns count="2">
    <tableColumn id="1" xr3:uid="{00000000-0010-0000-0600-000001000000}" name="Identificador único. Es un consecutivo alfanumérico que identifica cada una de las prácticas de uso registradas. Permite asociar las prácticas de uso a su producto final correspondiente. "/>
    <tableColumn id="2" xr3:uid="{00000000-0010-0000-0600-000002000000}" name="Mantener el mismo identificador usado en la tabla Práctica de uso"/>
  </tableColumns>
  <tableStyleInfo name="Diccionario-style 7"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hyperlink" Target="https://visualizador.ideam.gov.co/geonetwork/srv/spa/catalog.search" TargetMode="External"/></Relationships>
</file>

<file path=xl/worksheets/_rels/sheet8.xml.rels><?xml version="1.0" encoding="UTF-8" standalone="yes"?>
<Relationships xmlns="http://schemas.openxmlformats.org/package/2006/relationships"><Relationship Id="rId8" Type="http://schemas.openxmlformats.org/officeDocument/2006/relationships/table" Target="../tables/table7.xml"/><Relationship Id="rId3" Type="http://schemas.openxmlformats.org/officeDocument/2006/relationships/table" Target="../tables/table2.xml"/><Relationship Id="rId7" Type="http://schemas.openxmlformats.org/officeDocument/2006/relationships/table" Target="../tables/table6.xml"/><Relationship Id="rId2" Type="http://schemas.openxmlformats.org/officeDocument/2006/relationships/table" Target="../tables/table1.xml"/><Relationship Id="rId1" Type="http://schemas.openxmlformats.org/officeDocument/2006/relationships/hyperlink" Target="https://doi.org/10.15472/5an5tz." TargetMode="External"/><Relationship Id="rId6" Type="http://schemas.openxmlformats.org/officeDocument/2006/relationships/table" Target="../tables/table5.xml"/><Relationship Id="rId5" Type="http://schemas.openxmlformats.org/officeDocument/2006/relationships/table" Target="../tables/table4.xml"/><Relationship Id="rId4"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434343"/>
    <outlinePr summaryBelow="0" summaryRight="0"/>
  </sheetPr>
  <dimension ref="A1:Z1000"/>
  <sheetViews>
    <sheetView showGridLines="0" workbookViewId="0"/>
  </sheetViews>
  <sheetFormatPr baseColWidth="10" defaultColWidth="12.5703125" defaultRowHeight="15" customHeight="1" x14ac:dyDescent="0.2"/>
  <cols>
    <col min="1" max="1" width="2.140625" customWidth="1"/>
    <col min="2" max="2" width="22.5703125" customWidth="1"/>
    <col min="3" max="3" width="14.42578125" customWidth="1"/>
    <col min="4" max="4" width="16.140625" customWidth="1"/>
    <col min="5" max="5" width="15.5703125" customWidth="1"/>
    <col min="6" max="6" width="18.85546875" customWidth="1"/>
    <col min="7" max="7" width="41.28515625" customWidth="1"/>
  </cols>
  <sheetData>
    <row r="1" spans="1:13" ht="3" customHeight="1" x14ac:dyDescent="0.2">
      <c r="A1" s="1"/>
      <c r="B1" s="1"/>
      <c r="C1" s="1"/>
      <c r="D1" s="1"/>
      <c r="E1" s="1"/>
      <c r="F1" s="1"/>
      <c r="G1" s="1"/>
    </row>
    <row r="2" spans="1:13" ht="38.25" customHeight="1" x14ac:dyDescent="0.2">
      <c r="A2" s="2"/>
      <c r="B2" s="349" t="s">
        <v>0</v>
      </c>
      <c r="C2" s="343"/>
      <c r="D2" s="343"/>
      <c r="E2" s="343"/>
      <c r="F2" s="343"/>
      <c r="G2" s="343"/>
      <c r="H2" s="3"/>
    </row>
    <row r="3" spans="1:13" ht="24.75" customHeight="1" x14ac:dyDescent="0.25">
      <c r="A3" s="2"/>
      <c r="H3" s="4"/>
    </row>
    <row r="4" spans="1:13" ht="3" customHeight="1" x14ac:dyDescent="0.25">
      <c r="A4" s="2"/>
      <c r="B4" s="350" t="s">
        <v>1</v>
      </c>
      <c r="C4" s="343"/>
      <c r="D4" s="343"/>
      <c r="E4" s="343"/>
      <c r="F4" s="343"/>
      <c r="G4" s="343"/>
    </row>
    <row r="5" spans="1:13" ht="66" customHeight="1" x14ac:dyDescent="0.2">
      <c r="A5" s="2"/>
      <c r="B5" s="351" t="s">
        <v>2</v>
      </c>
      <c r="C5" s="343"/>
      <c r="D5" s="343"/>
      <c r="E5" s="343"/>
      <c r="F5" s="343"/>
      <c r="G5" s="343"/>
      <c r="H5" s="5"/>
    </row>
    <row r="6" spans="1:13" ht="45.75" customHeight="1" x14ac:dyDescent="0.2">
      <c r="A6" s="2"/>
      <c r="B6" s="345" t="s">
        <v>3</v>
      </c>
      <c r="C6" s="343"/>
      <c r="D6" s="343"/>
      <c r="E6" s="343"/>
      <c r="F6" s="343"/>
      <c r="G6" s="343"/>
      <c r="H6" s="5"/>
    </row>
    <row r="7" spans="1:13" ht="30.75" customHeight="1" x14ac:dyDescent="0.2">
      <c r="A7" s="2"/>
      <c r="B7" s="6" t="s">
        <v>4</v>
      </c>
      <c r="C7" s="341" t="s">
        <v>5</v>
      </c>
      <c r="D7" s="335"/>
      <c r="E7" s="335"/>
      <c r="F7" s="335"/>
      <c r="G7" s="336"/>
      <c r="H7" s="345"/>
      <c r="I7" s="343"/>
      <c r="J7" s="343"/>
      <c r="K7" s="343"/>
      <c r="L7" s="343"/>
      <c r="M7" s="343"/>
    </row>
    <row r="8" spans="1:13" ht="35.25" customHeight="1" x14ac:dyDescent="0.2">
      <c r="A8" s="2"/>
      <c r="B8" s="6" t="s">
        <v>6</v>
      </c>
      <c r="C8" s="346" t="s">
        <v>7</v>
      </c>
      <c r="D8" s="347"/>
      <c r="E8" s="347"/>
      <c r="F8" s="347"/>
      <c r="G8" s="348"/>
      <c r="H8" s="5"/>
    </row>
    <row r="9" spans="1:13" ht="36" customHeight="1" x14ac:dyDescent="0.2">
      <c r="A9" s="2"/>
      <c r="B9" s="6" t="s">
        <v>8</v>
      </c>
      <c r="C9" s="341" t="s">
        <v>9</v>
      </c>
      <c r="D9" s="335"/>
      <c r="E9" s="335"/>
      <c r="F9" s="335"/>
      <c r="G9" s="336"/>
      <c r="H9" s="5"/>
    </row>
    <row r="10" spans="1:13" ht="32.25" customHeight="1" x14ac:dyDescent="0.2">
      <c r="A10" s="2"/>
      <c r="B10" s="6" t="s">
        <v>10</v>
      </c>
      <c r="C10" s="342" t="s">
        <v>11</v>
      </c>
      <c r="D10" s="343"/>
      <c r="E10" s="343"/>
      <c r="F10" s="343"/>
      <c r="G10" s="343"/>
      <c r="H10" s="5"/>
    </row>
    <row r="11" spans="1:13" ht="24" customHeight="1" x14ac:dyDescent="0.2">
      <c r="A11" s="2"/>
      <c r="B11" s="7"/>
      <c r="C11" s="342"/>
      <c r="D11" s="343"/>
      <c r="E11" s="343"/>
      <c r="F11" s="343"/>
      <c r="G11" s="343"/>
      <c r="H11" s="5"/>
    </row>
    <row r="12" spans="1:13" ht="24" customHeight="1" x14ac:dyDescent="0.2">
      <c r="A12" s="2"/>
      <c r="B12" s="340" t="s">
        <v>12</v>
      </c>
      <c r="C12" s="338"/>
      <c r="D12" s="338"/>
      <c r="E12" s="5"/>
      <c r="F12" s="5"/>
      <c r="G12" s="5"/>
      <c r="H12" s="5"/>
    </row>
    <row r="13" spans="1:13" ht="9.75" customHeight="1" x14ac:dyDescent="0.2">
      <c r="A13" s="2"/>
      <c r="B13" s="8"/>
      <c r="C13" s="9"/>
      <c r="D13" s="9"/>
      <c r="E13" s="9"/>
      <c r="F13" s="9"/>
      <c r="G13" s="9"/>
      <c r="H13" s="5"/>
    </row>
    <row r="14" spans="1:13" ht="37.5" customHeight="1" x14ac:dyDescent="0.2">
      <c r="A14" s="2"/>
      <c r="B14" s="10" t="s">
        <v>13</v>
      </c>
      <c r="C14" s="341" t="s">
        <v>14</v>
      </c>
      <c r="D14" s="335"/>
      <c r="E14" s="335"/>
      <c r="F14" s="335"/>
      <c r="G14" s="336"/>
      <c r="H14" s="5"/>
    </row>
    <row r="15" spans="1:13" ht="4.5" customHeight="1" x14ac:dyDescent="0.2">
      <c r="A15" s="2"/>
      <c r="B15" s="11"/>
      <c r="C15" s="9"/>
      <c r="D15" s="9"/>
      <c r="E15" s="9"/>
      <c r="F15" s="9"/>
      <c r="G15" s="9"/>
      <c r="H15" s="5"/>
    </row>
    <row r="16" spans="1:13" ht="5.25" customHeight="1" x14ac:dyDescent="0.2">
      <c r="A16" s="2"/>
      <c r="B16" s="11"/>
      <c r="C16" s="9"/>
      <c r="D16" s="9"/>
      <c r="E16" s="9"/>
      <c r="F16" s="9"/>
      <c r="G16" s="9"/>
      <c r="H16" s="5"/>
    </row>
    <row r="17" spans="1:26" ht="29.25" customHeight="1" x14ac:dyDescent="0.2">
      <c r="A17" s="2"/>
      <c r="B17" s="12" t="s">
        <v>15</v>
      </c>
      <c r="C17" s="341" t="s">
        <v>16</v>
      </c>
      <c r="D17" s="335"/>
      <c r="E17" s="335"/>
      <c r="F17" s="335"/>
      <c r="G17" s="336"/>
      <c r="H17" s="5"/>
    </row>
    <row r="18" spans="1:26" ht="7.5" customHeight="1" x14ac:dyDescent="0.2">
      <c r="A18" s="2"/>
      <c r="B18" s="13"/>
      <c r="C18" s="9"/>
      <c r="D18" s="9"/>
      <c r="E18" s="9"/>
      <c r="F18" s="9"/>
      <c r="G18" s="9"/>
      <c r="H18" s="5"/>
    </row>
    <row r="19" spans="1:26" ht="34.5" customHeight="1" x14ac:dyDescent="0.2">
      <c r="A19" s="2"/>
      <c r="B19" s="14" t="s">
        <v>17</v>
      </c>
      <c r="C19" s="342" t="s">
        <v>18</v>
      </c>
      <c r="D19" s="343"/>
      <c r="E19" s="343"/>
      <c r="F19" s="343"/>
      <c r="G19" s="343"/>
      <c r="H19" s="5"/>
    </row>
    <row r="20" spans="1:26" ht="7.5" customHeight="1" x14ac:dyDescent="0.2">
      <c r="A20" s="1"/>
      <c r="B20" s="15"/>
      <c r="C20" s="16"/>
      <c r="D20" s="16"/>
      <c r="E20" s="16"/>
      <c r="F20" s="16"/>
      <c r="G20" s="16"/>
      <c r="H20" s="17"/>
      <c r="I20" s="1"/>
      <c r="J20" s="1"/>
      <c r="K20" s="1"/>
      <c r="L20" s="1"/>
      <c r="M20" s="1"/>
      <c r="N20" s="1"/>
      <c r="O20" s="1"/>
      <c r="P20" s="1"/>
      <c r="Q20" s="1"/>
      <c r="R20" s="1"/>
      <c r="S20" s="1"/>
      <c r="T20" s="1"/>
      <c r="U20" s="1"/>
      <c r="V20" s="1"/>
      <c r="W20" s="1"/>
      <c r="X20" s="1"/>
      <c r="Y20" s="1"/>
      <c r="Z20" s="1"/>
    </row>
    <row r="21" spans="1:26" ht="34.5" customHeight="1" x14ac:dyDescent="0.2">
      <c r="A21" s="2"/>
      <c r="B21" s="18" t="s">
        <v>19</v>
      </c>
      <c r="C21" s="341" t="s">
        <v>20</v>
      </c>
      <c r="D21" s="335"/>
      <c r="E21" s="335"/>
      <c r="F21" s="335"/>
      <c r="G21" s="336"/>
      <c r="H21" s="5"/>
    </row>
    <row r="22" spans="1:26" ht="13.5" customHeight="1" x14ac:dyDescent="0.25">
      <c r="A22" s="2"/>
      <c r="B22" s="19"/>
      <c r="C22" s="20"/>
      <c r="D22" s="20"/>
      <c r="E22" s="21"/>
      <c r="F22" s="21"/>
      <c r="G22" s="21"/>
      <c r="H22" s="5"/>
    </row>
    <row r="23" spans="1:26" ht="38.25" customHeight="1" x14ac:dyDescent="0.2">
      <c r="A23" s="2"/>
      <c r="B23" s="22" t="s">
        <v>21</v>
      </c>
      <c r="C23" s="341" t="s">
        <v>22</v>
      </c>
      <c r="D23" s="335"/>
      <c r="E23" s="335"/>
      <c r="F23" s="335"/>
      <c r="G23" s="336"/>
      <c r="H23" s="5"/>
    </row>
    <row r="24" spans="1:26" ht="39.75" customHeight="1" x14ac:dyDescent="0.25">
      <c r="A24" s="2"/>
      <c r="B24" s="337" t="s">
        <v>23</v>
      </c>
      <c r="C24" s="338"/>
      <c r="D24" s="338"/>
      <c r="E24" s="21"/>
      <c r="F24" s="21"/>
      <c r="G24" s="21"/>
      <c r="H24" s="5"/>
    </row>
    <row r="25" spans="1:26" ht="11.25" customHeight="1" x14ac:dyDescent="0.2">
      <c r="A25" s="2"/>
      <c r="B25" s="23"/>
      <c r="C25" s="21"/>
      <c r="D25" s="21"/>
      <c r="E25" s="21"/>
      <c r="F25" s="21"/>
      <c r="G25" s="21"/>
      <c r="H25" s="5"/>
    </row>
    <row r="26" spans="1:26" ht="29.25" customHeight="1" x14ac:dyDescent="0.2">
      <c r="A26" s="2"/>
      <c r="B26" s="24" t="s">
        <v>24</v>
      </c>
      <c r="C26" s="334" t="s">
        <v>25</v>
      </c>
      <c r="D26" s="335"/>
      <c r="E26" s="335"/>
      <c r="F26" s="335"/>
      <c r="G26" s="336"/>
      <c r="H26" s="5"/>
    </row>
    <row r="27" spans="1:26" ht="10.5" customHeight="1" x14ac:dyDescent="0.2">
      <c r="A27" s="2"/>
      <c r="C27" s="25"/>
      <c r="D27" s="25"/>
      <c r="E27" s="25"/>
      <c r="F27" s="25"/>
      <c r="G27" s="25"/>
      <c r="H27" s="5"/>
    </row>
    <row r="28" spans="1:26" ht="48" customHeight="1" x14ac:dyDescent="0.2">
      <c r="A28" s="2"/>
      <c r="B28" s="26"/>
      <c r="C28" s="334" t="s">
        <v>26</v>
      </c>
      <c r="D28" s="335"/>
      <c r="E28" s="335"/>
      <c r="F28" s="335"/>
      <c r="G28" s="336"/>
      <c r="H28" s="5"/>
    </row>
    <row r="29" spans="1:26" ht="6.75" customHeight="1" x14ac:dyDescent="0.2">
      <c r="A29" s="2"/>
      <c r="B29" s="27"/>
      <c r="C29" s="25"/>
      <c r="D29" s="25"/>
      <c r="E29" s="25"/>
      <c r="F29" s="25"/>
      <c r="G29" s="25"/>
      <c r="H29" s="5"/>
    </row>
    <row r="30" spans="1:26" ht="36.75" customHeight="1" x14ac:dyDescent="0.2">
      <c r="A30" s="2"/>
      <c r="B30" s="28" t="s">
        <v>27</v>
      </c>
      <c r="C30" s="344" t="s">
        <v>28</v>
      </c>
      <c r="D30" s="335"/>
      <c r="E30" s="335"/>
      <c r="F30" s="335"/>
      <c r="G30" s="336"/>
      <c r="H30" s="5"/>
    </row>
    <row r="31" spans="1:26" ht="5.25" customHeight="1" x14ac:dyDescent="0.2">
      <c r="A31" s="2"/>
      <c r="B31" s="29"/>
      <c r="C31" s="25"/>
      <c r="D31" s="25"/>
      <c r="E31" s="25"/>
      <c r="F31" s="25"/>
      <c r="G31" s="25"/>
      <c r="H31" s="5"/>
    </row>
    <row r="32" spans="1:26" ht="38.25" customHeight="1" x14ac:dyDescent="0.2">
      <c r="A32" s="2"/>
      <c r="B32" s="30" t="s">
        <v>29</v>
      </c>
      <c r="C32" s="334" t="s">
        <v>30</v>
      </c>
      <c r="D32" s="335"/>
      <c r="E32" s="335"/>
      <c r="F32" s="335"/>
      <c r="G32" s="336"/>
      <c r="H32" s="5"/>
    </row>
    <row r="33" spans="1:8" ht="5.25" customHeight="1" x14ac:dyDescent="0.2">
      <c r="A33" s="2"/>
      <c r="B33" s="31"/>
      <c r="C33" s="25"/>
      <c r="D33" s="25"/>
      <c r="E33" s="25"/>
      <c r="F33" s="25"/>
      <c r="G33" s="25"/>
      <c r="H33" s="5"/>
    </row>
    <row r="34" spans="1:8" ht="36" customHeight="1" x14ac:dyDescent="0.2">
      <c r="A34" s="2"/>
      <c r="B34" s="32" t="s">
        <v>31</v>
      </c>
      <c r="C34" s="334" t="s">
        <v>32</v>
      </c>
      <c r="D34" s="335"/>
      <c r="E34" s="335"/>
      <c r="F34" s="335"/>
      <c r="G34" s="336"/>
      <c r="H34" s="5"/>
    </row>
    <row r="35" spans="1:8" ht="6.75" customHeight="1" x14ac:dyDescent="0.2">
      <c r="A35" s="2"/>
      <c r="B35" s="31"/>
      <c r="C35" s="25"/>
      <c r="D35" s="25"/>
      <c r="E35" s="25"/>
      <c r="F35" s="25"/>
      <c r="G35" s="25"/>
      <c r="H35" s="5"/>
    </row>
    <row r="36" spans="1:8" ht="35.25" customHeight="1" x14ac:dyDescent="0.25">
      <c r="A36" s="2"/>
      <c r="B36" s="33" t="s">
        <v>33</v>
      </c>
      <c r="C36" s="334" t="s">
        <v>34</v>
      </c>
      <c r="D36" s="335"/>
      <c r="E36" s="335"/>
      <c r="F36" s="335"/>
      <c r="G36" s="336"/>
      <c r="H36" s="5"/>
    </row>
    <row r="37" spans="1:8" ht="9" customHeight="1" x14ac:dyDescent="0.2">
      <c r="A37" s="1"/>
      <c r="B37" s="31"/>
      <c r="C37" s="25"/>
      <c r="D37" s="25"/>
      <c r="E37" s="25"/>
      <c r="F37" s="25"/>
      <c r="G37" s="25"/>
      <c r="H37" s="5"/>
    </row>
    <row r="38" spans="1:8" ht="35.25" customHeight="1" x14ac:dyDescent="0.25">
      <c r="A38" s="1"/>
      <c r="B38" s="33" t="s">
        <v>35</v>
      </c>
      <c r="C38" s="334" t="s">
        <v>36</v>
      </c>
      <c r="D38" s="335"/>
      <c r="E38" s="335"/>
      <c r="F38" s="335"/>
      <c r="G38" s="336"/>
      <c r="H38" s="5"/>
    </row>
    <row r="39" spans="1:8" ht="6.75" customHeight="1" x14ac:dyDescent="0.25">
      <c r="A39" s="1"/>
      <c r="G39" s="34"/>
      <c r="H39" s="5"/>
    </row>
    <row r="40" spans="1:8" ht="38.25" customHeight="1" x14ac:dyDescent="0.25">
      <c r="A40" s="1"/>
      <c r="B40" s="337" t="s">
        <v>37</v>
      </c>
      <c r="C40" s="338"/>
      <c r="D40" s="338"/>
      <c r="H40" s="5"/>
    </row>
    <row r="41" spans="1:8" ht="52.5" customHeight="1" x14ac:dyDescent="0.2">
      <c r="A41" s="1"/>
      <c r="B41" s="334"/>
      <c r="C41" s="335"/>
      <c r="D41" s="335"/>
      <c r="E41" s="335"/>
      <c r="F41" s="335"/>
      <c r="G41" s="336"/>
    </row>
    <row r="42" spans="1:8" ht="9.75" customHeight="1" x14ac:dyDescent="0.2">
      <c r="A42" s="1"/>
      <c r="G42" s="1"/>
    </row>
    <row r="43" spans="1:8" ht="95.25" customHeight="1" x14ac:dyDescent="0.2">
      <c r="A43" s="1"/>
      <c r="B43" s="35" t="s">
        <v>38</v>
      </c>
      <c r="C43" s="339" t="s">
        <v>39</v>
      </c>
      <c r="D43" s="335"/>
      <c r="E43" s="335"/>
      <c r="F43" s="335"/>
      <c r="G43" s="336"/>
    </row>
    <row r="44" spans="1:8" ht="15.75" customHeight="1" x14ac:dyDescent="0.2">
      <c r="A44" s="1"/>
      <c r="G44" s="1"/>
    </row>
    <row r="45" spans="1:8" ht="15.75" customHeight="1" x14ac:dyDescent="0.2">
      <c r="A45" s="1"/>
      <c r="G45" s="1"/>
    </row>
    <row r="46" spans="1:8" ht="15.75" customHeight="1" x14ac:dyDescent="0.2">
      <c r="A46" s="1"/>
      <c r="G46" s="1"/>
    </row>
    <row r="47" spans="1:8" ht="15.75" customHeight="1" x14ac:dyDescent="0.2">
      <c r="A47" s="1"/>
      <c r="G47" s="1"/>
    </row>
    <row r="48" spans="1:8" ht="15.75" customHeight="1" x14ac:dyDescent="0.2">
      <c r="A48" s="1"/>
      <c r="G48" s="1"/>
    </row>
    <row r="49" spans="1:7" ht="15.75" customHeight="1" x14ac:dyDescent="0.2">
      <c r="A49" s="1"/>
      <c r="G49" s="1"/>
    </row>
    <row r="50" spans="1:7" ht="15.75" customHeight="1" x14ac:dyDescent="0.2">
      <c r="A50" s="1"/>
      <c r="G50" s="1"/>
    </row>
    <row r="51" spans="1:7" ht="15.75" customHeight="1" x14ac:dyDescent="0.2">
      <c r="A51" s="1"/>
      <c r="G51" s="1"/>
    </row>
    <row r="52" spans="1:7" ht="15.75" customHeight="1" x14ac:dyDescent="0.2">
      <c r="A52" s="1"/>
      <c r="G52" s="1"/>
    </row>
    <row r="53" spans="1:7" ht="15.75" customHeight="1" x14ac:dyDescent="0.2">
      <c r="A53" s="1"/>
      <c r="G53" s="1"/>
    </row>
    <row r="54" spans="1:7" ht="15.75" customHeight="1" x14ac:dyDescent="0.2">
      <c r="A54" s="1"/>
      <c r="G54" s="1"/>
    </row>
    <row r="55" spans="1:7" ht="15.75" customHeight="1" x14ac:dyDescent="0.2">
      <c r="A55" s="1"/>
      <c r="G55" s="1"/>
    </row>
    <row r="56" spans="1:7" ht="15.75" customHeight="1" x14ac:dyDescent="0.2">
      <c r="A56" s="1"/>
      <c r="G56" s="1"/>
    </row>
    <row r="57" spans="1:7" ht="15.75" customHeight="1" x14ac:dyDescent="0.2">
      <c r="A57" s="1"/>
      <c r="G57" s="1"/>
    </row>
    <row r="58" spans="1:7" ht="15.75" customHeight="1" x14ac:dyDescent="0.2">
      <c r="A58" s="1"/>
      <c r="G58" s="1"/>
    </row>
    <row r="59" spans="1:7" ht="15.75" customHeight="1" x14ac:dyDescent="0.2">
      <c r="A59" s="1"/>
      <c r="G59" s="1"/>
    </row>
    <row r="60" spans="1:7" ht="15.75" customHeight="1" x14ac:dyDescent="0.2">
      <c r="A60" s="1"/>
      <c r="G60" s="1"/>
    </row>
    <row r="61" spans="1:7" ht="15.75" customHeight="1" x14ac:dyDescent="0.2">
      <c r="A61" s="1"/>
      <c r="G61" s="1"/>
    </row>
    <row r="62" spans="1:7" ht="15.75" customHeight="1" x14ac:dyDescent="0.2">
      <c r="A62" s="1"/>
      <c r="G62" s="1"/>
    </row>
    <row r="63" spans="1:7" ht="15.75" customHeight="1" x14ac:dyDescent="0.2">
      <c r="A63" s="1"/>
      <c r="G63" s="1"/>
    </row>
    <row r="64" spans="1:7" ht="15.75" customHeight="1" x14ac:dyDescent="0.2">
      <c r="A64" s="1"/>
      <c r="B64" s="1"/>
      <c r="C64" s="1"/>
      <c r="D64" s="1"/>
      <c r="E64" s="1"/>
      <c r="F64" s="1"/>
      <c r="G64" s="1"/>
    </row>
    <row r="65" spans="1:7" ht="15.75" customHeight="1" x14ac:dyDescent="0.2">
      <c r="A65" s="1"/>
      <c r="B65" s="1"/>
      <c r="C65" s="1"/>
      <c r="D65" s="1"/>
      <c r="E65" s="1"/>
      <c r="F65" s="1"/>
      <c r="G65" s="1"/>
    </row>
    <row r="66" spans="1:7" ht="15.75" customHeight="1" x14ac:dyDescent="0.2">
      <c r="A66" s="1"/>
      <c r="B66" s="1"/>
      <c r="C66" s="1"/>
      <c r="D66" s="1"/>
      <c r="E66" s="1"/>
      <c r="F66" s="1"/>
      <c r="G66" s="1"/>
    </row>
    <row r="67" spans="1:7" ht="15.75" customHeight="1" x14ac:dyDescent="0.2">
      <c r="A67" s="1"/>
      <c r="B67" s="1"/>
      <c r="C67" s="1"/>
      <c r="D67" s="1"/>
      <c r="E67" s="1"/>
      <c r="F67" s="1"/>
      <c r="G67" s="1"/>
    </row>
    <row r="68" spans="1:7" ht="15.75" customHeight="1" x14ac:dyDescent="0.2">
      <c r="A68" s="1"/>
      <c r="B68" s="1"/>
      <c r="C68" s="1"/>
      <c r="D68" s="1"/>
      <c r="E68" s="1"/>
      <c r="F68" s="1"/>
      <c r="G68" s="1"/>
    </row>
    <row r="69" spans="1:7" ht="15.75" customHeight="1" x14ac:dyDescent="0.2">
      <c r="A69" s="1"/>
      <c r="B69" s="1"/>
      <c r="C69" s="1"/>
      <c r="D69" s="1"/>
      <c r="E69" s="1"/>
      <c r="F69" s="1"/>
      <c r="G69" s="1"/>
    </row>
    <row r="70" spans="1:7" ht="15.75" customHeight="1" x14ac:dyDescent="0.2">
      <c r="A70" s="1"/>
      <c r="B70" s="1"/>
      <c r="C70" s="1"/>
      <c r="D70" s="1"/>
      <c r="E70" s="1"/>
      <c r="F70" s="1"/>
      <c r="G70" s="1"/>
    </row>
    <row r="71" spans="1:7" ht="15.75" customHeight="1" x14ac:dyDescent="0.2">
      <c r="A71" s="1"/>
      <c r="B71" s="1"/>
      <c r="C71" s="1"/>
      <c r="D71" s="1"/>
      <c r="E71" s="1"/>
      <c r="F71" s="1"/>
      <c r="G71" s="1"/>
    </row>
    <row r="72" spans="1:7" ht="15.75" customHeight="1" x14ac:dyDescent="0.2">
      <c r="A72" s="1"/>
      <c r="B72" s="1"/>
      <c r="C72" s="1"/>
      <c r="D72" s="1"/>
      <c r="E72" s="1"/>
      <c r="F72" s="1"/>
      <c r="G72" s="1"/>
    </row>
    <row r="73" spans="1:7" ht="15.75" customHeight="1" x14ac:dyDescent="0.2">
      <c r="A73" s="1"/>
      <c r="B73" s="1"/>
      <c r="C73" s="1"/>
      <c r="D73" s="1"/>
      <c r="E73" s="1"/>
      <c r="F73" s="1"/>
      <c r="G73" s="1"/>
    </row>
    <row r="74" spans="1:7" ht="15.75" customHeight="1" x14ac:dyDescent="0.2">
      <c r="A74" s="1"/>
      <c r="B74" s="1"/>
      <c r="C74" s="1"/>
      <c r="D74" s="1"/>
      <c r="E74" s="1"/>
      <c r="F74" s="1"/>
      <c r="G74" s="1"/>
    </row>
    <row r="75" spans="1:7" ht="15.75" customHeight="1" x14ac:dyDescent="0.2">
      <c r="A75" s="1"/>
      <c r="B75" s="1"/>
      <c r="C75" s="1"/>
      <c r="D75" s="1"/>
      <c r="E75" s="1"/>
      <c r="F75" s="1"/>
      <c r="G75" s="1"/>
    </row>
    <row r="76" spans="1:7" ht="15.75" customHeight="1" x14ac:dyDescent="0.2">
      <c r="A76" s="1"/>
      <c r="B76" s="1"/>
      <c r="C76" s="1"/>
      <c r="D76" s="1"/>
      <c r="E76" s="1"/>
      <c r="F76" s="1"/>
      <c r="G76" s="1"/>
    </row>
    <row r="77" spans="1:7" ht="15.75" customHeight="1" x14ac:dyDescent="0.2">
      <c r="A77" s="1"/>
      <c r="B77" s="1"/>
      <c r="C77" s="1"/>
      <c r="D77" s="1"/>
      <c r="E77" s="1"/>
      <c r="F77" s="1"/>
      <c r="G77" s="1"/>
    </row>
    <row r="78" spans="1:7" ht="15.75" customHeight="1" x14ac:dyDescent="0.2">
      <c r="A78" s="1"/>
      <c r="B78" s="1"/>
      <c r="C78" s="1"/>
      <c r="D78" s="1"/>
      <c r="E78" s="1"/>
      <c r="F78" s="1"/>
      <c r="G78" s="1"/>
    </row>
    <row r="79" spans="1:7" ht="15.75" customHeight="1" x14ac:dyDescent="0.2">
      <c r="A79" s="1"/>
      <c r="B79" s="1"/>
      <c r="C79" s="1"/>
      <c r="D79" s="1"/>
      <c r="E79" s="1"/>
      <c r="F79" s="1"/>
      <c r="G79" s="1"/>
    </row>
    <row r="80" spans="1:7" ht="15.75" customHeight="1" x14ac:dyDescent="0.2">
      <c r="A80" s="1"/>
      <c r="B80" s="1"/>
      <c r="C80" s="1"/>
      <c r="D80" s="1"/>
      <c r="E80" s="1"/>
      <c r="F80" s="1"/>
      <c r="G80" s="1"/>
    </row>
    <row r="81" spans="1:7" ht="15.75" customHeight="1" x14ac:dyDescent="0.2">
      <c r="A81" s="1"/>
      <c r="B81" s="1"/>
      <c r="C81" s="1"/>
      <c r="D81" s="1"/>
      <c r="E81" s="1"/>
      <c r="F81" s="1"/>
      <c r="G81" s="1"/>
    </row>
    <row r="82" spans="1:7" ht="15.75" customHeight="1" x14ac:dyDescent="0.2">
      <c r="A82" s="1"/>
      <c r="B82" s="1"/>
      <c r="C82" s="1"/>
      <c r="D82" s="1"/>
      <c r="E82" s="1"/>
      <c r="F82" s="1"/>
      <c r="G82" s="1"/>
    </row>
    <row r="83" spans="1:7" ht="15.75" customHeight="1" x14ac:dyDescent="0.2">
      <c r="A83" s="1"/>
      <c r="B83" s="1"/>
      <c r="C83" s="1"/>
      <c r="D83" s="1"/>
      <c r="E83" s="1"/>
      <c r="F83" s="1"/>
      <c r="G83" s="1"/>
    </row>
    <row r="84" spans="1:7" ht="15.75" customHeight="1" x14ac:dyDescent="0.2">
      <c r="A84" s="1"/>
      <c r="B84" s="1"/>
      <c r="C84" s="1"/>
      <c r="D84" s="1"/>
      <c r="E84" s="1"/>
      <c r="F84" s="1"/>
      <c r="G84" s="1"/>
    </row>
    <row r="85" spans="1:7" ht="15.75" customHeight="1" x14ac:dyDescent="0.2">
      <c r="A85" s="1"/>
      <c r="B85" s="1"/>
      <c r="C85" s="1"/>
      <c r="D85" s="1"/>
      <c r="E85" s="1"/>
      <c r="F85" s="1"/>
      <c r="G85" s="1"/>
    </row>
    <row r="86" spans="1:7" ht="15.75" customHeight="1" x14ac:dyDescent="0.2">
      <c r="A86" s="1"/>
      <c r="B86" s="1"/>
      <c r="C86" s="1"/>
      <c r="D86" s="1"/>
      <c r="E86" s="1"/>
      <c r="F86" s="1"/>
      <c r="G86" s="1"/>
    </row>
    <row r="87" spans="1:7" ht="15.75" customHeight="1" x14ac:dyDescent="0.2">
      <c r="A87" s="1"/>
      <c r="B87" s="1"/>
      <c r="C87" s="1"/>
      <c r="D87" s="1"/>
      <c r="E87" s="1"/>
      <c r="F87" s="1"/>
      <c r="G87" s="1"/>
    </row>
    <row r="88" spans="1:7" ht="15.75" customHeight="1" x14ac:dyDescent="0.2">
      <c r="A88" s="1"/>
      <c r="B88" s="1"/>
      <c r="C88" s="1"/>
      <c r="D88" s="1"/>
      <c r="E88" s="1"/>
      <c r="F88" s="1"/>
      <c r="G88" s="1"/>
    </row>
    <row r="89" spans="1:7" ht="15.75" customHeight="1" x14ac:dyDescent="0.2">
      <c r="A89" s="1"/>
      <c r="B89" s="1"/>
      <c r="C89" s="1"/>
      <c r="D89" s="1"/>
      <c r="E89" s="1"/>
      <c r="F89" s="1"/>
      <c r="G89" s="1"/>
    </row>
    <row r="90" spans="1:7" ht="15.75" customHeight="1" x14ac:dyDescent="0.2">
      <c r="A90" s="1"/>
      <c r="B90" s="1"/>
      <c r="C90" s="1"/>
      <c r="D90" s="1"/>
      <c r="E90" s="1"/>
      <c r="F90" s="1"/>
      <c r="G90" s="1"/>
    </row>
    <row r="91" spans="1:7" ht="15.75" customHeight="1" x14ac:dyDescent="0.2">
      <c r="A91" s="1"/>
      <c r="B91" s="1"/>
      <c r="C91" s="1"/>
      <c r="D91" s="1"/>
      <c r="E91" s="1"/>
      <c r="F91" s="1"/>
      <c r="G91" s="1"/>
    </row>
    <row r="92" spans="1:7" ht="15.75" customHeight="1" x14ac:dyDescent="0.2">
      <c r="A92" s="1"/>
      <c r="B92" s="1"/>
      <c r="C92" s="1"/>
      <c r="D92" s="1"/>
      <c r="E92" s="1"/>
      <c r="F92" s="1"/>
      <c r="G92" s="1"/>
    </row>
    <row r="93" spans="1:7" ht="15.75" customHeight="1" x14ac:dyDescent="0.2">
      <c r="A93" s="1"/>
      <c r="B93" s="1"/>
      <c r="C93" s="1"/>
      <c r="D93" s="1"/>
      <c r="E93" s="1"/>
      <c r="F93" s="1"/>
      <c r="G93" s="1"/>
    </row>
    <row r="94" spans="1:7" ht="15.75" customHeight="1" x14ac:dyDescent="0.2">
      <c r="A94" s="1"/>
      <c r="B94" s="1"/>
      <c r="C94" s="1"/>
      <c r="D94" s="1"/>
      <c r="E94" s="1"/>
      <c r="F94" s="1"/>
      <c r="G94" s="1"/>
    </row>
    <row r="95" spans="1:7" ht="15.75" customHeight="1" x14ac:dyDescent="0.2">
      <c r="A95" s="1"/>
      <c r="B95" s="1"/>
      <c r="C95" s="1"/>
      <c r="D95" s="1"/>
      <c r="E95" s="1"/>
      <c r="F95" s="1"/>
      <c r="G95" s="1"/>
    </row>
    <row r="96" spans="1:7" ht="15.75" customHeight="1" x14ac:dyDescent="0.2">
      <c r="A96" s="1"/>
      <c r="B96" s="1"/>
      <c r="C96" s="1"/>
      <c r="D96" s="1"/>
      <c r="E96" s="1"/>
      <c r="F96" s="1"/>
      <c r="G96" s="1"/>
    </row>
    <row r="97" spans="1:7" ht="15.75" customHeight="1" x14ac:dyDescent="0.2">
      <c r="A97" s="1"/>
      <c r="B97" s="1"/>
      <c r="C97" s="1"/>
      <c r="D97" s="1"/>
      <c r="E97" s="1"/>
      <c r="F97" s="1"/>
      <c r="G97" s="1"/>
    </row>
    <row r="98" spans="1:7" ht="15.75" customHeight="1" x14ac:dyDescent="0.2">
      <c r="A98" s="1"/>
      <c r="B98" s="1"/>
      <c r="C98" s="1"/>
      <c r="D98" s="1"/>
      <c r="E98" s="1"/>
      <c r="F98" s="1"/>
      <c r="G98" s="1"/>
    </row>
    <row r="99" spans="1:7" ht="15.75" customHeight="1" x14ac:dyDescent="0.2">
      <c r="A99" s="1"/>
      <c r="B99" s="1"/>
      <c r="C99" s="1"/>
      <c r="D99" s="1"/>
      <c r="E99" s="1"/>
      <c r="F99" s="1"/>
      <c r="G99" s="1"/>
    </row>
    <row r="100" spans="1:7" ht="15.75" customHeight="1" x14ac:dyDescent="0.2">
      <c r="A100" s="1"/>
      <c r="B100" s="1"/>
      <c r="C100" s="1"/>
      <c r="D100" s="1"/>
      <c r="E100" s="1"/>
      <c r="F100" s="1"/>
      <c r="G100" s="1"/>
    </row>
    <row r="101" spans="1:7" ht="15.75" customHeight="1" x14ac:dyDescent="0.2">
      <c r="A101" s="1"/>
      <c r="B101" s="1"/>
      <c r="C101" s="1"/>
      <c r="D101" s="1"/>
      <c r="E101" s="1"/>
      <c r="F101" s="1"/>
      <c r="G101" s="1"/>
    </row>
    <row r="102" spans="1:7" ht="15.75" customHeight="1" x14ac:dyDescent="0.2">
      <c r="A102" s="1"/>
      <c r="B102" s="1"/>
      <c r="C102" s="1"/>
      <c r="D102" s="1"/>
      <c r="E102" s="1"/>
      <c r="F102" s="1"/>
      <c r="G102" s="1"/>
    </row>
    <row r="103" spans="1:7" ht="15.75" customHeight="1" x14ac:dyDescent="0.2">
      <c r="A103" s="1"/>
      <c r="B103" s="1"/>
      <c r="C103" s="1"/>
      <c r="D103" s="1"/>
      <c r="E103" s="1"/>
      <c r="F103" s="1"/>
      <c r="G103" s="1"/>
    </row>
    <row r="104" spans="1:7" ht="15.75" customHeight="1" x14ac:dyDescent="0.2">
      <c r="A104" s="1"/>
      <c r="B104" s="1"/>
      <c r="C104" s="1"/>
      <c r="D104" s="1"/>
      <c r="E104" s="1"/>
      <c r="F104" s="1"/>
      <c r="G104" s="1"/>
    </row>
    <row r="105" spans="1:7" ht="15.75" customHeight="1" x14ac:dyDescent="0.2">
      <c r="A105" s="1"/>
      <c r="B105" s="1"/>
      <c r="C105" s="1"/>
      <c r="D105" s="1"/>
      <c r="E105" s="1"/>
      <c r="F105" s="1"/>
      <c r="G105" s="1"/>
    </row>
    <row r="106" spans="1:7" ht="15.75" customHeight="1" x14ac:dyDescent="0.2">
      <c r="A106" s="1"/>
      <c r="B106" s="1"/>
      <c r="C106" s="1"/>
      <c r="D106" s="1"/>
      <c r="E106" s="1"/>
      <c r="F106" s="1"/>
      <c r="G106" s="1"/>
    </row>
    <row r="107" spans="1:7" ht="15.75" customHeight="1" x14ac:dyDescent="0.2">
      <c r="A107" s="1"/>
      <c r="B107" s="1"/>
      <c r="C107" s="1"/>
      <c r="D107" s="1"/>
      <c r="E107" s="1"/>
      <c r="F107" s="1"/>
      <c r="G107" s="1"/>
    </row>
    <row r="108" spans="1:7" ht="15.75" customHeight="1" x14ac:dyDescent="0.2">
      <c r="A108" s="1"/>
      <c r="B108" s="1"/>
      <c r="C108" s="1"/>
      <c r="D108" s="1"/>
      <c r="E108" s="1"/>
      <c r="F108" s="1"/>
      <c r="G108" s="1"/>
    </row>
    <row r="109" spans="1:7" ht="15.75" customHeight="1" x14ac:dyDescent="0.2">
      <c r="A109" s="1"/>
      <c r="B109" s="1"/>
      <c r="C109" s="1"/>
      <c r="D109" s="1"/>
      <c r="E109" s="1"/>
      <c r="F109" s="1"/>
      <c r="G109" s="1"/>
    </row>
    <row r="110" spans="1:7" ht="15.75" customHeight="1" x14ac:dyDescent="0.2">
      <c r="A110" s="1"/>
      <c r="B110" s="1"/>
      <c r="C110" s="1"/>
      <c r="D110" s="1"/>
      <c r="E110" s="1"/>
      <c r="F110" s="1"/>
      <c r="G110" s="1"/>
    </row>
    <row r="111" spans="1:7" ht="15.75" customHeight="1" x14ac:dyDescent="0.2">
      <c r="A111" s="1"/>
      <c r="B111" s="1"/>
      <c r="C111" s="1"/>
      <c r="D111" s="1"/>
      <c r="E111" s="1"/>
      <c r="F111" s="1"/>
      <c r="G111" s="1"/>
    </row>
    <row r="112" spans="1:7" ht="15.75" customHeight="1" x14ac:dyDescent="0.2">
      <c r="A112" s="1"/>
      <c r="B112" s="1"/>
      <c r="C112" s="1"/>
      <c r="D112" s="1"/>
      <c r="E112" s="1"/>
      <c r="F112" s="1"/>
      <c r="G112" s="1"/>
    </row>
    <row r="113" spans="1:7" ht="15.75" customHeight="1" x14ac:dyDescent="0.2">
      <c r="A113" s="1"/>
      <c r="B113" s="1"/>
      <c r="C113" s="1"/>
      <c r="D113" s="1"/>
      <c r="E113" s="1"/>
      <c r="F113" s="1"/>
      <c r="G113" s="1"/>
    </row>
    <row r="114" spans="1:7" ht="15.75" customHeight="1" x14ac:dyDescent="0.2">
      <c r="A114" s="1"/>
      <c r="B114" s="1"/>
      <c r="C114" s="1"/>
      <c r="D114" s="1"/>
      <c r="E114" s="1"/>
      <c r="F114" s="1"/>
      <c r="G114" s="1"/>
    </row>
    <row r="115" spans="1:7" ht="15.75" customHeight="1" x14ac:dyDescent="0.2">
      <c r="A115" s="1"/>
      <c r="B115" s="1"/>
      <c r="C115" s="1"/>
      <c r="D115" s="1"/>
      <c r="E115" s="1"/>
      <c r="F115" s="1"/>
      <c r="G115" s="1"/>
    </row>
    <row r="116" spans="1:7" ht="15.75" customHeight="1" x14ac:dyDescent="0.2">
      <c r="A116" s="1"/>
      <c r="B116" s="1"/>
      <c r="C116" s="1"/>
      <c r="D116" s="1"/>
      <c r="E116" s="1"/>
      <c r="F116" s="1"/>
      <c r="G116" s="1"/>
    </row>
    <row r="117" spans="1:7" ht="15.75" customHeight="1" x14ac:dyDescent="0.2">
      <c r="A117" s="1"/>
      <c r="B117" s="1"/>
      <c r="C117" s="1"/>
      <c r="D117" s="1"/>
      <c r="E117" s="1"/>
      <c r="F117" s="1"/>
      <c r="G117" s="1"/>
    </row>
    <row r="118" spans="1:7" ht="15.75" customHeight="1" x14ac:dyDescent="0.2">
      <c r="A118" s="1"/>
      <c r="B118" s="1"/>
      <c r="C118" s="1"/>
      <c r="D118" s="1"/>
      <c r="E118" s="1"/>
      <c r="F118" s="1"/>
      <c r="G118" s="1"/>
    </row>
    <row r="119" spans="1:7" ht="15.75" customHeight="1" x14ac:dyDescent="0.2">
      <c r="A119" s="1"/>
      <c r="B119" s="1"/>
      <c r="C119" s="1"/>
      <c r="D119" s="1"/>
      <c r="E119" s="1"/>
      <c r="F119" s="1"/>
      <c r="G119" s="1"/>
    </row>
    <row r="120" spans="1:7" ht="15.75" customHeight="1" x14ac:dyDescent="0.2">
      <c r="A120" s="1"/>
      <c r="B120" s="1"/>
      <c r="C120" s="1"/>
      <c r="D120" s="1"/>
      <c r="E120" s="1"/>
      <c r="F120" s="1"/>
      <c r="G120" s="1"/>
    </row>
    <row r="121" spans="1:7" ht="15.75" customHeight="1" x14ac:dyDescent="0.2">
      <c r="A121" s="1"/>
      <c r="B121" s="1"/>
      <c r="C121" s="1"/>
      <c r="D121" s="1"/>
      <c r="E121" s="1"/>
      <c r="F121" s="1"/>
      <c r="G121" s="1"/>
    </row>
    <row r="122" spans="1:7" ht="15.75" customHeight="1" x14ac:dyDescent="0.2">
      <c r="A122" s="1"/>
      <c r="B122" s="1"/>
      <c r="C122" s="1"/>
      <c r="D122" s="1"/>
      <c r="E122" s="1"/>
      <c r="F122" s="1"/>
      <c r="G122" s="1"/>
    </row>
    <row r="123" spans="1:7" ht="15.75" customHeight="1" x14ac:dyDescent="0.2">
      <c r="A123" s="1"/>
      <c r="B123" s="1"/>
      <c r="C123" s="1"/>
      <c r="D123" s="1"/>
      <c r="E123" s="1"/>
      <c r="F123" s="1"/>
      <c r="G123" s="1"/>
    </row>
    <row r="124" spans="1:7" ht="15.75" customHeight="1" x14ac:dyDescent="0.2">
      <c r="A124" s="1"/>
      <c r="B124" s="1"/>
      <c r="C124" s="1"/>
      <c r="D124" s="1"/>
      <c r="E124" s="1"/>
      <c r="F124" s="1"/>
      <c r="G124" s="1"/>
    </row>
    <row r="125" spans="1:7" ht="15.75" customHeight="1" x14ac:dyDescent="0.2">
      <c r="A125" s="1"/>
      <c r="B125" s="1"/>
      <c r="C125" s="1"/>
      <c r="D125" s="1"/>
      <c r="E125" s="1"/>
      <c r="F125" s="1"/>
      <c r="G125" s="1"/>
    </row>
    <row r="126" spans="1:7" ht="15.75" customHeight="1" x14ac:dyDescent="0.2">
      <c r="A126" s="1"/>
      <c r="B126" s="1"/>
      <c r="C126" s="1"/>
      <c r="D126" s="1"/>
      <c r="E126" s="1"/>
      <c r="F126" s="1"/>
      <c r="G126" s="1"/>
    </row>
    <row r="127" spans="1:7" ht="15.75" customHeight="1" x14ac:dyDescent="0.2">
      <c r="A127" s="1"/>
      <c r="B127" s="1"/>
      <c r="C127" s="1"/>
      <c r="D127" s="1"/>
      <c r="E127" s="1"/>
      <c r="F127" s="1"/>
      <c r="G127" s="1"/>
    </row>
    <row r="128" spans="1:7" ht="15.75" customHeight="1" x14ac:dyDescent="0.2">
      <c r="A128" s="1"/>
      <c r="B128" s="1"/>
      <c r="C128" s="1"/>
      <c r="D128" s="1"/>
      <c r="E128" s="1"/>
      <c r="F128" s="1"/>
      <c r="G128" s="1"/>
    </row>
    <row r="129" spans="1:7" ht="15.75" customHeight="1" x14ac:dyDescent="0.2">
      <c r="A129" s="1"/>
      <c r="B129" s="1"/>
      <c r="C129" s="1"/>
      <c r="D129" s="1"/>
      <c r="E129" s="1"/>
      <c r="F129" s="1"/>
      <c r="G129" s="1"/>
    </row>
    <row r="130" spans="1:7" ht="15.75" customHeight="1" x14ac:dyDescent="0.2">
      <c r="A130" s="1"/>
      <c r="B130" s="1"/>
      <c r="C130" s="1"/>
      <c r="D130" s="1"/>
      <c r="E130" s="1"/>
      <c r="F130" s="1"/>
      <c r="G130" s="1"/>
    </row>
    <row r="131" spans="1:7" ht="15.75" customHeight="1" x14ac:dyDescent="0.2">
      <c r="A131" s="1"/>
      <c r="B131" s="1"/>
      <c r="C131" s="1"/>
      <c r="D131" s="1"/>
      <c r="E131" s="1"/>
      <c r="F131" s="1"/>
      <c r="G131" s="1"/>
    </row>
    <row r="132" spans="1:7" ht="15.75" customHeight="1" x14ac:dyDescent="0.2">
      <c r="A132" s="1"/>
      <c r="B132" s="1"/>
      <c r="C132" s="1"/>
      <c r="D132" s="1"/>
      <c r="E132" s="1"/>
      <c r="F132" s="1"/>
      <c r="G132" s="1"/>
    </row>
    <row r="133" spans="1:7" ht="15.75" customHeight="1" x14ac:dyDescent="0.2">
      <c r="A133" s="1"/>
      <c r="B133" s="1"/>
      <c r="C133" s="1"/>
      <c r="D133" s="1"/>
      <c r="E133" s="1"/>
      <c r="F133" s="1"/>
      <c r="G133" s="1"/>
    </row>
    <row r="134" spans="1:7" ht="15.75" customHeight="1" x14ac:dyDescent="0.2">
      <c r="A134" s="1"/>
      <c r="B134" s="1"/>
      <c r="C134" s="1"/>
      <c r="D134" s="1"/>
      <c r="E134" s="1"/>
      <c r="F134" s="1"/>
      <c r="G134" s="1"/>
    </row>
    <row r="135" spans="1:7" ht="15.75" customHeight="1" x14ac:dyDescent="0.2">
      <c r="A135" s="1"/>
      <c r="B135" s="1"/>
      <c r="C135" s="1"/>
      <c r="D135" s="1"/>
      <c r="E135" s="1"/>
      <c r="F135" s="1"/>
      <c r="G135" s="1"/>
    </row>
    <row r="136" spans="1:7" ht="15.75" customHeight="1" x14ac:dyDescent="0.2">
      <c r="A136" s="1"/>
      <c r="B136" s="1"/>
      <c r="C136" s="1"/>
      <c r="D136" s="1"/>
      <c r="E136" s="1"/>
      <c r="F136" s="1"/>
      <c r="G136" s="1"/>
    </row>
    <row r="137" spans="1:7" ht="15.75" customHeight="1" x14ac:dyDescent="0.2">
      <c r="A137" s="1"/>
      <c r="B137" s="1"/>
      <c r="C137" s="1"/>
      <c r="D137" s="1"/>
      <c r="E137" s="1"/>
      <c r="F137" s="1"/>
      <c r="G137" s="1"/>
    </row>
    <row r="138" spans="1:7" ht="15.75" customHeight="1" x14ac:dyDescent="0.2">
      <c r="A138" s="1"/>
      <c r="B138" s="1"/>
      <c r="C138" s="1"/>
      <c r="D138" s="1"/>
      <c r="E138" s="1"/>
      <c r="F138" s="1"/>
      <c r="G138" s="1"/>
    </row>
    <row r="139" spans="1:7" ht="15.75" customHeight="1" x14ac:dyDescent="0.2">
      <c r="A139" s="1"/>
      <c r="B139" s="1"/>
      <c r="C139" s="1"/>
      <c r="D139" s="1"/>
      <c r="E139" s="1"/>
      <c r="F139" s="1"/>
      <c r="G139" s="1"/>
    </row>
    <row r="140" spans="1:7" ht="15.75" customHeight="1" x14ac:dyDescent="0.2">
      <c r="A140" s="1"/>
      <c r="B140" s="1"/>
      <c r="C140" s="1"/>
      <c r="D140" s="1"/>
      <c r="E140" s="1"/>
      <c r="F140" s="1"/>
      <c r="G140" s="1"/>
    </row>
    <row r="141" spans="1:7" ht="15.75" customHeight="1" x14ac:dyDescent="0.2">
      <c r="A141" s="1"/>
      <c r="B141" s="1"/>
      <c r="C141" s="1"/>
      <c r="D141" s="1"/>
      <c r="E141" s="1"/>
      <c r="F141" s="1"/>
      <c r="G141" s="1"/>
    </row>
    <row r="142" spans="1:7" ht="15.75" customHeight="1" x14ac:dyDescent="0.2">
      <c r="A142" s="1"/>
      <c r="B142" s="1"/>
      <c r="C142" s="1"/>
      <c r="D142" s="1"/>
      <c r="E142" s="1"/>
      <c r="F142" s="1"/>
      <c r="G142" s="1"/>
    </row>
    <row r="143" spans="1:7" ht="15.75" customHeight="1" x14ac:dyDescent="0.2">
      <c r="A143" s="1"/>
      <c r="B143" s="1"/>
      <c r="C143" s="1"/>
      <c r="D143" s="1"/>
      <c r="E143" s="1"/>
      <c r="F143" s="1"/>
      <c r="G143" s="1"/>
    </row>
    <row r="144" spans="1:7" ht="15.75" customHeight="1" x14ac:dyDescent="0.2">
      <c r="A144" s="1"/>
      <c r="B144" s="1"/>
      <c r="C144" s="1"/>
      <c r="D144" s="1"/>
      <c r="E144" s="1"/>
      <c r="F144" s="1"/>
      <c r="G144" s="1"/>
    </row>
    <row r="145" spans="1:7" ht="15.75" customHeight="1" x14ac:dyDescent="0.2">
      <c r="A145" s="1"/>
      <c r="B145" s="1"/>
      <c r="C145" s="1"/>
      <c r="D145" s="1"/>
      <c r="E145" s="1"/>
      <c r="F145" s="1"/>
      <c r="G145" s="1"/>
    </row>
    <row r="146" spans="1:7" ht="15.75" customHeight="1" x14ac:dyDescent="0.2">
      <c r="A146" s="1"/>
      <c r="B146" s="1"/>
      <c r="C146" s="1"/>
      <c r="D146" s="1"/>
      <c r="E146" s="1"/>
      <c r="F146" s="1"/>
      <c r="G146" s="1"/>
    </row>
    <row r="147" spans="1:7" ht="15.75" customHeight="1" x14ac:dyDescent="0.2">
      <c r="A147" s="1"/>
      <c r="B147" s="1"/>
      <c r="C147" s="1"/>
      <c r="D147" s="1"/>
      <c r="E147" s="1"/>
      <c r="F147" s="1"/>
      <c r="G147" s="1"/>
    </row>
    <row r="148" spans="1:7" ht="15.75" customHeight="1" x14ac:dyDescent="0.2">
      <c r="A148" s="1"/>
      <c r="B148" s="1"/>
      <c r="C148" s="1"/>
      <c r="D148" s="1"/>
      <c r="E148" s="1"/>
      <c r="F148" s="1"/>
      <c r="G148" s="1"/>
    </row>
    <row r="149" spans="1:7" ht="15.75" customHeight="1" x14ac:dyDescent="0.2">
      <c r="A149" s="1"/>
      <c r="B149" s="1"/>
      <c r="C149" s="1"/>
      <c r="D149" s="1"/>
      <c r="E149" s="1"/>
      <c r="F149" s="1"/>
      <c r="G149" s="1"/>
    </row>
    <row r="150" spans="1:7" ht="15.75" customHeight="1" x14ac:dyDescent="0.2">
      <c r="A150" s="1"/>
      <c r="B150" s="1"/>
      <c r="C150" s="1"/>
      <c r="D150" s="1"/>
      <c r="E150" s="1"/>
      <c r="F150" s="1"/>
      <c r="G150" s="1"/>
    </row>
    <row r="151" spans="1:7" ht="15.75" customHeight="1" x14ac:dyDescent="0.2">
      <c r="A151" s="1"/>
      <c r="B151" s="1"/>
      <c r="C151" s="1"/>
      <c r="D151" s="1"/>
      <c r="E151" s="1"/>
      <c r="F151" s="1"/>
      <c r="G151" s="1"/>
    </row>
    <row r="152" spans="1:7" ht="15.75" customHeight="1" x14ac:dyDescent="0.2">
      <c r="A152" s="1"/>
      <c r="B152" s="1"/>
      <c r="C152" s="1"/>
      <c r="D152" s="1"/>
      <c r="E152" s="1"/>
      <c r="F152" s="1"/>
      <c r="G152" s="1"/>
    </row>
    <row r="153" spans="1:7" ht="15.75" customHeight="1" x14ac:dyDescent="0.2">
      <c r="A153" s="1"/>
      <c r="B153" s="1"/>
      <c r="C153" s="1"/>
      <c r="D153" s="1"/>
      <c r="E153" s="1"/>
      <c r="F153" s="1"/>
      <c r="G153" s="1"/>
    </row>
    <row r="154" spans="1:7" ht="15.75" customHeight="1" x14ac:dyDescent="0.2">
      <c r="A154" s="1"/>
      <c r="B154" s="1"/>
      <c r="C154" s="1"/>
      <c r="D154" s="1"/>
      <c r="E154" s="1"/>
      <c r="F154" s="1"/>
      <c r="G154" s="1"/>
    </row>
    <row r="155" spans="1:7" ht="15.75" customHeight="1" x14ac:dyDescent="0.2">
      <c r="A155" s="1"/>
      <c r="B155" s="1"/>
      <c r="C155" s="1"/>
      <c r="D155" s="1"/>
      <c r="E155" s="1"/>
      <c r="F155" s="1"/>
      <c r="G155" s="1"/>
    </row>
    <row r="156" spans="1:7" ht="15.75" customHeight="1" x14ac:dyDescent="0.2">
      <c r="A156" s="1"/>
      <c r="B156" s="1"/>
      <c r="C156" s="1"/>
      <c r="D156" s="1"/>
      <c r="E156" s="1"/>
      <c r="F156" s="1"/>
      <c r="G156" s="1"/>
    </row>
    <row r="157" spans="1:7" ht="15.75" customHeight="1" x14ac:dyDescent="0.2">
      <c r="A157" s="1"/>
      <c r="B157" s="1"/>
      <c r="C157" s="1"/>
      <c r="D157" s="1"/>
      <c r="E157" s="1"/>
      <c r="F157" s="1"/>
      <c r="G157" s="1"/>
    </row>
    <row r="158" spans="1:7" ht="15.75" customHeight="1" x14ac:dyDescent="0.2">
      <c r="A158" s="1"/>
      <c r="B158" s="1"/>
      <c r="C158" s="1"/>
      <c r="D158" s="1"/>
      <c r="E158" s="1"/>
      <c r="F158" s="1"/>
      <c r="G158" s="1"/>
    </row>
    <row r="159" spans="1:7" ht="15.75" customHeight="1" x14ac:dyDescent="0.2">
      <c r="A159" s="1"/>
      <c r="B159" s="1"/>
      <c r="C159" s="1"/>
      <c r="D159" s="1"/>
      <c r="E159" s="1"/>
      <c r="F159" s="1"/>
      <c r="G159" s="1"/>
    </row>
    <row r="160" spans="1:7" ht="15.75" customHeight="1" x14ac:dyDescent="0.2">
      <c r="A160" s="1"/>
      <c r="B160" s="1"/>
      <c r="C160" s="1"/>
      <c r="D160" s="1"/>
      <c r="E160" s="1"/>
      <c r="F160" s="1"/>
      <c r="G160" s="1"/>
    </row>
    <row r="161" spans="1:7" ht="15.75" customHeight="1" x14ac:dyDescent="0.2">
      <c r="A161" s="1"/>
      <c r="B161" s="1"/>
      <c r="C161" s="1"/>
      <c r="D161" s="1"/>
      <c r="E161" s="1"/>
      <c r="F161" s="1"/>
      <c r="G161" s="1"/>
    </row>
    <row r="162" spans="1:7" ht="15.75" customHeight="1" x14ac:dyDescent="0.2">
      <c r="A162" s="1"/>
      <c r="B162" s="1"/>
      <c r="C162" s="1"/>
      <c r="D162" s="1"/>
      <c r="E162" s="1"/>
      <c r="F162" s="1"/>
      <c r="G162" s="1"/>
    </row>
    <row r="163" spans="1:7" ht="15.75" customHeight="1" x14ac:dyDescent="0.2">
      <c r="A163" s="1"/>
      <c r="B163" s="1"/>
      <c r="C163" s="1"/>
      <c r="D163" s="1"/>
      <c r="E163" s="1"/>
      <c r="F163" s="1"/>
      <c r="G163" s="1"/>
    </row>
    <row r="164" spans="1:7" ht="15.75" customHeight="1" x14ac:dyDescent="0.2">
      <c r="A164" s="1"/>
      <c r="B164" s="1"/>
      <c r="C164" s="1"/>
      <c r="D164" s="1"/>
      <c r="E164" s="1"/>
      <c r="F164" s="1"/>
      <c r="G164" s="1"/>
    </row>
    <row r="165" spans="1:7" ht="15.75" customHeight="1" x14ac:dyDescent="0.2">
      <c r="A165" s="1"/>
      <c r="B165" s="1"/>
      <c r="C165" s="1"/>
      <c r="D165" s="1"/>
      <c r="E165" s="1"/>
      <c r="F165" s="1"/>
      <c r="G165" s="1"/>
    </row>
    <row r="166" spans="1:7" ht="15.75" customHeight="1" x14ac:dyDescent="0.2">
      <c r="A166" s="1"/>
      <c r="B166" s="1"/>
      <c r="C166" s="1"/>
      <c r="D166" s="1"/>
      <c r="E166" s="1"/>
      <c r="F166" s="1"/>
      <c r="G166" s="1"/>
    </row>
    <row r="167" spans="1:7" ht="15.75" customHeight="1" x14ac:dyDescent="0.2">
      <c r="A167" s="1"/>
      <c r="B167" s="1"/>
      <c r="C167" s="1"/>
      <c r="D167" s="1"/>
      <c r="E167" s="1"/>
      <c r="F167" s="1"/>
      <c r="G167" s="1"/>
    </row>
    <row r="168" spans="1:7" ht="15.75" customHeight="1" x14ac:dyDescent="0.2">
      <c r="A168" s="1"/>
      <c r="B168" s="1"/>
      <c r="C168" s="1"/>
      <c r="D168" s="1"/>
      <c r="E168" s="1"/>
      <c r="F168" s="1"/>
      <c r="G168" s="1"/>
    </row>
    <row r="169" spans="1:7" ht="15.75" customHeight="1" x14ac:dyDescent="0.2">
      <c r="A169" s="1"/>
      <c r="B169" s="1"/>
      <c r="C169" s="1"/>
      <c r="D169" s="1"/>
      <c r="E169" s="1"/>
      <c r="F169" s="1"/>
      <c r="G169" s="1"/>
    </row>
    <row r="170" spans="1:7" ht="15.75" customHeight="1" x14ac:dyDescent="0.2">
      <c r="A170" s="1"/>
      <c r="B170" s="1"/>
      <c r="C170" s="1"/>
      <c r="D170" s="1"/>
      <c r="E170" s="1"/>
      <c r="F170" s="1"/>
      <c r="G170" s="1"/>
    </row>
    <row r="171" spans="1:7" ht="15.75" customHeight="1" x14ac:dyDescent="0.2">
      <c r="A171" s="1"/>
      <c r="B171" s="1"/>
      <c r="C171" s="1"/>
      <c r="D171" s="1"/>
      <c r="E171" s="1"/>
      <c r="F171" s="1"/>
      <c r="G171" s="1"/>
    </row>
    <row r="172" spans="1:7" ht="15.75" customHeight="1" x14ac:dyDescent="0.2">
      <c r="A172" s="1"/>
      <c r="B172" s="1"/>
      <c r="C172" s="1"/>
      <c r="D172" s="1"/>
      <c r="E172" s="1"/>
      <c r="F172" s="1"/>
      <c r="G172" s="1"/>
    </row>
    <row r="173" spans="1:7" ht="15.75" customHeight="1" x14ac:dyDescent="0.2">
      <c r="A173" s="1"/>
      <c r="B173" s="1"/>
      <c r="C173" s="1"/>
      <c r="D173" s="1"/>
      <c r="E173" s="1"/>
      <c r="F173" s="1"/>
      <c r="G173" s="1"/>
    </row>
    <row r="174" spans="1:7" ht="15.75" customHeight="1" x14ac:dyDescent="0.2">
      <c r="A174" s="1"/>
      <c r="B174" s="1"/>
      <c r="C174" s="1"/>
      <c r="D174" s="1"/>
      <c r="E174" s="1"/>
      <c r="F174" s="1"/>
      <c r="G174" s="1"/>
    </row>
    <row r="175" spans="1:7" ht="15.75" customHeight="1" x14ac:dyDescent="0.2">
      <c r="A175" s="1"/>
      <c r="B175" s="1"/>
      <c r="C175" s="1"/>
      <c r="D175" s="1"/>
      <c r="E175" s="1"/>
      <c r="F175" s="1"/>
      <c r="G175" s="1"/>
    </row>
    <row r="176" spans="1:7" ht="15.75" customHeight="1" x14ac:dyDescent="0.2">
      <c r="A176" s="1"/>
      <c r="B176" s="1"/>
      <c r="C176" s="1"/>
      <c r="D176" s="1"/>
      <c r="E176" s="1"/>
      <c r="F176" s="1"/>
      <c r="G176" s="1"/>
    </row>
    <row r="177" spans="1:7" ht="15.75" customHeight="1" x14ac:dyDescent="0.2">
      <c r="A177" s="1"/>
      <c r="B177" s="1"/>
      <c r="C177" s="1"/>
      <c r="D177" s="1"/>
      <c r="E177" s="1"/>
      <c r="F177" s="1"/>
      <c r="G177" s="1"/>
    </row>
    <row r="178" spans="1:7" ht="15.75" customHeight="1" x14ac:dyDescent="0.2">
      <c r="A178" s="1"/>
      <c r="B178" s="1"/>
      <c r="C178" s="1"/>
      <c r="D178" s="1"/>
      <c r="E178" s="1"/>
      <c r="F178" s="1"/>
      <c r="G178" s="1"/>
    </row>
    <row r="179" spans="1:7" ht="15.75" customHeight="1" x14ac:dyDescent="0.2">
      <c r="A179" s="1"/>
      <c r="B179" s="1"/>
      <c r="C179" s="1"/>
      <c r="D179" s="1"/>
      <c r="E179" s="1"/>
      <c r="F179" s="1"/>
      <c r="G179" s="1"/>
    </row>
    <row r="180" spans="1:7" ht="15.75" customHeight="1" x14ac:dyDescent="0.2">
      <c r="A180" s="1"/>
      <c r="B180" s="1"/>
      <c r="C180" s="1"/>
      <c r="D180" s="1"/>
      <c r="E180" s="1"/>
      <c r="F180" s="1"/>
      <c r="G180" s="1"/>
    </row>
    <row r="181" spans="1:7" ht="15.75" customHeight="1" x14ac:dyDescent="0.2">
      <c r="A181" s="1"/>
      <c r="B181" s="1"/>
      <c r="C181" s="1"/>
      <c r="D181" s="1"/>
      <c r="E181" s="1"/>
      <c r="F181" s="1"/>
      <c r="G181" s="1"/>
    </row>
    <row r="182" spans="1:7" ht="15.75" customHeight="1" x14ac:dyDescent="0.2">
      <c r="A182" s="1"/>
      <c r="B182" s="1"/>
      <c r="C182" s="1"/>
      <c r="D182" s="1"/>
      <c r="E182" s="1"/>
      <c r="F182" s="1"/>
      <c r="G182" s="1"/>
    </row>
    <row r="183" spans="1:7" ht="15.75" customHeight="1" x14ac:dyDescent="0.2">
      <c r="A183" s="1"/>
      <c r="B183" s="1"/>
      <c r="C183" s="1"/>
      <c r="D183" s="1"/>
      <c r="E183" s="1"/>
      <c r="F183" s="1"/>
      <c r="G183" s="1"/>
    </row>
    <row r="184" spans="1:7" ht="15.75" customHeight="1" x14ac:dyDescent="0.2">
      <c r="A184" s="1"/>
      <c r="B184" s="1"/>
      <c r="C184" s="1"/>
      <c r="D184" s="1"/>
      <c r="E184" s="1"/>
      <c r="F184" s="1"/>
      <c r="G184" s="1"/>
    </row>
    <row r="185" spans="1:7" ht="15.75" customHeight="1" x14ac:dyDescent="0.2">
      <c r="A185" s="1"/>
      <c r="B185" s="1"/>
      <c r="C185" s="1"/>
      <c r="D185" s="1"/>
      <c r="E185" s="1"/>
      <c r="F185" s="1"/>
      <c r="G185" s="1"/>
    </row>
    <row r="186" spans="1:7" ht="15.75" customHeight="1" x14ac:dyDescent="0.2">
      <c r="A186" s="1"/>
      <c r="B186" s="1"/>
      <c r="C186" s="1"/>
      <c r="D186" s="1"/>
      <c r="E186" s="1"/>
      <c r="F186" s="1"/>
      <c r="G186" s="1"/>
    </row>
    <row r="187" spans="1:7" ht="15.75" customHeight="1" x14ac:dyDescent="0.2">
      <c r="A187" s="1"/>
      <c r="B187" s="1"/>
      <c r="C187" s="1"/>
      <c r="D187" s="1"/>
      <c r="E187" s="1"/>
      <c r="F187" s="1"/>
      <c r="G187" s="1"/>
    </row>
    <row r="188" spans="1:7" ht="15.75" customHeight="1" x14ac:dyDescent="0.2">
      <c r="A188" s="1"/>
      <c r="B188" s="1"/>
      <c r="C188" s="1"/>
      <c r="D188" s="1"/>
      <c r="E188" s="1"/>
      <c r="F188" s="1"/>
      <c r="G188" s="1"/>
    </row>
    <row r="189" spans="1:7" ht="15.75" customHeight="1" x14ac:dyDescent="0.2">
      <c r="A189" s="1"/>
      <c r="B189" s="1"/>
      <c r="C189" s="1"/>
      <c r="D189" s="1"/>
      <c r="E189" s="1"/>
      <c r="F189" s="1"/>
      <c r="G189" s="1"/>
    </row>
    <row r="190" spans="1:7" ht="15.75" customHeight="1" x14ac:dyDescent="0.2">
      <c r="A190" s="1"/>
      <c r="B190" s="1"/>
      <c r="C190" s="1"/>
      <c r="D190" s="1"/>
      <c r="E190" s="1"/>
      <c r="F190" s="1"/>
      <c r="G190" s="1"/>
    </row>
    <row r="191" spans="1:7" ht="15.75" customHeight="1" x14ac:dyDescent="0.2">
      <c r="A191" s="1"/>
      <c r="B191" s="1"/>
      <c r="C191" s="1"/>
      <c r="D191" s="1"/>
      <c r="E191" s="1"/>
      <c r="F191" s="1"/>
      <c r="G191" s="1"/>
    </row>
    <row r="192" spans="1:7" ht="15.75" customHeight="1" x14ac:dyDescent="0.2">
      <c r="A192" s="1"/>
      <c r="B192" s="1"/>
      <c r="C192" s="1"/>
      <c r="D192" s="1"/>
      <c r="E192" s="1"/>
      <c r="F192" s="1"/>
      <c r="G192" s="1"/>
    </row>
    <row r="193" spans="1:7" ht="15.75" customHeight="1" x14ac:dyDescent="0.2">
      <c r="A193" s="1"/>
      <c r="B193" s="1"/>
      <c r="C193" s="1"/>
      <c r="D193" s="1"/>
      <c r="E193" s="1"/>
      <c r="F193" s="1"/>
      <c r="G193" s="1"/>
    </row>
    <row r="194" spans="1:7" ht="15.75" customHeight="1" x14ac:dyDescent="0.2">
      <c r="A194" s="1"/>
      <c r="B194" s="1"/>
      <c r="C194" s="1"/>
      <c r="D194" s="1"/>
      <c r="E194" s="1"/>
      <c r="F194" s="1"/>
      <c r="G194" s="1"/>
    </row>
    <row r="195" spans="1:7" ht="15.75" customHeight="1" x14ac:dyDescent="0.2">
      <c r="A195" s="1"/>
      <c r="B195" s="1"/>
      <c r="C195" s="1"/>
      <c r="D195" s="1"/>
      <c r="E195" s="1"/>
      <c r="F195" s="1"/>
      <c r="G195" s="1"/>
    </row>
    <row r="196" spans="1:7" ht="15.75" customHeight="1" x14ac:dyDescent="0.2">
      <c r="A196" s="1"/>
      <c r="B196" s="1"/>
      <c r="C196" s="1"/>
      <c r="D196" s="1"/>
      <c r="E196" s="1"/>
      <c r="F196" s="1"/>
      <c r="G196" s="1"/>
    </row>
    <row r="197" spans="1:7" ht="15.75" customHeight="1" x14ac:dyDescent="0.2">
      <c r="A197" s="1"/>
      <c r="B197" s="1"/>
      <c r="C197" s="1"/>
      <c r="D197" s="1"/>
      <c r="E197" s="1"/>
      <c r="F197" s="1"/>
      <c r="G197" s="1"/>
    </row>
    <row r="198" spans="1:7" ht="15.75" customHeight="1" x14ac:dyDescent="0.2">
      <c r="A198" s="1"/>
      <c r="B198" s="1"/>
      <c r="C198" s="1"/>
      <c r="D198" s="1"/>
      <c r="E198" s="1"/>
      <c r="F198" s="1"/>
      <c r="G198" s="1"/>
    </row>
    <row r="199" spans="1:7" ht="15.75" customHeight="1" x14ac:dyDescent="0.2">
      <c r="A199" s="1"/>
      <c r="B199" s="1"/>
      <c r="C199" s="1"/>
      <c r="D199" s="1"/>
      <c r="E199" s="1"/>
      <c r="F199" s="1"/>
      <c r="G199" s="1"/>
    </row>
    <row r="200" spans="1:7" ht="15.75" customHeight="1" x14ac:dyDescent="0.2">
      <c r="A200" s="1"/>
      <c r="B200" s="1"/>
      <c r="C200" s="1"/>
      <c r="D200" s="1"/>
      <c r="E200" s="1"/>
      <c r="F200" s="1"/>
      <c r="G200" s="1"/>
    </row>
    <row r="201" spans="1:7" ht="15.75" customHeight="1" x14ac:dyDescent="0.2">
      <c r="A201" s="1"/>
      <c r="B201" s="1"/>
      <c r="C201" s="1"/>
      <c r="D201" s="1"/>
      <c r="E201" s="1"/>
      <c r="F201" s="1"/>
      <c r="G201" s="1"/>
    </row>
    <row r="202" spans="1:7" ht="15.75" customHeight="1" x14ac:dyDescent="0.2">
      <c r="A202" s="1"/>
      <c r="B202" s="1"/>
      <c r="C202" s="1"/>
      <c r="D202" s="1"/>
      <c r="E202" s="1"/>
      <c r="F202" s="1"/>
      <c r="G202" s="1"/>
    </row>
    <row r="203" spans="1:7" ht="15.75" customHeight="1" x14ac:dyDescent="0.2">
      <c r="A203" s="1"/>
      <c r="B203" s="1"/>
      <c r="C203" s="1"/>
      <c r="D203" s="1"/>
      <c r="E203" s="1"/>
      <c r="F203" s="1"/>
      <c r="G203" s="1"/>
    </row>
    <row r="204" spans="1:7" ht="15.75" customHeight="1" x14ac:dyDescent="0.2">
      <c r="A204" s="1"/>
      <c r="B204" s="1"/>
      <c r="C204" s="1"/>
      <c r="D204" s="1"/>
      <c r="E204" s="1"/>
      <c r="F204" s="1"/>
      <c r="G204" s="1"/>
    </row>
    <row r="205" spans="1:7" ht="15.75" customHeight="1" x14ac:dyDescent="0.2">
      <c r="A205" s="1"/>
      <c r="B205" s="1"/>
      <c r="C205" s="1"/>
      <c r="D205" s="1"/>
      <c r="E205" s="1"/>
      <c r="F205" s="1"/>
      <c r="G205" s="1"/>
    </row>
    <row r="206" spans="1:7" ht="15.75" customHeight="1" x14ac:dyDescent="0.2">
      <c r="A206" s="1"/>
      <c r="B206" s="1"/>
      <c r="C206" s="1"/>
      <c r="D206" s="1"/>
      <c r="E206" s="1"/>
      <c r="F206" s="1"/>
      <c r="G206" s="1"/>
    </row>
    <row r="207" spans="1:7" ht="15.75" customHeight="1" x14ac:dyDescent="0.2">
      <c r="A207" s="1"/>
      <c r="B207" s="1"/>
      <c r="C207" s="1"/>
      <c r="D207" s="1"/>
      <c r="E207" s="1"/>
      <c r="F207" s="1"/>
      <c r="G207" s="1"/>
    </row>
    <row r="208" spans="1:7" ht="15.75" customHeight="1" x14ac:dyDescent="0.2">
      <c r="A208" s="1"/>
      <c r="B208" s="1"/>
      <c r="C208" s="1"/>
      <c r="D208" s="1"/>
      <c r="E208" s="1"/>
      <c r="F208" s="1"/>
      <c r="G208" s="1"/>
    </row>
    <row r="209" spans="1:7" ht="15.75" customHeight="1" x14ac:dyDescent="0.2">
      <c r="A209" s="1"/>
      <c r="B209" s="1"/>
      <c r="C209" s="1"/>
      <c r="D209" s="1"/>
      <c r="E209" s="1"/>
      <c r="F209" s="1"/>
      <c r="G209" s="1"/>
    </row>
    <row r="210" spans="1:7" ht="15.75" customHeight="1" x14ac:dyDescent="0.2">
      <c r="A210" s="1"/>
      <c r="B210" s="1"/>
      <c r="C210" s="1"/>
      <c r="D210" s="1"/>
      <c r="E210" s="1"/>
      <c r="F210" s="1"/>
      <c r="G210" s="1"/>
    </row>
    <row r="211" spans="1:7" ht="15.75" customHeight="1" x14ac:dyDescent="0.2">
      <c r="A211" s="1"/>
      <c r="B211" s="1"/>
      <c r="C211" s="1"/>
      <c r="D211" s="1"/>
      <c r="E211" s="1"/>
      <c r="F211" s="1"/>
      <c r="G211" s="1"/>
    </row>
    <row r="212" spans="1:7" ht="15.75" customHeight="1" x14ac:dyDescent="0.2">
      <c r="A212" s="1"/>
      <c r="B212" s="1"/>
      <c r="C212" s="1"/>
      <c r="D212" s="1"/>
      <c r="E212" s="1"/>
      <c r="F212" s="1"/>
      <c r="G212" s="1"/>
    </row>
    <row r="213" spans="1:7" ht="15.75" customHeight="1" x14ac:dyDescent="0.2">
      <c r="A213" s="1"/>
      <c r="B213" s="1"/>
      <c r="C213" s="1"/>
      <c r="D213" s="1"/>
      <c r="E213" s="1"/>
      <c r="F213" s="1"/>
      <c r="G213" s="1"/>
    </row>
    <row r="214" spans="1:7" ht="15.75" customHeight="1" x14ac:dyDescent="0.2">
      <c r="A214" s="1"/>
      <c r="B214" s="1"/>
      <c r="C214" s="1"/>
      <c r="D214" s="1"/>
      <c r="E214" s="1"/>
      <c r="F214" s="1"/>
      <c r="G214" s="1"/>
    </row>
    <row r="215" spans="1:7" ht="15.75" customHeight="1" x14ac:dyDescent="0.2">
      <c r="A215" s="1"/>
      <c r="B215" s="1"/>
      <c r="C215" s="1"/>
      <c r="D215" s="1"/>
      <c r="E215" s="1"/>
      <c r="F215" s="1"/>
      <c r="G215" s="1"/>
    </row>
    <row r="216" spans="1:7" ht="15.75" customHeight="1" x14ac:dyDescent="0.2">
      <c r="A216" s="1"/>
      <c r="B216" s="1"/>
      <c r="C216" s="1"/>
      <c r="D216" s="1"/>
      <c r="E216" s="1"/>
      <c r="F216" s="1"/>
      <c r="G216" s="1"/>
    </row>
    <row r="217" spans="1:7" ht="15.75" customHeight="1" x14ac:dyDescent="0.2">
      <c r="A217" s="1"/>
      <c r="B217" s="1"/>
      <c r="C217" s="1"/>
      <c r="D217" s="1"/>
      <c r="E217" s="1"/>
      <c r="F217" s="1"/>
      <c r="G217" s="1"/>
    </row>
    <row r="218" spans="1:7" ht="15.75" customHeight="1" x14ac:dyDescent="0.2">
      <c r="A218" s="1"/>
      <c r="B218" s="1"/>
      <c r="C218" s="1"/>
      <c r="D218" s="1"/>
      <c r="E218" s="1"/>
      <c r="F218" s="1"/>
      <c r="G218" s="1"/>
    </row>
    <row r="219" spans="1:7" ht="15.75" customHeight="1" x14ac:dyDescent="0.2">
      <c r="A219" s="1"/>
      <c r="B219" s="1"/>
      <c r="C219" s="1"/>
      <c r="D219" s="1"/>
      <c r="E219" s="1"/>
      <c r="F219" s="1"/>
      <c r="G219" s="1"/>
    </row>
    <row r="220" spans="1:7" ht="15.75" customHeight="1" x14ac:dyDescent="0.2">
      <c r="A220" s="1"/>
      <c r="B220" s="1"/>
      <c r="C220" s="1"/>
      <c r="D220" s="1"/>
      <c r="E220" s="1"/>
      <c r="F220" s="1"/>
      <c r="G220" s="1"/>
    </row>
    <row r="221" spans="1:7" ht="15.75" customHeight="1" x14ac:dyDescent="0.2">
      <c r="A221" s="1"/>
      <c r="B221" s="1"/>
      <c r="C221" s="1"/>
      <c r="D221" s="1"/>
      <c r="E221" s="1"/>
      <c r="F221" s="1"/>
      <c r="G221" s="1"/>
    </row>
    <row r="222" spans="1:7" ht="15.75" customHeight="1" x14ac:dyDescent="0.2">
      <c r="A222" s="1"/>
      <c r="B222" s="1"/>
      <c r="C222" s="1"/>
      <c r="D222" s="1"/>
      <c r="E222" s="1"/>
      <c r="F222" s="1"/>
      <c r="G222" s="1"/>
    </row>
    <row r="223" spans="1:7" ht="15.75" customHeight="1" x14ac:dyDescent="0.2">
      <c r="A223" s="1"/>
      <c r="B223" s="1"/>
      <c r="C223" s="1"/>
      <c r="D223" s="1"/>
      <c r="E223" s="1"/>
      <c r="F223" s="1"/>
      <c r="G223" s="1"/>
    </row>
    <row r="224" spans="1:7" ht="15.75" customHeight="1" x14ac:dyDescent="0.2">
      <c r="A224" s="1"/>
      <c r="B224" s="1"/>
      <c r="C224" s="1"/>
      <c r="D224" s="1"/>
      <c r="E224" s="1"/>
      <c r="F224" s="1"/>
      <c r="G224" s="1"/>
    </row>
    <row r="225" spans="1:7" ht="15.75" customHeight="1" x14ac:dyDescent="0.2">
      <c r="A225" s="1"/>
      <c r="B225" s="1"/>
      <c r="C225" s="1"/>
      <c r="D225" s="1"/>
      <c r="E225" s="1"/>
      <c r="F225" s="1"/>
      <c r="G225" s="1"/>
    </row>
    <row r="226" spans="1:7" ht="15.75" customHeight="1" x14ac:dyDescent="0.2">
      <c r="A226" s="1"/>
      <c r="B226" s="1"/>
      <c r="C226" s="1"/>
      <c r="D226" s="1"/>
      <c r="E226" s="1"/>
      <c r="F226" s="1"/>
      <c r="G226" s="1"/>
    </row>
    <row r="227" spans="1:7" ht="15.75" customHeight="1" x14ac:dyDescent="0.2">
      <c r="A227" s="1"/>
      <c r="B227" s="1"/>
      <c r="C227" s="1"/>
      <c r="D227" s="1"/>
      <c r="E227" s="1"/>
      <c r="F227" s="1"/>
      <c r="G227" s="1"/>
    </row>
    <row r="228" spans="1:7" ht="15.75" customHeight="1" x14ac:dyDescent="0.2">
      <c r="A228" s="1"/>
      <c r="B228" s="1"/>
      <c r="C228" s="1"/>
      <c r="D228" s="1"/>
      <c r="E228" s="1"/>
      <c r="F228" s="1"/>
      <c r="G228" s="1"/>
    </row>
    <row r="229" spans="1:7" ht="15.75" customHeight="1" x14ac:dyDescent="0.2">
      <c r="A229" s="1"/>
      <c r="B229" s="1"/>
      <c r="C229" s="1"/>
      <c r="D229" s="1"/>
      <c r="E229" s="1"/>
      <c r="F229" s="1"/>
      <c r="G229" s="1"/>
    </row>
    <row r="230" spans="1:7" ht="15.75" customHeight="1" x14ac:dyDescent="0.2">
      <c r="A230" s="1"/>
      <c r="B230" s="1"/>
      <c r="C230" s="1"/>
      <c r="D230" s="1"/>
      <c r="E230" s="1"/>
      <c r="F230" s="1"/>
      <c r="G230" s="1"/>
    </row>
    <row r="231" spans="1:7" ht="15.75" customHeight="1" x14ac:dyDescent="0.2">
      <c r="A231" s="1"/>
      <c r="B231" s="1"/>
      <c r="C231" s="1"/>
      <c r="D231" s="1"/>
      <c r="E231" s="1"/>
      <c r="F231" s="1"/>
      <c r="G231" s="1"/>
    </row>
    <row r="232" spans="1:7" ht="15.75" customHeight="1" x14ac:dyDescent="0.2">
      <c r="A232" s="1"/>
      <c r="B232" s="1"/>
      <c r="C232" s="1"/>
      <c r="D232" s="1"/>
      <c r="E232" s="1"/>
      <c r="F232" s="1"/>
      <c r="G232" s="1"/>
    </row>
    <row r="233" spans="1:7" ht="15.75" customHeight="1" x14ac:dyDescent="0.2">
      <c r="A233" s="1"/>
      <c r="B233" s="1"/>
      <c r="C233" s="1"/>
      <c r="D233" s="1"/>
      <c r="E233" s="1"/>
      <c r="F233" s="1"/>
      <c r="G233" s="1"/>
    </row>
    <row r="234" spans="1:7" ht="15.75" customHeight="1" x14ac:dyDescent="0.2">
      <c r="A234" s="1"/>
      <c r="B234" s="1"/>
      <c r="C234" s="1"/>
      <c r="D234" s="1"/>
      <c r="E234" s="1"/>
      <c r="F234" s="1"/>
      <c r="G234" s="1"/>
    </row>
    <row r="235" spans="1:7" ht="15.75" customHeight="1" x14ac:dyDescent="0.2">
      <c r="A235" s="1"/>
      <c r="B235" s="1"/>
      <c r="C235" s="1"/>
      <c r="D235" s="1"/>
      <c r="E235" s="1"/>
      <c r="F235" s="1"/>
      <c r="G235" s="1"/>
    </row>
    <row r="236" spans="1:7" ht="15.75" customHeight="1" x14ac:dyDescent="0.2">
      <c r="A236" s="1"/>
      <c r="B236" s="1"/>
      <c r="C236" s="1"/>
      <c r="D236" s="1"/>
      <c r="E236" s="1"/>
      <c r="F236" s="1"/>
      <c r="G236" s="1"/>
    </row>
    <row r="237" spans="1:7" ht="15.75" customHeight="1" x14ac:dyDescent="0.2">
      <c r="A237" s="1"/>
      <c r="B237" s="1"/>
      <c r="C237" s="1"/>
      <c r="D237" s="1"/>
      <c r="E237" s="1"/>
      <c r="F237" s="1"/>
      <c r="G237" s="1"/>
    </row>
    <row r="238" spans="1:7" ht="15.75" customHeight="1" x14ac:dyDescent="0.2">
      <c r="A238" s="1"/>
      <c r="B238" s="1"/>
      <c r="C238" s="1"/>
      <c r="D238" s="1"/>
      <c r="E238" s="1"/>
      <c r="F238" s="1"/>
      <c r="G238" s="1"/>
    </row>
    <row r="239" spans="1:7" ht="15.75" customHeight="1" x14ac:dyDescent="0.2">
      <c r="A239" s="1"/>
      <c r="B239" s="1"/>
      <c r="C239" s="1"/>
      <c r="D239" s="1"/>
      <c r="E239" s="1"/>
      <c r="F239" s="1"/>
      <c r="G239" s="1"/>
    </row>
    <row r="240" spans="1:7" ht="15.75" customHeight="1" x14ac:dyDescent="0.2">
      <c r="A240" s="1"/>
      <c r="B240" s="1"/>
      <c r="C240" s="1"/>
      <c r="D240" s="1"/>
      <c r="E240" s="1"/>
      <c r="F240" s="1"/>
      <c r="G240" s="1"/>
    </row>
    <row r="241" spans="1:7" ht="15.75" customHeight="1" x14ac:dyDescent="0.2">
      <c r="A241" s="1"/>
      <c r="B241" s="1"/>
      <c r="C241" s="1"/>
      <c r="D241" s="1"/>
      <c r="E241" s="1"/>
      <c r="F241" s="1"/>
      <c r="G241" s="1"/>
    </row>
    <row r="242" spans="1:7" ht="15.75" customHeight="1" x14ac:dyDescent="0.2">
      <c r="A242" s="1"/>
      <c r="B242" s="1"/>
      <c r="C242" s="1"/>
      <c r="D242" s="1"/>
      <c r="E242" s="1"/>
      <c r="F242" s="1"/>
      <c r="G242" s="1"/>
    </row>
    <row r="243" spans="1:7" ht="15.75" customHeight="1" x14ac:dyDescent="0.2">
      <c r="A243" s="1"/>
      <c r="B243" s="1"/>
      <c r="C243" s="1"/>
      <c r="D243" s="1"/>
      <c r="E243" s="1"/>
      <c r="F243" s="1"/>
      <c r="G243" s="1"/>
    </row>
    <row r="244" spans="1:7" ht="15.75" customHeight="1" x14ac:dyDescent="0.2"/>
    <row r="245" spans="1:7" ht="15.75" customHeight="1" x14ac:dyDescent="0.2"/>
    <row r="246" spans="1:7" ht="15.75" customHeight="1" x14ac:dyDescent="0.2"/>
    <row r="247" spans="1:7" ht="15.75" customHeight="1" x14ac:dyDescent="0.2"/>
    <row r="248" spans="1:7" ht="15.75" customHeight="1" x14ac:dyDescent="0.2"/>
    <row r="249" spans="1:7" ht="15.75" customHeight="1" x14ac:dyDescent="0.2"/>
    <row r="250" spans="1:7" ht="15.75" customHeight="1" x14ac:dyDescent="0.2"/>
    <row r="251" spans="1:7" ht="15.75" customHeight="1" x14ac:dyDescent="0.2"/>
    <row r="252" spans="1:7" ht="15.75" customHeight="1" x14ac:dyDescent="0.2"/>
    <row r="253" spans="1:7" ht="15.75" customHeight="1" x14ac:dyDescent="0.2"/>
    <row r="254" spans="1:7" ht="15.75" customHeight="1" x14ac:dyDescent="0.2"/>
    <row r="255" spans="1:7" ht="15.75" customHeight="1" x14ac:dyDescent="0.2"/>
    <row r="256" spans="1:7"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27">
    <mergeCell ref="B2:G2"/>
    <mergeCell ref="B4:G4"/>
    <mergeCell ref="B5:G5"/>
    <mergeCell ref="B6:G6"/>
    <mergeCell ref="C7:G7"/>
    <mergeCell ref="H7:M7"/>
    <mergeCell ref="C8:G8"/>
    <mergeCell ref="C9:G9"/>
    <mergeCell ref="C10:G10"/>
    <mergeCell ref="C11:G11"/>
    <mergeCell ref="B12:D12"/>
    <mergeCell ref="C14:G14"/>
    <mergeCell ref="C17:G17"/>
    <mergeCell ref="C19:G19"/>
    <mergeCell ref="C34:G34"/>
    <mergeCell ref="C21:G21"/>
    <mergeCell ref="C23:G23"/>
    <mergeCell ref="B24:D24"/>
    <mergeCell ref="C26:G26"/>
    <mergeCell ref="C28:G28"/>
    <mergeCell ref="C30:G30"/>
    <mergeCell ref="C32:G32"/>
    <mergeCell ref="C36:G36"/>
    <mergeCell ref="C38:G38"/>
    <mergeCell ref="B40:D40"/>
    <mergeCell ref="B41:G41"/>
    <mergeCell ref="C43:G43"/>
  </mergeCells>
  <pageMargins left="0.7" right="0.7" top="0.75" bottom="0.75" header="0" footer="0"/>
  <pageSetup orientation="landscape"/>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4A86E8"/>
    <outlinePr summaryBelow="0" summaryRight="0"/>
  </sheetPr>
  <dimension ref="A1:X1000"/>
  <sheetViews>
    <sheetView tabSelected="1" workbookViewId="0">
      <pane xSplit="2" ySplit="1" topLeftCell="C2" activePane="bottomRight" state="frozen"/>
      <selection pane="topRight" activeCell="C1" sqref="C1"/>
      <selection pane="bottomLeft" activeCell="A2" sqref="A2"/>
      <selection pane="bottomRight" activeCell="D6" sqref="D6"/>
    </sheetView>
  </sheetViews>
  <sheetFormatPr baseColWidth="10" defaultColWidth="12.5703125" defaultRowHeight="15" customHeight="1" x14ac:dyDescent="0.2"/>
  <cols>
    <col min="1" max="1" width="13.42578125" customWidth="1"/>
    <col min="2" max="2" width="17" customWidth="1"/>
    <col min="3" max="6" width="15.28515625" customWidth="1"/>
    <col min="7" max="7" width="18.7109375" customWidth="1"/>
    <col min="8" max="9" width="18.140625" customWidth="1"/>
    <col min="10" max="10" width="19.7109375" customWidth="1"/>
    <col min="11" max="11" width="17.42578125" customWidth="1"/>
    <col min="12" max="12" width="13.140625" customWidth="1"/>
    <col min="13" max="15" width="13" customWidth="1"/>
    <col min="16" max="16" width="14.85546875" customWidth="1"/>
    <col min="17" max="19" width="17.85546875" customWidth="1"/>
    <col min="20" max="20" width="13.42578125" customWidth="1"/>
    <col min="21" max="21" width="19.140625" customWidth="1"/>
    <col min="22" max="22" width="15.42578125" customWidth="1"/>
  </cols>
  <sheetData>
    <row r="1" spans="1:24" ht="46.5" customHeight="1" x14ac:dyDescent="0.2">
      <c r="A1" s="36" t="s">
        <v>40</v>
      </c>
      <c r="B1" s="37" t="s">
        <v>41</v>
      </c>
      <c r="C1" s="38" t="s">
        <v>42</v>
      </c>
      <c r="D1" s="38" t="s">
        <v>43</v>
      </c>
      <c r="E1" s="38" t="s">
        <v>44</v>
      </c>
      <c r="F1" s="38" t="s">
        <v>45</v>
      </c>
      <c r="G1" s="38" t="s">
        <v>46</v>
      </c>
      <c r="H1" s="38" t="s">
        <v>47</v>
      </c>
      <c r="I1" s="38" t="s">
        <v>48</v>
      </c>
      <c r="J1" s="39" t="s">
        <v>49</v>
      </c>
      <c r="K1" s="39" t="s">
        <v>50</v>
      </c>
      <c r="L1" s="40" t="s">
        <v>51</v>
      </c>
      <c r="M1" s="40" t="s">
        <v>52</v>
      </c>
      <c r="N1" s="41" t="s">
        <v>53</v>
      </c>
      <c r="O1" s="41" t="s">
        <v>54</v>
      </c>
      <c r="P1" s="40" t="s">
        <v>55</v>
      </c>
      <c r="Q1" s="41" t="s">
        <v>56</v>
      </c>
      <c r="R1" s="41" t="s">
        <v>57</v>
      </c>
      <c r="S1" s="42" t="s">
        <v>58</v>
      </c>
      <c r="T1" s="42" t="s">
        <v>59</v>
      </c>
      <c r="U1" s="42" t="s">
        <v>60</v>
      </c>
      <c r="V1" s="42" t="s">
        <v>61</v>
      </c>
      <c r="W1" s="43"/>
      <c r="X1" s="43"/>
    </row>
    <row r="2" spans="1:24" ht="15.75" customHeight="1" x14ac:dyDescent="0.25">
      <c r="A2" s="44">
        <v>1</v>
      </c>
      <c r="B2" s="45"/>
      <c r="C2" s="46">
        <v>46</v>
      </c>
      <c r="D2" s="46" t="s">
        <v>62</v>
      </c>
      <c r="E2" s="46" t="s">
        <v>63</v>
      </c>
      <c r="F2" s="46"/>
      <c r="G2" s="46" t="s">
        <v>64</v>
      </c>
      <c r="H2" s="46"/>
      <c r="I2" s="46" t="s">
        <v>65</v>
      </c>
      <c r="J2" s="46" t="s">
        <v>66</v>
      </c>
      <c r="K2" s="46" t="s">
        <v>67</v>
      </c>
      <c r="L2" s="47"/>
      <c r="M2" s="48"/>
      <c r="N2" s="49">
        <v>2.0275569999999998</v>
      </c>
      <c r="O2" s="49">
        <v>-73.840466000000006</v>
      </c>
      <c r="P2" s="48"/>
      <c r="Q2" s="50">
        <v>3212206531</v>
      </c>
      <c r="R2" s="51" t="s">
        <v>68</v>
      </c>
      <c r="S2" s="50" t="s">
        <v>69</v>
      </c>
      <c r="T2" s="52">
        <v>45972</v>
      </c>
      <c r="U2" s="46" t="s">
        <v>70</v>
      </c>
      <c r="V2" s="53"/>
      <c r="W2" s="54"/>
      <c r="X2" s="54"/>
    </row>
    <row r="3" spans="1:24" ht="15.75" customHeight="1" x14ac:dyDescent="0.25">
      <c r="A3" s="44">
        <v>2</v>
      </c>
      <c r="B3" s="45"/>
      <c r="C3" s="46">
        <v>39</v>
      </c>
      <c r="D3" s="46" t="s">
        <v>71</v>
      </c>
      <c r="E3" s="46" t="s">
        <v>63</v>
      </c>
      <c r="F3" s="46"/>
      <c r="G3" s="46" t="s">
        <v>72</v>
      </c>
      <c r="H3" s="46"/>
      <c r="I3" s="46" t="s">
        <v>73</v>
      </c>
      <c r="J3" s="46" t="s">
        <v>66</v>
      </c>
      <c r="K3" s="46" t="s">
        <v>67</v>
      </c>
      <c r="L3" s="47"/>
      <c r="M3" s="48"/>
      <c r="N3" s="49">
        <v>2.0343469999999999</v>
      </c>
      <c r="O3" s="49">
        <v>-73.836138000000005</v>
      </c>
      <c r="P3" s="48"/>
      <c r="Q3" s="50">
        <v>3214724266</v>
      </c>
      <c r="R3" s="51" t="s">
        <v>74</v>
      </c>
      <c r="S3" s="50" t="s">
        <v>69</v>
      </c>
      <c r="T3" s="52">
        <v>45972</v>
      </c>
      <c r="U3" s="46" t="s">
        <v>70</v>
      </c>
      <c r="V3" s="53"/>
      <c r="W3" s="54"/>
      <c r="X3" s="54"/>
    </row>
    <row r="4" spans="1:24" ht="15.75" customHeight="1" x14ac:dyDescent="0.2">
      <c r="A4" s="44">
        <v>3</v>
      </c>
      <c r="B4" s="45"/>
      <c r="C4" s="46">
        <v>60</v>
      </c>
      <c r="D4" s="46" t="s">
        <v>62</v>
      </c>
      <c r="E4" s="46" t="s">
        <v>63</v>
      </c>
      <c r="F4" s="46"/>
      <c r="G4" s="46" t="s">
        <v>75</v>
      </c>
      <c r="H4" s="46"/>
      <c r="I4" s="46" t="s">
        <v>76</v>
      </c>
      <c r="J4" s="46" t="s">
        <v>66</v>
      </c>
      <c r="K4" s="46" t="s">
        <v>67</v>
      </c>
      <c r="L4" s="47"/>
      <c r="M4" s="47"/>
      <c r="N4" s="49">
        <v>2.0685470000000001</v>
      </c>
      <c r="O4" s="49">
        <v>-73.838125000000005</v>
      </c>
      <c r="P4" s="47"/>
      <c r="Q4" s="50">
        <v>3182158988</v>
      </c>
      <c r="R4" s="50"/>
      <c r="S4" s="50" t="s">
        <v>69</v>
      </c>
      <c r="T4" s="52">
        <v>45972</v>
      </c>
      <c r="U4" s="46" t="s">
        <v>70</v>
      </c>
      <c r="V4" s="55"/>
      <c r="W4" s="54"/>
      <c r="X4" s="54"/>
    </row>
    <row r="5" spans="1:24" ht="15.75" customHeight="1" x14ac:dyDescent="0.2">
      <c r="A5" s="44">
        <v>4</v>
      </c>
      <c r="B5" s="45"/>
      <c r="C5" s="56">
        <v>54</v>
      </c>
      <c r="D5" s="56" t="s">
        <v>62</v>
      </c>
      <c r="E5" s="57" t="s">
        <v>63</v>
      </c>
      <c r="F5" s="56"/>
      <c r="G5" s="46" t="s">
        <v>77</v>
      </c>
      <c r="H5" s="46"/>
      <c r="I5" s="46" t="s">
        <v>78</v>
      </c>
      <c r="J5" s="46" t="s">
        <v>66</v>
      </c>
      <c r="K5" s="46" t="s">
        <v>67</v>
      </c>
      <c r="L5" s="47"/>
      <c r="M5" s="48"/>
      <c r="N5" s="49">
        <v>2.009566</v>
      </c>
      <c r="O5" s="49">
        <v>-73.838856000000007</v>
      </c>
      <c r="P5" s="48"/>
      <c r="Q5" s="50">
        <v>3128732351</v>
      </c>
      <c r="R5" s="50"/>
      <c r="S5" s="50" t="s">
        <v>69</v>
      </c>
      <c r="T5" s="52">
        <v>45972</v>
      </c>
      <c r="U5" s="46" t="s">
        <v>70</v>
      </c>
      <c r="V5" s="53"/>
      <c r="W5" s="54"/>
      <c r="X5" s="54"/>
    </row>
    <row r="6" spans="1:24" ht="15.75" customHeight="1" x14ac:dyDescent="0.2">
      <c r="A6" s="44">
        <v>5</v>
      </c>
      <c r="B6" s="45"/>
      <c r="C6" s="56">
        <v>28</v>
      </c>
      <c r="D6" s="56" t="s">
        <v>71</v>
      </c>
      <c r="E6" s="57" t="s">
        <v>63</v>
      </c>
      <c r="F6" s="56"/>
      <c r="G6" s="46" t="s">
        <v>72</v>
      </c>
      <c r="H6" s="46"/>
      <c r="I6" s="46" t="s">
        <v>79</v>
      </c>
      <c r="J6" s="46" t="s">
        <v>66</v>
      </c>
      <c r="K6" s="46" t="s">
        <v>67</v>
      </c>
      <c r="L6" s="47"/>
      <c r="M6" s="48"/>
      <c r="N6" s="49">
        <v>2.0768170000000001</v>
      </c>
      <c r="O6" s="49">
        <v>-73.848232999999993</v>
      </c>
      <c r="P6" s="48"/>
      <c r="Q6" s="50">
        <v>3204593755</v>
      </c>
      <c r="R6" s="50"/>
      <c r="S6" s="50" t="s">
        <v>69</v>
      </c>
      <c r="T6" s="52">
        <v>45972</v>
      </c>
      <c r="U6" s="46" t="s">
        <v>70</v>
      </c>
      <c r="V6" s="53"/>
      <c r="W6" s="54"/>
      <c r="X6" s="54"/>
    </row>
    <row r="7" spans="1:24" ht="15.75" customHeight="1" x14ac:dyDescent="0.2">
      <c r="A7" s="44">
        <v>6</v>
      </c>
      <c r="B7" s="45"/>
      <c r="C7" s="56">
        <v>45</v>
      </c>
      <c r="D7" s="56" t="s">
        <v>71</v>
      </c>
      <c r="E7" s="57" t="s">
        <v>63</v>
      </c>
      <c r="F7" s="56"/>
      <c r="G7" s="46" t="s">
        <v>72</v>
      </c>
      <c r="H7" s="46"/>
      <c r="I7" s="46" t="s">
        <v>80</v>
      </c>
      <c r="J7" s="50" t="s">
        <v>66</v>
      </c>
      <c r="K7" s="46" t="s">
        <v>67</v>
      </c>
      <c r="L7" s="47"/>
      <c r="M7" s="48"/>
      <c r="N7" s="49">
        <v>2.0285329999999999</v>
      </c>
      <c r="O7" s="49">
        <v>-73.826183</v>
      </c>
      <c r="P7" s="48"/>
      <c r="Q7" s="50">
        <v>3123578512</v>
      </c>
      <c r="R7" s="50"/>
      <c r="S7" s="50" t="s">
        <v>69</v>
      </c>
      <c r="T7" s="52">
        <v>45972</v>
      </c>
      <c r="U7" s="46" t="s">
        <v>70</v>
      </c>
      <c r="V7" s="53"/>
      <c r="W7" s="54"/>
      <c r="X7" s="54"/>
    </row>
    <row r="8" spans="1:24" ht="15.75" customHeight="1" x14ac:dyDescent="0.2">
      <c r="A8" s="44">
        <v>7</v>
      </c>
      <c r="B8" s="45"/>
      <c r="C8" s="56">
        <v>58</v>
      </c>
      <c r="D8" s="56" t="s">
        <v>62</v>
      </c>
      <c r="E8" s="57" t="s">
        <v>63</v>
      </c>
      <c r="F8" s="56"/>
      <c r="G8" s="50" t="s">
        <v>81</v>
      </c>
      <c r="H8" s="46"/>
      <c r="I8" s="46" t="s">
        <v>82</v>
      </c>
      <c r="J8" s="50" t="s">
        <v>66</v>
      </c>
      <c r="K8" s="46" t="s">
        <v>67</v>
      </c>
      <c r="L8" s="47"/>
      <c r="M8" s="48"/>
      <c r="N8" s="58">
        <v>2.0615239999999999</v>
      </c>
      <c r="O8" s="58">
        <v>-73.844161</v>
      </c>
      <c r="P8" s="48"/>
      <c r="Q8" s="50">
        <v>3135961014</v>
      </c>
      <c r="R8" s="50"/>
      <c r="S8" s="50" t="s">
        <v>69</v>
      </c>
      <c r="T8" s="52">
        <v>45972</v>
      </c>
      <c r="U8" s="46" t="s">
        <v>70</v>
      </c>
      <c r="V8" s="55"/>
      <c r="W8" s="54"/>
      <c r="X8" s="54"/>
    </row>
    <row r="9" spans="1:24" ht="15.75" customHeight="1" x14ac:dyDescent="0.2">
      <c r="A9" s="44">
        <v>8</v>
      </c>
      <c r="B9" s="45"/>
      <c r="C9" s="59">
        <v>42</v>
      </c>
      <c r="D9" s="50" t="s">
        <v>62</v>
      </c>
      <c r="E9" s="50" t="s">
        <v>63</v>
      </c>
      <c r="G9" s="50" t="s">
        <v>64</v>
      </c>
      <c r="H9" s="46"/>
      <c r="I9" s="46" t="s">
        <v>83</v>
      </c>
      <c r="J9" s="46" t="s">
        <v>66</v>
      </c>
      <c r="K9" s="46" t="s">
        <v>67</v>
      </c>
      <c r="L9" s="47"/>
      <c r="M9" s="47"/>
      <c r="N9" s="58">
        <v>2.0343469999999999</v>
      </c>
      <c r="O9" s="58">
        <v>-73.836138000000005</v>
      </c>
      <c r="P9" s="47"/>
      <c r="Q9" s="50">
        <v>3219178883</v>
      </c>
      <c r="R9" s="50"/>
      <c r="S9" s="50" t="s">
        <v>69</v>
      </c>
      <c r="T9" s="52">
        <v>45972</v>
      </c>
      <c r="U9" s="46" t="s">
        <v>70</v>
      </c>
      <c r="V9" s="55"/>
      <c r="W9" s="54"/>
      <c r="X9" s="54"/>
    </row>
    <row r="10" spans="1:24" ht="15.75" customHeight="1" x14ac:dyDescent="0.25">
      <c r="A10" s="44">
        <v>9</v>
      </c>
      <c r="B10" s="45"/>
      <c r="C10" s="56">
        <v>37</v>
      </c>
      <c r="D10" s="56" t="s">
        <v>62</v>
      </c>
      <c r="E10" s="57" t="s">
        <v>63</v>
      </c>
      <c r="F10" s="56"/>
      <c r="G10" s="50" t="s">
        <v>64</v>
      </c>
      <c r="H10" s="46"/>
      <c r="I10" s="46" t="s">
        <v>84</v>
      </c>
      <c r="J10" s="46" t="s">
        <v>66</v>
      </c>
      <c r="K10" s="46" t="s">
        <v>67</v>
      </c>
      <c r="L10" s="47"/>
      <c r="M10" s="47"/>
      <c r="N10" s="58">
        <v>2.017652</v>
      </c>
      <c r="O10" s="58">
        <v>-73.843243000000001</v>
      </c>
      <c r="P10" s="47"/>
      <c r="Q10" s="50">
        <v>3127299910</v>
      </c>
      <c r="R10" s="51" t="s">
        <v>85</v>
      </c>
      <c r="S10" s="50" t="s">
        <v>69</v>
      </c>
      <c r="T10" s="52">
        <v>45972</v>
      </c>
      <c r="U10" s="46" t="s">
        <v>70</v>
      </c>
      <c r="V10" s="55"/>
      <c r="W10" s="54"/>
      <c r="X10" s="54"/>
    </row>
    <row r="11" spans="1:24" ht="15.75" customHeight="1" x14ac:dyDescent="0.2">
      <c r="A11" s="44">
        <v>10</v>
      </c>
      <c r="B11" s="45"/>
      <c r="C11" s="46">
        <v>26</v>
      </c>
      <c r="D11" s="46" t="s">
        <v>71</v>
      </c>
      <c r="E11" s="46" t="s">
        <v>63</v>
      </c>
      <c r="F11" s="46"/>
      <c r="G11" s="50" t="s">
        <v>64</v>
      </c>
      <c r="H11" s="46"/>
      <c r="I11" s="46" t="s">
        <v>86</v>
      </c>
      <c r="J11" s="46" t="s">
        <v>66</v>
      </c>
      <c r="K11" s="46" t="s">
        <v>67</v>
      </c>
      <c r="L11" s="47"/>
      <c r="M11" s="47"/>
      <c r="N11" s="58">
        <v>2.0642719999999999</v>
      </c>
      <c r="O11" s="58">
        <v>-73.842089000000001</v>
      </c>
      <c r="P11" s="47"/>
      <c r="Q11" s="50">
        <v>3222971813</v>
      </c>
      <c r="R11" s="50"/>
      <c r="S11" s="50" t="s">
        <v>69</v>
      </c>
      <c r="T11" s="52">
        <v>45972</v>
      </c>
      <c r="U11" s="46" t="s">
        <v>70</v>
      </c>
      <c r="V11" s="55"/>
      <c r="W11" s="54"/>
      <c r="X11" s="54"/>
    </row>
    <row r="12" spans="1:24" ht="15.75" customHeight="1" x14ac:dyDescent="0.25">
      <c r="A12" s="44">
        <v>11</v>
      </c>
      <c r="B12" s="45"/>
      <c r="C12" s="46">
        <v>33</v>
      </c>
      <c r="D12" s="46" t="s">
        <v>71</v>
      </c>
      <c r="E12" s="46" t="s">
        <v>63</v>
      </c>
      <c r="F12" s="46"/>
      <c r="G12" s="46" t="s">
        <v>64</v>
      </c>
      <c r="H12" s="46"/>
      <c r="I12" s="46" t="s">
        <v>87</v>
      </c>
      <c r="J12" s="46" t="s">
        <v>66</v>
      </c>
      <c r="K12" s="46" t="s">
        <v>67</v>
      </c>
      <c r="L12" s="47"/>
      <c r="M12" s="48"/>
      <c r="N12" s="58">
        <v>2.0275569999999998</v>
      </c>
      <c r="O12" s="58">
        <v>-73.840466000000006</v>
      </c>
      <c r="P12" s="47"/>
      <c r="Q12" s="50">
        <v>3228939650</v>
      </c>
      <c r="R12" s="51" t="s">
        <v>88</v>
      </c>
      <c r="S12" s="50" t="s">
        <v>69</v>
      </c>
      <c r="T12" s="52">
        <v>45972</v>
      </c>
      <c r="U12" s="46" t="s">
        <v>70</v>
      </c>
      <c r="V12" s="55"/>
      <c r="W12" s="54"/>
      <c r="X12" s="54"/>
    </row>
    <row r="13" spans="1:24" ht="15.75" customHeight="1" x14ac:dyDescent="0.2">
      <c r="A13" s="44">
        <v>12</v>
      </c>
      <c r="B13" s="45"/>
      <c r="C13" s="46">
        <v>36</v>
      </c>
      <c r="D13" s="46" t="s">
        <v>62</v>
      </c>
      <c r="E13" s="46" t="s">
        <v>63</v>
      </c>
      <c r="F13" s="46"/>
      <c r="G13" s="50" t="s">
        <v>64</v>
      </c>
      <c r="H13" s="46"/>
      <c r="I13" s="46" t="s">
        <v>89</v>
      </c>
      <c r="J13" s="46" t="s">
        <v>66</v>
      </c>
      <c r="K13" s="46" t="s">
        <v>67</v>
      </c>
      <c r="L13" s="47"/>
      <c r="M13" s="47"/>
      <c r="N13" s="58">
        <v>2.0725449999999999</v>
      </c>
      <c r="O13" s="58">
        <v>-73.854007999999993</v>
      </c>
      <c r="P13" s="47"/>
      <c r="Q13" s="50">
        <v>3208833511</v>
      </c>
      <c r="R13" s="50" t="s">
        <v>90</v>
      </c>
      <c r="S13" s="50" t="s">
        <v>69</v>
      </c>
      <c r="T13" s="52">
        <v>45972</v>
      </c>
      <c r="U13" s="46" t="s">
        <v>70</v>
      </c>
      <c r="V13" s="50"/>
      <c r="W13" s="54"/>
      <c r="X13" s="54"/>
    </row>
    <row r="14" spans="1:24" ht="15.75" customHeight="1" x14ac:dyDescent="0.2">
      <c r="A14" s="44">
        <v>13</v>
      </c>
      <c r="B14" s="45"/>
      <c r="C14" s="46">
        <v>32</v>
      </c>
      <c r="D14" s="46" t="s">
        <v>62</v>
      </c>
      <c r="E14" s="46" t="s">
        <v>63</v>
      </c>
      <c r="F14" s="46"/>
      <c r="G14" s="50" t="s">
        <v>64</v>
      </c>
      <c r="H14" s="46"/>
      <c r="I14" s="46" t="s">
        <v>91</v>
      </c>
      <c r="J14" s="46" t="s">
        <v>66</v>
      </c>
      <c r="K14" s="46" t="s">
        <v>67</v>
      </c>
      <c r="L14" s="47"/>
      <c r="M14" s="47"/>
      <c r="N14" s="58">
        <v>2.0642719999999999</v>
      </c>
      <c r="O14" s="58">
        <v>-73.842089000000001</v>
      </c>
      <c r="P14" s="47"/>
      <c r="Q14" s="50">
        <v>3212971813</v>
      </c>
      <c r="R14" s="50"/>
      <c r="S14" s="50" t="s">
        <v>69</v>
      </c>
      <c r="T14" s="52">
        <v>45972</v>
      </c>
      <c r="U14" s="46" t="s">
        <v>70</v>
      </c>
      <c r="V14" s="55"/>
      <c r="W14" s="54"/>
      <c r="X14" s="54"/>
    </row>
    <row r="15" spans="1:24" ht="15.75" customHeight="1" x14ac:dyDescent="0.2">
      <c r="A15" s="44">
        <v>14</v>
      </c>
      <c r="B15" s="45"/>
      <c r="C15" s="46">
        <v>86</v>
      </c>
      <c r="D15" s="46" t="s">
        <v>62</v>
      </c>
      <c r="E15" s="46" t="s">
        <v>63</v>
      </c>
      <c r="F15" s="46"/>
      <c r="G15" s="50" t="s">
        <v>64</v>
      </c>
      <c r="H15" s="46"/>
      <c r="I15" s="46" t="s">
        <v>92</v>
      </c>
      <c r="J15" s="46" t="s">
        <v>66</v>
      </c>
      <c r="K15" s="46" t="s">
        <v>67</v>
      </c>
      <c r="L15" s="47"/>
      <c r="M15" s="48"/>
      <c r="N15" s="58">
        <v>2.0715919999999999</v>
      </c>
      <c r="O15" s="58">
        <v>-73.843086999999997</v>
      </c>
      <c r="P15" s="48"/>
      <c r="Q15" s="50">
        <v>3202137879</v>
      </c>
      <c r="R15" s="50"/>
      <c r="S15" s="50" t="s">
        <v>69</v>
      </c>
      <c r="T15" s="52">
        <v>45972</v>
      </c>
      <c r="U15" s="46" t="s">
        <v>70</v>
      </c>
      <c r="V15" s="46"/>
      <c r="W15" s="54"/>
      <c r="X15" s="54"/>
    </row>
    <row r="16" spans="1:24" ht="15.75" customHeight="1" x14ac:dyDescent="0.2">
      <c r="A16" s="44">
        <v>15</v>
      </c>
      <c r="B16" s="45"/>
      <c r="C16" s="46">
        <v>27</v>
      </c>
      <c r="D16" s="46" t="s">
        <v>71</v>
      </c>
      <c r="E16" s="46" t="s">
        <v>63</v>
      </c>
      <c r="F16" s="46"/>
      <c r="G16" s="50" t="s">
        <v>64</v>
      </c>
      <c r="H16" s="46"/>
      <c r="I16" s="46" t="s">
        <v>93</v>
      </c>
      <c r="J16" s="46" t="s">
        <v>66</v>
      </c>
      <c r="K16" s="46" t="s">
        <v>67</v>
      </c>
      <c r="L16" s="47"/>
      <c r="M16" s="48"/>
      <c r="N16" s="58"/>
      <c r="O16" s="58"/>
      <c r="P16" s="48"/>
      <c r="Q16" s="50">
        <v>3142950376</v>
      </c>
      <c r="R16" s="50"/>
      <c r="S16" s="50" t="s">
        <v>69</v>
      </c>
      <c r="T16" s="52">
        <v>45972</v>
      </c>
      <c r="U16" s="46" t="s">
        <v>70</v>
      </c>
      <c r="V16" s="53"/>
      <c r="W16" s="54"/>
      <c r="X16" s="54"/>
    </row>
    <row r="17" spans="1:24" ht="15.75" customHeight="1" x14ac:dyDescent="0.2">
      <c r="A17" s="44">
        <v>16</v>
      </c>
      <c r="B17" s="45"/>
      <c r="C17" s="46">
        <v>36</v>
      </c>
      <c r="D17" s="46" t="s">
        <v>62</v>
      </c>
      <c r="E17" s="46" t="s">
        <v>63</v>
      </c>
      <c r="F17" s="46"/>
      <c r="G17" s="50" t="s">
        <v>64</v>
      </c>
      <c r="H17" s="46"/>
      <c r="I17" s="46" t="s">
        <v>94</v>
      </c>
      <c r="J17" s="46" t="s">
        <v>66</v>
      </c>
      <c r="K17" s="46" t="s">
        <v>67</v>
      </c>
      <c r="L17" s="48"/>
      <c r="M17" s="48"/>
      <c r="N17" s="58">
        <v>2.0387059999999999</v>
      </c>
      <c r="O17" s="58">
        <v>-73.831569999999999</v>
      </c>
      <c r="P17" s="48"/>
      <c r="Q17" s="60">
        <v>3143685325</v>
      </c>
      <c r="R17" s="60"/>
      <c r="S17" s="50" t="s">
        <v>69</v>
      </c>
      <c r="T17" s="52">
        <v>45972</v>
      </c>
      <c r="U17" s="46" t="s">
        <v>70</v>
      </c>
      <c r="V17" s="48"/>
      <c r="W17" s="54"/>
      <c r="X17" s="54"/>
    </row>
    <row r="18" spans="1:24" ht="15.75" customHeight="1" x14ac:dyDescent="0.2">
      <c r="A18" s="44"/>
      <c r="B18" s="47"/>
      <c r="C18" s="46"/>
      <c r="D18" s="46"/>
      <c r="E18" s="46"/>
      <c r="F18" s="46"/>
      <c r="G18" s="46"/>
      <c r="H18" s="46"/>
      <c r="I18" s="46"/>
      <c r="J18" s="46"/>
      <c r="K18" s="46"/>
      <c r="L18" s="47"/>
      <c r="M18" s="48"/>
      <c r="N18" s="48"/>
      <c r="O18" s="48"/>
      <c r="P18" s="48"/>
      <c r="Q18" s="60"/>
      <c r="R18" s="60"/>
      <c r="S18" s="60"/>
      <c r="T18" s="61"/>
      <c r="U18" s="62"/>
      <c r="V18" s="63"/>
      <c r="W18" s="54"/>
      <c r="X18" s="54"/>
    </row>
    <row r="19" spans="1:24" ht="15.75" customHeight="1" x14ac:dyDescent="0.2">
      <c r="A19" s="44"/>
      <c r="B19" s="47"/>
      <c r="C19" s="46"/>
      <c r="D19" s="46"/>
      <c r="E19" s="46"/>
      <c r="F19" s="46"/>
      <c r="G19" s="46"/>
      <c r="H19" s="46"/>
      <c r="I19" s="46"/>
      <c r="J19" s="46"/>
      <c r="K19" s="46"/>
      <c r="L19" s="47"/>
      <c r="M19" s="48"/>
      <c r="N19" s="48"/>
      <c r="O19" s="48"/>
      <c r="P19" s="48"/>
      <c r="Q19" s="60"/>
      <c r="R19" s="60"/>
      <c r="S19" s="60"/>
      <c r="T19" s="64"/>
      <c r="U19" s="62"/>
      <c r="V19" s="63"/>
      <c r="W19" s="54"/>
      <c r="X19" s="54"/>
    </row>
    <row r="20" spans="1:24" ht="15.75" customHeight="1" x14ac:dyDescent="0.2">
      <c r="A20" s="44"/>
      <c r="B20" s="47"/>
      <c r="C20" s="46"/>
      <c r="D20" s="46"/>
      <c r="E20" s="46"/>
      <c r="F20" s="46"/>
      <c r="G20" s="46"/>
      <c r="H20" s="46"/>
      <c r="I20" s="46"/>
      <c r="J20" s="65"/>
      <c r="K20" s="46"/>
      <c r="L20" s="47"/>
      <c r="M20" s="48"/>
      <c r="N20" s="48"/>
      <c r="O20" s="48"/>
      <c r="P20" s="48"/>
      <c r="Q20" s="60"/>
      <c r="R20" s="60"/>
      <c r="S20" s="60"/>
      <c r="T20" s="64"/>
      <c r="U20" s="62"/>
      <c r="V20" s="63"/>
      <c r="W20" s="54"/>
      <c r="X20" s="54"/>
    </row>
    <row r="21" spans="1:24" ht="15.75" customHeight="1" x14ac:dyDescent="0.2">
      <c r="A21" s="44"/>
      <c r="B21" s="47"/>
      <c r="C21" s="46"/>
      <c r="D21" s="46"/>
      <c r="E21" s="46"/>
      <c r="F21" s="46"/>
      <c r="G21" s="46"/>
      <c r="H21" s="46"/>
      <c r="I21" s="46"/>
      <c r="J21" s="46"/>
      <c r="K21" s="46"/>
      <c r="L21" s="47"/>
      <c r="M21" s="48"/>
      <c r="N21" s="48"/>
      <c r="O21" s="48"/>
      <c r="P21" s="48"/>
      <c r="Q21" s="60"/>
      <c r="R21" s="60"/>
      <c r="S21" s="60"/>
      <c r="T21" s="64"/>
      <c r="U21" s="62"/>
      <c r="V21" s="63"/>
      <c r="W21" s="54"/>
      <c r="X21" s="54"/>
    </row>
    <row r="22" spans="1:24" ht="15.75" customHeight="1" x14ac:dyDescent="0.2">
      <c r="A22" s="44"/>
      <c r="B22" s="47"/>
      <c r="C22" s="46"/>
      <c r="D22" s="46"/>
      <c r="E22" s="46"/>
      <c r="F22" s="46"/>
      <c r="G22" s="46"/>
      <c r="H22" s="46"/>
      <c r="I22" s="46"/>
      <c r="J22" s="46"/>
      <c r="K22" s="66"/>
      <c r="L22" s="47"/>
      <c r="M22" s="48"/>
      <c r="N22" s="48"/>
      <c r="O22" s="48"/>
      <c r="P22" s="48"/>
      <c r="Q22" s="60"/>
      <c r="R22" s="60"/>
      <c r="S22" s="60"/>
      <c r="T22" s="64"/>
      <c r="U22" s="62"/>
      <c r="V22" s="63"/>
      <c r="W22" s="54"/>
      <c r="X22" s="54"/>
    </row>
    <row r="23" spans="1:24" ht="15.75" customHeight="1" x14ac:dyDescent="0.2">
      <c r="A23" s="44"/>
      <c r="B23" s="47"/>
      <c r="C23" s="46"/>
      <c r="D23" s="46"/>
      <c r="E23" s="46"/>
      <c r="F23" s="46"/>
      <c r="G23" s="46"/>
      <c r="H23" s="46"/>
      <c r="I23" s="46"/>
      <c r="J23" s="46"/>
      <c r="K23" s="46"/>
      <c r="L23" s="47"/>
      <c r="M23" s="48"/>
      <c r="N23" s="48"/>
      <c r="O23" s="48"/>
      <c r="P23" s="48"/>
      <c r="Q23" s="60"/>
      <c r="R23" s="60"/>
      <c r="S23" s="60"/>
      <c r="T23" s="64"/>
      <c r="U23" s="62"/>
      <c r="V23" s="48"/>
      <c r="W23" s="54"/>
      <c r="X23" s="54"/>
    </row>
    <row r="24" spans="1:24" ht="15.75" customHeight="1" x14ac:dyDescent="0.2">
      <c r="A24" s="44"/>
      <c r="B24" s="47"/>
      <c r="C24" s="46"/>
      <c r="D24" s="46"/>
      <c r="E24" s="46"/>
      <c r="F24" s="46"/>
      <c r="G24" s="46"/>
      <c r="H24" s="46"/>
      <c r="I24" s="46"/>
      <c r="J24" s="46"/>
      <c r="K24" s="46"/>
      <c r="L24" s="47"/>
      <c r="M24" s="48"/>
      <c r="N24" s="48"/>
      <c r="O24" s="48"/>
      <c r="P24" s="48"/>
      <c r="Q24" s="60"/>
      <c r="R24" s="60"/>
      <c r="S24" s="60"/>
      <c r="T24" s="64"/>
      <c r="U24" s="62"/>
      <c r="V24" s="48"/>
      <c r="W24" s="54"/>
      <c r="X24" s="54"/>
    </row>
    <row r="25" spans="1:24" ht="15.75" customHeight="1" x14ac:dyDescent="0.2">
      <c r="A25" s="44"/>
      <c r="B25" s="47"/>
      <c r="C25" s="46"/>
      <c r="D25" s="46"/>
      <c r="E25" s="46"/>
      <c r="F25" s="46"/>
      <c r="G25" s="46"/>
      <c r="H25" s="46"/>
      <c r="I25" s="46"/>
      <c r="J25" s="46"/>
      <c r="K25" s="46"/>
      <c r="L25" s="47"/>
      <c r="M25" s="48"/>
      <c r="N25" s="48"/>
      <c r="O25" s="48"/>
      <c r="P25" s="48"/>
      <c r="Q25" s="60"/>
      <c r="R25" s="60"/>
      <c r="S25" s="60"/>
      <c r="T25" s="64"/>
      <c r="U25" s="62"/>
      <c r="V25" s="48"/>
      <c r="W25" s="54"/>
      <c r="X25" s="54"/>
    </row>
    <row r="26" spans="1:24" ht="15.75" customHeight="1" x14ac:dyDescent="0.2">
      <c r="A26" s="44"/>
      <c r="B26" s="47"/>
      <c r="C26" s="46"/>
      <c r="D26" s="46"/>
      <c r="E26" s="46"/>
      <c r="F26" s="46"/>
      <c r="G26" s="46"/>
      <c r="H26" s="46"/>
      <c r="I26" s="46"/>
      <c r="J26" s="46"/>
      <c r="K26" s="46"/>
      <c r="L26" s="47"/>
      <c r="M26" s="48"/>
      <c r="N26" s="48"/>
      <c r="O26" s="48"/>
      <c r="P26" s="48"/>
      <c r="Q26" s="60"/>
      <c r="R26" s="60"/>
      <c r="S26" s="60"/>
      <c r="T26" s="64"/>
      <c r="U26" s="62"/>
      <c r="V26" s="48"/>
      <c r="W26" s="54"/>
      <c r="X26" s="54"/>
    </row>
    <row r="27" spans="1:24" ht="15.75" customHeight="1" x14ac:dyDescent="0.2">
      <c r="A27" s="44"/>
      <c r="B27" s="47"/>
      <c r="C27" s="46"/>
      <c r="D27" s="46"/>
      <c r="E27" s="46"/>
      <c r="F27" s="46"/>
      <c r="G27" s="46"/>
      <c r="H27" s="46"/>
      <c r="I27" s="46"/>
      <c r="J27" s="46"/>
      <c r="K27" s="46"/>
      <c r="L27" s="47"/>
      <c r="M27" s="48"/>
      <c r="N27" s="48"/>
      <c r="O27" s="48"/>
      <c r="P27" s="48"/>
      <c r="Q27" s="60"/>
      <c r="R27" s="60"/>
      <c r="S27" s="60"/>
      <c r="T27" s="64"/>
      <c r="U27" s="62"/>
      <c r="V27" s="48"/>
      <c r="W27" s="54"/>
      <c r="X27" s="54"/>
    </row>
    <row r="28" spans="1:24" ht="15.75" customHeight="1" x14ac:dyDescent="0.2">
      <c r="A28" s="44"/>
      <c r="B28" s="47"/>
      <c r="C28" s="46"/>
      <c r="D28" s="46"/>
      <c r="E28" s="46"/>
      <c r="F28" s="46"/>
      <c r="G28" s="46"/>
      <c r="H28" s="46"/>
      <c r="I28" s="46"/>
      <c r="J28" s="46"/>
      <c r="K28" s="46"/>
      <c r="L28" s="47"/>
      <c r="M28" s="47"/>
      <c r="N28" s="47"/>
      <c r="O28" s="47"/>
      <c r="P28" s="47"/>
      <c r="Q28" s="60"/>
      <c r="R28" s="60"/>
      <c r="S28" s="60"/>
      <c r="T28" s="64"/>
      <c r="U28" s="62"/>
      <c r="V28" s="48"/>
      <c r="W28" s="54"/>
      <c r="X28" s="54"/>
    </row>
    <row r="29" spans="1:24" ht="15.75" customHeight="1" x14ac:dyDescent="0.2">
      <c r="A29" s="44"/>
      <c r="B29" s="47"/>
      <c r="C29" s="67"/>
      <c r="D29" s="67"/>
      <c r="E29" s="67"/>
      <c r="F29" s="67"/>
      <c r="G29" s="46"/>
      <c r="H29" s="46"/>
      <c r="I29" s="46"/>
      <c r="J29" s="46"/>
      <c r="K29" s="46"/>
      <c r="L29" s="68"/>
      <c r="M29" s="47"/>
      <c r="N29" s="47"/>
      <c r="O29" s="47"/>
      <c r="P29" s="47"/>
      <c r="Q29" s="60"/>
      <c r="R29" s="60"/>
      <c r="S29" s="60"/>
      <c r="T29" s="64"/>
      <c r="U29" s="62"/>
      <c r="V29" s="48"/>
      <c r="W29" s="54"/>
      <c r="X29" s="54"/>
    </row>
    <row r="30" spans="1:24" ht="15.75" customHeight="1" x14ac:dyDescent="0.2">
      <c r="A30" s="44"/>
      <c r="B30" s="47"/>
      <c r="C30" s="46"/>
      <c r="D30" s="46"/>
      <c r="E30" s="46"/>
      <c r="F30" s="46"/>
      <c r="G30" s="46"/>
      <c r="H30" s="46"/>
      <c r="I30" s="46"/>
      <c r="J30" s="46"/>
      <c r="K30" s="46"/>
      <c r="L30" s="47"/>
      <c r="M30" s="47"/>
      <c r="N30" s="47"/>
      <c r="O30" s="47"/>
      <c r="P30" s="47"/>
      <c r="Q30" s="60"/>
      <c r="R30" s="60"/>
      <c r="S30" s="60"/>
      <c r="T30" s="64"/>
      <c r="U30" s="62"/>
      <c r="V30" s="48"/>
      <c r="W30" s="54"/>
      <c r="X30" s="54"/>
    </row>
    <row r="31" spans="1:24" ht="15.75" customHeight="1" x14ac:dyDescent="0.2">
      <c r="A31" s="44"/>
      <c r="B31" s="47"/>
      <c r="C31" s="46"/>
      <c r="D31" s="46"/>
      <c r="E31" s="46"/>
      <c r="F31" s="46"/>
      <c r="G31" s="46"/>
      <c r="H31" s="46"/>
      <c r="I31" s="46"/>
      <c r="J31" s="46"/>
      <c r="K31" s="46"/>
      <c r="L31" s="47"/>
      <c r="M31" s="47"/>
      <c r="N31" s="47"/>
      <c r="O31" s="47"/>
      <c r="P31" s="47"/>
      <c r="Q31" s="60"/>
      <c r="R31" s="60"/>
      <c r="S31" s="60"/>
      <c r="T31" s="64"/>
      <c r="U31" s="62"/>
      <c r="V31" s="48"/>
      <c r="W31" s="54"/>
      <c r="X31" s="54"/>
    </row>
    <row r="32" spans="1:24" ht="15.75" customHeight="1" x14ac:dyDescent="0.2">
      <c r="A32" s="44"/>
      <c r="B32" s="47"/>
      <c r="C32" s="46"/>
      <c r="D32" s="46"/>
      <c r="E32" s="46"/>
      <c r="F32" s="46"/>
      <c r="G32" s="46"/>
      <c r="H32" s="46"/>
      <c r="I32" s="46"/>
      <c r="J32" s="46"/>
      <c r="K32" s="46"/>
      <c r="L32" s="47"/>
      <c r="M32" s="47"/>
      <c r="N32" s="47"/>
      <c r="O32" s="47"/>
      <c r="P32" s="47"/>
      <c r="Q32" s="60"/>
      <c r="R32" s="60"/>
      <c r="S32" s="60"/>
      <c r="T32" s="64"/>
      <c r="U32" s="62"/>
      <c r="V32" s="48"/>
      <c r="W32" s="54"/>
      <c r="X32" s="54"/>
    </row>
    <row r="33" spans="1:24" ht="15.75" customHeight="1" x14ac:dyDescent="0.2">
      <c r="A33" s="44"/>
      <c r="B33" s="47"/>
      <c r="C33" s="46"/>
      <c r="D33" s="46"/>
      <c r="E33" s="46"/>
      <c r="F33" s="46"/>
      <c r="G33" s="46"/>
      <c r="H33" s="46"/>
      <c r="I33" s="46"/>
      <c r="J33" s="46"/>
      <c r="K33" s="46"/>
      <c r="L33" s="47"/>
      <c r="M33" s="48"/>
      <c r="N33" s="47"/>
      <c r="O33" s="47"/>
      <c r="P33" s="47"/>
      <c r="Q33" s="60"/>
      <c r="R33" s="60"/>
      <c r="S33" s="60"/>
      <c r="T33" s="64"/>
      <c r="U33" s="62"/>
      <c r="V33" s="48"/>
      <c r="W33" s="54"/>
      <c r="X33" s="54"/>
    </row>
    <row r="34" spans="1:24" ht="15.75" customHeight="1" x14ac:dyDescent="0.2">
      <c r="A34" s="44"/>
      <c r="B34" s="47"/>
      <c r="C34" s="46"/>
      <c r="D34" s="46"/>
      <c r="E34" s="46"/>
      <c r="F34" s="46"/>
      <c r="G34" s="46"/>
      <c r="H34" s="46"/>
      <c r="I34" s="46"/>
      <c r="J34" s="46"/>
      <c r="K34" s="46"/>
      <c r="L34" s="47"/>
      <c r="M34" s="48"/>
      <c r="N34" s="47"/>
      <c r="O34" s="47"/>
      <c r="P34" s="47"/>
      <c r="Q34" s="60"/>
      <c r="R34" s="60"/>
      <c r="S34" s="60"/>
      <c r="T34" s="64"/>
      <c r="U34" s="62"/>
      <c r="V34" s="48"/>
      <c r="W34" s="54"/>
      <c r="X34" s="54"/>
    </row>
    <row r="35" spans="1:24" ht="15.75" customHeight="1" x14ac:dyDescent="0.2">
      <c r="A35" s="44"/>
      <c r="B35" s="47"/>
      <c r="C35" s="46"/>
      <c r="D35" s="46"/>
      <c r="E35" s="46"/>
      <c r="F35" s="46"/>
      <c r="G35" s="46"/>
      <c r="H35" s="46"/>
      <c r="I35" s="46"/>
      <c r="J35" s="46"/>
      <c r="K35" s="46"/>
      <c r="L35" s="47"/>
      <c r="M35" s="48"/>
      <c r="N35" s="47"/>
      <c r="O35" s="47"/>
      <c r="P35" s="47"/>
      <c r="Q35" s="60"/>
      <c r="R35" s="60"/>
      <c r="S35" s="60"/>
      <c r="T35" s="64"/>
      <c r="U35" s="62"/>
      <c r="V35" s="48"/>
      <c r="W35" s="54"/>
      <c r="X35" s="54"/>
    </row>
    <row r="36" spans="1:24" ht="15.75" customHeight="1" x14ac:dyDescent="0.2">
      <c r="A36" s="44"/>
      <c r="B36" s="47"/>
      <c r="C36" s="46"/>
      <c r="D36" s="46"/>
      <c r="E36" s="46"/>
      <c r="F36" s="46"/>
      <c r="G36" s="46"/>
      <c r="H36" s="46"/>
      <c r="I36" s="46"/>
      <c r="J36" s="46"/>
      <c r="K36" s="46"/>
      <c r="L36" s="47"/>
      <c r="M36" s="48"/>
      <c r="N36" s="48"/>
      <c r="O36" s="48"/>
      <c r="P36" s="48"/>
      <c r="Q36" s="46"/>
      <c r="R36" s="46"/>
      <c r="S36" s="46"/>
      <c r="T36" s="46"/>
      <c r="U36" s="46"/>
      <c r="V36" s="46"/>
      <c r="W36" s="54"/>
      <c r="X36" s="54"/>
    </row>
    <row r="37" spans="1:24" ht="15.75" customHeight="1" x14ac:dyDescent="0.2">
      <c r="A37" s="44"/>
      <c r="B37" s="47"/>
      <c r="C37" s="46"/>
      <c r="D37" s="46"/>
      <c r="E37" s="46"/>
      <c r="F37" s="46"/>
      <c r="G37" s="46"/>
      <c r="H37" s="46"/>
      <c r="I37" s="46"/>
      <c r="J37" s="46"/>
      <c r="K37" s="46"/>
      <c r="L37" s="47"/>
      <c r="M37" s="48"/>
      <c r="N37" s="48"/>
      <c r="O37" s="48"/>
      <c r="P37" s="48"/>
      <c r="Q37" s="46"/>
      <c r="R37" s="46"/>
      <c r="S37" s="46"/>
      <c r="T37" s="46"/>
      <c r="U37" s="46"/>
      <c r="V37" s="46"/>
      <c r="W37" s="54"/>
      <c r="X37" s="54"/>
    </row>
    <row r="38" spans="1:24" ht="15.75" customHeight="1" x14ac:dyDescent="0.2">
      <c r="A38" s="44"/>
      <c r="B38" s="47"/>
      <c r="C38" s="46"/>
      <c r="D38" s="46"/>
      <c r="E38" s="46"/>
      <c r="F38" s="46"/>
      <c r="G38" s="46"/>
      <c r="H38" s="46"/>
      <c r="I38" s="46"/>
      <c r="J38" s="46"/>
      <c r="K38" s="46"/>
      <c r="L38" s="47"/>
      <c r="M38" s="48"/>
      <c r="N38" s="48"/>
      <c r="O38" s="48"/>
      <c r="P38" s="48"/>
      <c r="Q38" s="46"/>
      <c r="R38" s="46"/>
      <c r="S38" s="46"/>
      <c r="T38" s="46"/>
      <c r="U38" s="46"/>
      <c r="V38" s="46"/>
      <c r="W38" s="54"/>
      <c r="X38" s="54"/>
    </row>
    <row r="39" spans="1:24" ht="15.75" customHeight="1" x14ac:dyDescent="0.2">
      <c r="A39" s="44"/>
      <c r="B39" s="47"/>
      <c r="C39" s="46"/>
      <c r="D39" s="46"/>
      <c r="E39" s="46"/>
      <c r="F39" s="46"/>
      <c r="G39" s="46"/>
      <c r="H39" s="46"/>
      <c r="I39" s="46"/>
      <c r="J39" s="46"/>
      <c r="K39" s="46"/>
      <c r="L39" s="47"/>
      <c r="M39" s="48"/>
      <c r="N39" s="48"/>
      <c r="O39" s="48"/>
      <c r="P39" s="48"/>
      <c r="Q39" s="46"/>
      <c r="R39" s="46"/>
      <c r="S39" s="46"/>
      <c r="T39" s="46"/>
      <c r="U39" s="46"/>
      <c r="V39" s="46"/>
      <c r="W39" s="54"/>
      <c r="X39" s="54"/>
    </row>
    <row r="40" spans="1:24" ht="15.75" customHeight="1" x14ac:dyDescent="0.2">
      <c r="A40" s="44"/>
      <c r="B40" s="47"/>
      <c r="C40" s="46"/>
      <c r="D40" s="46"/>
      <c r="E40" s="46"/>
      <c r="F40" s="46"/>
      <c r="G40" s="46"/>
      <c r="H40" s="46"/>
      <c r="I40" s="46"/>
      <c r="J40" s="46"/>
      <c r="K40" s="46"/>
      <c r="L40" s="47"/>
      <c r="M40" s="48"/>
      <c r="N40" s="48"/>
      <c r="O40" s="48"/>
      <c r="P40" s="48"/>
      <c r="Q40" s="46"/>
      <c r="R40" s="46"/>
      <c r="S40" s="46"/>
      <c r="T40" s="46"/>
      <c r="U40" s="46"/>
      <c r="V40" s="46"/>
      <c r="W40" s="54"/>
      <c r="X40" s="54"/>
    </row>
    <row r="41" spans="1:24" ht="15.75" customHeight="1" x14ac:dyDescent="0.2">
      <c r="A41" s="44"/>
      <c r="B41" s="47"/>
      <c r="C41" s="46"/>
      <c r="D41" s="46"/>
      <c r="E41" s="46"/>
      <c r="F41" s="46"/>
      <c r="G41" s="46"/>
      <c r="H41" s="46"/>
      <c r="I41" s="46"/>
      <c r="J41" s="46"/>
      <c r="K41" s="46"/>
      <c r="L41" s="47"/>
      <c r="M41" s="47"/>
      <c r="N41" s="47"/>
      <c r="O41" s="47"/>
      <c r="P41" s="47"/>
      <c r="Q41" s="46"/>
      <c r="R41" s="46"/>
      <c r="S41" s="46"/>
      <c r="T41" s="46"/>
      <c r="U41" s="46"/>
      <c r="V41" s="46"/>
      <c r="W41" s="54"/>
      <c r="X41" s="54"/>
    </row>
    <row r="42" spans="1:24" ht="15.75" customHeight="1" x14ac:dyDescent="0.2">
      <c r="A42" s="44"/>
      <c r="B42" s="47"/>
      <c r="C42" s="46"/>
      <c r="D42" s="46"/>
      <c r="E42" s="46"/>
      <c r="F42" s="46"/>
      <c r="G42" s="46"/>
      <c r="H42" s="46"/>
      <c r="I42" s="46"/>
      <c r="J42" s="46"/>
      <c r="K42" s="46"/>
      <c r="L42" s="47"/>
      <c r="M42" s="47"/>
      <c r="N42" s="47"/>
      <c r="O42" s="47"/>
      <c r="P42" s="47"/>
      <c r="Q42" s="46"/>
      <c r="R42" s="46"/>
      <c r="S42" s="46"/>
      <c r="T42" s="46"/>
      <c r="U42" s="46"/>
      <c r="V42" s="46"/>
      <c r="W42" s="54"/>
      <c r="X42" s="54"/>
    </row>
    <row r="43" spans="1:24" ht="15.75" customHeight="1" x14ac:dyDescent="0.2">
      <c r="A43" s="44"/>
      <c r="B43" s="47"/>
      <c r="C43" s="46"/>
      <c r="D43" s="46"/>
      <c r="E43" s="46"/>
      <c r="F43" s="46"/>
      <c r="G43" s="46"/>
      <c r="H43" s="46"/>
      <c r="I43" s="46"/>
      <c r="J43" s="46"/>
      <c r="K43" s="46"/>
      <c r="L43" s="47"/>
      <c r="M43" s="48"/>
      <c r="N43" s="48"/>
      <c r="O43" s="48"/>
      <c r="P43" s="48"/>
      <c r="Q43" s="46"/>
      <c r="R43" s="46"/>
      <c r="S43" s="46"/>
      <c r="T43" s="46"/>
      <c r="U43" s="46"/>
      <c r="V43" s="46"/>
      <c r="W43" s="54"/>
      <c r="X43" s="54"/>
    </row>
    <row r="44" spans="1:24" ht="15.75" customHeight="1" x14ac:dyDescent="0.2">
      <c r="A44" s="44"/>
      <c r="B44" s="47"/>
      <c r="C44" s="46"/>
      <c r="D44" s="46"/>
      <c r="E44" s="46"/>
      <c r="F44" s="46"/>
      <c r="G44" s="46"/>
      <c r="H44" s="46"/>
      <c r="I44" s="46"/>
      <c r="J44" s="46"/>
      <c r="K44" s="46"/>
      <c r="L44" s="47"/>
      <c r="M44" s="48"/>
      <c r="N44" s="48"/>
      <c r="O44" s="48"/>
      <c r="P44" s="48"/>
      <c r="Q44" s="46"/>
      <c r="R44" s="46"/>
      <c r="S44" s="46"/>
      <c r="T44" s="46"/>
      <c r="U44" s="46"/>
      <c r="V44" s="46"/>
      <c r="W44" s="54"/>
      <c r="X44" s="54"/>
    </row>
    <row r="45" spans="1:24" ht="15.75" customHeight="1" x14ac:dyDescent="0.2">
      <c r="A45" s="44"/>
      <c r="B45" s="47"/>
      <c r="C45" s="46"/>
      <c r="D45" s="46"/>
      <c r="E45" s="46"/>
      <c r="F45" s="46"/>
      <c r="G45" s="46"/>
      <c r="H45" s="46"/>
      <c r="I45" s="46"/>
      <c r="J45" s="46"/>
      <c r="K45" s="46"/>
      <c r="L45" s="47"/>
      <c r="M45" s="48"/>
      <c r="N45" s="48"/>
      <c r="O45" s="48"/>
      <c r="P45" s="48"/>
      <c r="Q45" s="46"/>
      <c r="R45" s="46"/>
      <c r="S45" s="46"/>
      <c r="T45" s="46"/>
      <c r="U45" s="46"/>
      <c r="V45" s="46"/>
      <c r="W45" s="54"/>
      <c r="X45" s="54"/>
    </row>
    <row r="46" spans="1:24" ht="15.75" customHeight="1" x14ac:dyDescent="0.2">
      <c r="A46" s="44"/>
      <c r="B46" s="47"/>
      <c r="C46" s="46"/>
      <c r="D46" s="46"/>
      <c r="E46" s="46"/>
      <c r="F46" s="46"/>
      <c r="G46" s="46"/>
      <c r="H46" s="46"/>
      <c r="I46" s="46"/>
      <c r="J46" s="46"/>
      <c r="K46" s="46"/>
      <c r="L46" s="47"/>
      <c r="M46" s="47"/>
      <c r="N46" s="47"/>
      <c r="O46" s="47"/>
      <c r="P46" s="47"/>
      <c r="Q46" s="46"/>
      <c r="R46" s="46"/>
      <c r="S46" s="46"/>
      <c r="T46" s="46"/>
      <c r="U46" s="46"/>
      <c r="V46" s="46"/>
      <c r="W46" s="54"/>
      <c r="X46" s="54"/>
    </row>
    <row r="47" spans="1:24" ht="15.75" customHeight="1" x14ac:dyDescent="0.2">
      <c r="A47" s="44"/>
      <c r="B47" s="47"/>
      <c r="C47" s="46"/>
      <c r="D47" s="46"/>
      <c r="E47" s="46"/>
      <c r="F47" s="46"/>
      <c r="G47" s="46"/>
      <c r="H47" s="46"/>
      <c r="I47" s="46"/>
      <c r="J47" s="46"/>
      <c r="K47" s="46"/>
      <c r="L47" s="47"/>
      <c r="M47" s="47"/>
      <c r="N47" s="47"/>
      <c r="O47" s="47"/>
      <c r="P47" s="47"/>
      <c r="Q47" s="46"/>
      <c r="R47" s="46"/>
      <c r="S47" s="46"/>
      <c r="T47" s="46"/>
      <c r="U47" s="46"/>
      <c r="V47" s="46"/>
      <c r="W47" s="54"/>
      <c r="X47" s="54"/>
    </row>
    <row r="48" spans="1:24" ht="15.75" customHeight="1" x14ac:dyDescent="0.2">
      <c r="A48" s="44"/>
      <c r="B48" s="47"/>
      <c r="C48" s="46"/>
      <c r="D48" s="46"/>
      <c r="E48" s="46"/>
      <c r="F48" s="46"/>
      <c r="G48" s="46"/>
      <c r="H48" s="46"/>
      <c r="I48" s="46"/>
      <c r="J48" s="46"/>
      <c r="K48" s="46"/>
      <c r="L48" s="47"/>
      <c r="M48" s="47"/>
      <c r="N48" s="47"/>
      <c r="O48" s="47"/>
      <c r="P48" s="47"/>
      <c r="Q48" s="46"/>
      <c r="R48" s="46"/>
      <c r="S48" s="46"/>
      <c r="T48" s="46"/>
      <c r="U48" s="46"/>
      <c r="V48" s="46"/>
      <c r="W48" s="54"/>
      <c r="X48" s="54"/>
    </row>
    <row r="49" spans="1:24" ht="15.75" customHeight="1" x14ac:dyDescent="0.2">
      <c r="A49" s="44"/>
      <c r="B49" s="47"/>
      <c r="C49" s="46"/>
      <c r="D49" s="46"/>
      <c r="E49" s="46"/>
      <c r="F49" s="46"/>
      <c r="G49" s="46"/>
      <c r="H49" s="46"/>
      <c r="I49" s="46"/>
      <c r="J49" s="46"/>
      <c r="K49" s="46"/>
      <c r="L49" s="47"/>
      <c r="M49" s="47"/>
      <c r="N49" s="47"/>
      <c r="O49" s="47"/>
      <c r="P49" s="47"/>
      <c r="Q49" s="46"/>
      <c r="R49" s="46"/>
      <c r="S49" s="46"/>
      <c r="T49" s="46"/>
      <c r="U49" s="46"/>
      <c r="V49" s="46"/>
      <c r="W49" s="54"/>
      <c r="X49" s="54"/>
    </row>
    <row r="50" spans="1:24" ht="15.75" customHeight="1" x14ac:dyDescent="0.2">
      <c r="A50" s="44"/>
      <c r="B50" s="47"/>
      <c r="C50" s="46"/>
      <c r="D50" s="46"/>
      <c r="E50" s="46"/>
      <c r="F50" s="46"/>
      <c r="G50" s="46"/>
      <c r="H50" s="46"/>
      <c r="I50" s="46"/>
      <c r="J50" s="46"/>
      <c r="K50" s="46"/>
      <c r="L50" s="47"/>
      <c r="M50" s="47"/>
      <c r="N50" s="47"/>
      <c r="O50" s="47"/>
      <c r="P50" s="47"/>
      <c r="Q50" s="46"/>
      <c r="R50" s="46"/>
      <c r="S50" s="46"/>
      <c r="T50" s="46"/>
      <c r="U50" s="46"/>
      <c r="V50" s="46"/>
      <c r="W50" s="54"/>
      <c r="X50" s="54"/>
    </row>
    <row r="51" spans="1:24" ht="15.75" customHeight="1" x14ac:dyDescent="0.2">
      <c r="A51" s="44"/>
      <c r="B51" s="47"/>
      <c r="C51" s="46"/>
      <c r="D51" s="46"/>
      <c r="E51" s="46"/>
      <c r="F51" s="46"/>
      <c r="G51" s="46"/>
      <c r="H51" s="46"/>
      <c r="I51" s="46"/>
      <c r="J51" s="46"/>
      <c r="K51" s="46"/>
      <c r="L51" s="47"/>
      <c r="M51" s="47"/>
      <c r="N51" s="47"/>
      <c r="O51" s="47"/>
      <c r="P51" s="47"/>
      <c r="Q51" s="46"/>
      <c r="R51" s="46"/>
      <c r="S51" s="46"/>
      <c r="T51" s="69"/>
      <c r="U51" s="46"/>
      <c r="V51" s="46"/>
      <c r="W51" s="54"/>
      <c r="X51" s="54"/>
    </row>
    <row r="52" spans="1:24" ht="15.75" customHeight="1" x14ac:dyDescent="0.2">
      <c r="A52" s="44"/>
      <c r="B52" s="47"/>
      <c r="C52" s="46"/>
      <c r="D52" s="46"/>
      <c r="E52" s="46"/>
      <c r="F52" s="46"/>
      <c r="G52" s="46"/>
      <c r="H52" s="46"/>
      <c r="I52" s="46"/>
      <c r="J52" s="46"/>
      <c r="K52" s="46"/>
      <c r="L52" s="47"/>
      <c r="M52" s="47"/>
      <c r="N52" s="47"/>
      <c r="O52" s="47"/>
      <c r="P52" s="47"/>
      <c r="Q52" s="46"/>
      <c r="R52" s="46"/>
      <c r="S52" s="46"/>
      <c r="T52" s="69"/>
      <c r="U52" s="46"/>
      <c r="V52" s="46"/>
      <c r="W52" s="54"/>
      <c r="X52" s="54"/>
    </row>
    <row r="53" spans="1:24" ht="15.75" customHeight="1" x14ac:dyDescent="0.2">
      <c r="A53" s="44"/>
      <c r="B53" s="47"/>
      <c r="C53" s="46"/>
      <c r="D53" s="46"/>
      <c r="E53" s="46"/>
      <c r="F53" s="46"/>
      <c r="G53" s="46"/>
      <c r="H53" s="46"/>
      <c r="I53" s="46"/>
      <c r="J53" s="46"/>
      <c r="K53" s="46"/>
      <c r="L53" s="47"/>
      <c r="M53" s="47"/>
      <c r="N53" s="47"/>
      <c r="O53" s="47"/>
      <c r="P53" s="47"/>
      <c r="Q53" s="46"/>
      <c r="R53" s="46"/>
      <c r="S53" s="46"/>
      <c r="T53" s="69"/>
      <c r="U53" s="46"/>
      <c r="V53" s="46"/>
      <c r="W53" s="54"/>
      <c r="X53" s="54"/>
    </row>
    <row r="54" spans="1:24" ht="15.75" customHeight="1" x14ac:dyDescent="0.2">
      <c r="A54" s="44"/>
      <c r="B54" s="47"/>
      <c r="C54" s="46"/>
      <c r="D54" s="46"/>
      <c r="E54" s="46"/>
      <c r="F54" s="46"/>
      <c r="G54" s="46"/>
      <c r="H54" s="46"/>
      <c r="I54" s="46"/>
      <c r="J54" s="46"/>
      <c r="K54" s="46"/>
      <c r="L54" s="47"/>
      <c r="M54" s="48"/>
      <c r="N54" s="48"/>
      <c r="O54" s="48"/>
      <c r="P54" s="48"/>
      <c r="Q54" s="46"/>
      <c r="R54" s="46"/>
      <c r="S54" s="46"/>
      <c r="T54" s="46"/>
      <c r="U54" s="46"/>
      <c r="V54" s="46"/>
      <c r="W54" s="54"/>
      <c r="X54" s="54"/>
    </row>
    <row r="55" spans="1:24" ht="15.75" customHeight="1" x14ac:dyDescent="0.2">
      <c r="A55" s="44"/>
      <c r="B55" s="47"/>
      <c r="C55" s="46"/>
      <c r="D55" s="46"/>
      <c r="E55" s="46"/>
      <c r="F55" s="46"/>
      <c r="G55" s="46"/>
      <c r="H55" s="46"/>
      <c r="I55" s="46"/>
      <c r="J55" s="46"/>
      <c r="K55" s="46"/>
      <c r="L55" s="47"/>
      <c r="M55" s="48"/>
      <c r="N55" s="48"/>
      <c r="O55" s="48"/>
      <c r="P55" s="48"/>
      <c r="Q55" s="46"/>
      <c r="R55" s="46"/>
      <c r="S55" s="46"/>
      <c r="T55" s="46"/>
      <c r="U55" s="46"/>
      <c r="V55" s="46"/>
      <c r="W55" s="46"/>
      <c r="X55" s="46"/>
    </row>
    <row r="56" spans="1:24" ht="15.75" customHeight="1" x14ac:dyDescent="0.2">
      <c r="A56" s="44"/>
      <c r="B56" s="47"/>
      <c r="C56" s="46"/>
      <c r="D56" s="46"/>
      <c r="E56" s="46"/>
      <c r="F56" s="46"/>
      <c r="G56" s="46"/>
      <c r="H56" s="46"/>
      <c r="I56" s="46"/>
      <c r="J56" s="46"/>
      <c r="K56" s="46"/>
      <c r="L56" s="47"/>
      <c r="M56" s="48"/>
      <c r="N56" s="48"/>
      <c r="O56" s="48"/>
      <c r="P56" s="48"/>
      <c r="Q56" s="46"/>
      <c r="R56" s="46"/>
      <c r="S56" s="46"/>
      <c r="T56" s="70"/>
      <c r="U56" s="46"/>
      <c r="V56" s="46"/>
      <c r="W56" s="54"/>
      <c r="X56" s="54"/>
    </row>
    <row r="57" spans="1:24" ht="15.75" customHeight="1" x14ac:dyDescent="0.2">
      <c r="A57" s="44"/>
      <c r="B57" s="47"/>
      <c r="C57" s="46"/>
      <c r="D57" s="46"/>
      <c r="E57" s="46"/>
      <c r="F57" s="46"/>
      <c r="G57" s="46"/>
      <c r="H57" s="46"/>
      <c r="I57" s="46"/>
      <c r="J57" s="46"/>
      <c r="K57" s="46"/>
      <c r="L57" s="47"/>
      <c r="M57" s="48"/>
      <c r="N57" s="48"/>
      <c r="O57" s="48"/>
      <c r="P57" s="48"/>
      <c r="Q57" s="46"/>
      <c r="R57" s="46"/>
      <c r="S57" s="46"/>
      <c r="T57" s="70"/>
      <c r="U57" s="46"/>
      <c r="V57" s="46"/>
      <c r="W57" s="54"/>
      <c r="X57" s="54"/>
    </row>
    <row r="58" spans="1:24" ht="15.75" customHeight="1" x14ac:dyDescent="0.2">
      <c r="A58" s="44"/>
      <c r="B58" s="47"/>
      <c r="C58" s="46"/>
      <c r="D58" s="46"/>
      <c r="E58" s="46"/>
      <c r="F58" s="46"/>
      <c r="G58" s="46"/>
      <c r="H58" s="46"/>
      <c r="I58" s="46"/>
      <c r="J58" s="46"/>
      <c r="K58" s="46"/>
      <c r="L58" s="47"/>
      <c r="M58" s="48"/>
      <c r="N58" s="48"/>
      <c r="O58" s="48"/>
      <c r="P58" s="48"/>
      <c r="Q58" s="46"/>
      <c r="R58" s="46"/>
      <c r="S58" s="46"/>
      <c r="T58" s="70"/>
      <c r="U58" s="46"/>
      <c r="V58" s="46"/>
      <c r="W58" s="54"/>
      <c r="X58" s="54"/>
    </row>
    <row r="59" spans="1:24" ht="15.75" customHeight="1" x14ac:dyDescent="0.2">
      <c r="A59" s="44"/>
      <c r="B59" s="47"/>
      <c r="C59" s="46"/>
      <c r="D59" s="46"/>
      <c r="E59" s="46"/>
      <c r="F59" s="46"/>
      <c r="G59" s="46"/>
      <c r="H59" s="46"/>
      <c r="I59" s="46"/>
      <c r="J59" s="46"/>
      <c r="K59" s="46"/>
      <c r="L59" s="47"/>
      <c r="M59" s="48"/>
      <c r="N59" s="48"/>
      <c r="O59" s="48"/>
      <c r="P59" s="48"/>
      <c r="Q59" s="46"/>
      <c r="R59" s="46"/>
      <c r="S59" s="46"/>
      <c r="T59" s="70"/>
      <c r="U59" s="46"/>
      <c r="V59" s="46"/>
      <c r="W59" s="54"/>
      <c r="X59" s="54"/>
    </row>
    <row r="60" spans="1:24" ht="15.75" customHeight="1" x14ac:dyDescent="0.2">
      <c r="A60" s="44"/>
      <c r="B60" s="47"/>
      <c r="C60" s="46"/>
      <c r="D60" s="46"/>
      <c r="E60" s="46"/>
      <c r="F60" s="46"/>
      <c r="G60" s="46"/>
      <c r="H60" s="46"/>
      <c r="I60" s="46"/>
      <c r="J60" s="46"/>
      <c r="K60" s="46"/>
      <c r="L60" s="47"/>
      <c r="M60" s="48"/>
      <c r="N60" s="48"/>
      <c r="O60" s="48"/>
      <c r="P60" s="48"/>
      <c r="Q60" s="46"/>
      <c r="R60" s="46"/>
      <c r="S60" s="46"/>
      <c r="T60" s="70"/>
      <c r="U60" s="46"/>
      <c r="V60" s="46"/>
      <c r="W60" s="54"/>
      <c r="X60" s="54"/>
    </row>
    <row r="61" spans="1:24" ht="15.75" customHeight="1" x14ac:dyDescent="0.2">
      <c r="A61" s="44"/>
      <c r="B61" s="47"/>
      <c r="C61" s="46"/>
      <c r="D61" s="46"/>
      <c r="E61" s="46"/>
      <c r="F61" s="46"/>
      <c r="G61" s="46"/>
      <c r="H61" s="46"/>
      <c r="I61" s="46"/>
      <c r="J61" s="46"/>
      <c r="K61" s="46"/>
      <c r="L61" s="47"/>
      <c r="M61" s="48"/>
      <c r="N61" s="48"/>
      <c r="O61" s="48"/>
      <c r="P61" s="48"/>
      <c r="Q61" s="46"/>
      <c r="R61" s="46"/>
      <c r="S61" s="46"/>
      <c r="T61" s="70"/>
      <c r="U61" s="46"/>
      <c r="V61" s="46"/>
      <c r="W61" s="54"/>
      <c r="X61" s="54"/>
    </row>
    <row r="62" spans="1:24" ht="15.75" customHeight="1" x14ac:dyDescent="0.2">
      <c r="A62" s="44"/>
      <c r="B62" s="47"/>
      <c r="C62" s="46"/>
      <c r="D62" s="46"/>
      <c r="E62" s="46"/>
      <c r="F62" s="46"/>
      <c r="G62" s="46"/>
      <c r="H62" s="46"/>
      <c r="I62" s="46"/>
      <c r="J62" s="46"/>
      <c r="K62" s="46"/>
      <c r="L62" s="47"/>
      <c r="M62" s="48"/>
      <c r="N62" s="48"/>
      <c r="O62" s="48"/>
      <c r="P62" s="48"/>
      <c r="Q62" s="46"/>
      <c r="R62" s="46"/>
      <c r="S62" s="46"/>
      <c r="T62" s="70"/>
      <c r="U62" s="46"/>
      <c r="V62" s="46"/>
      <c r="W62" s="54"/>
      <c r="X62" s="54"/>
    </row>
    <row r="63" spans="1:24" ht="15.75" customHeight="1" x14ac:dyDescent="0.2">
      <c r="A63" s="44"/>
      <c r="B63" s="47"/>
      <c r="C63" s="46"/>
      <c r="D63" s="46"/>
      <c r="E63" s="46"/>
      <c r="F63" s="46"/>
      <c r="G63" s="46"/>
      <c r="H63" s="46"/>
      <c r="I63" s="46"/>
      <c r="J63" s="46"/>
      <c r="K63" s="46"/>
      <c r="L63" s="47"/>
      <c r="M63" s="48"/>
      <c r="N63" s="48"/>
      <c r="O63" s="48"/>
      <c r="P63" s="48"/>
      <c r="Q63" s="46"/>
      <c r="R63" s="46"/>
      <c r="S63" s="46"/>
      <c r="T63" s="70"/>
      <c r="U63" s="46"/>
      <c r="V63" s="46"/>
      <c r="W63" s="54"/>
      <c r="X63" s="54"/>
    </row>
    <row r="64" spans="1:24" ht="15.75" customHeight="1" x14ac:dyDescent="0.2">
      <c r="A64" s="44"/>
      <c r="B64" s="47"/>
      <c r="C64" s="46"/>
      <c r="D64" s="46"/>
      <c r="E64" s="46"/>
      <c r="F64" s="46"/>
      <c r="G64" s="46"/>
      <c r="H64" s="46"/>
      <c r="I64" s="46"/>
      <c r="J64" s="46"/>
      <c r="K64" s="46"/>
      <c r="L64" s="47"/>
      <c r="M64" s="48"/>
      <c r="N64" s="48"/>
      <c r="O64" s="48"/>
      <c r="P64" s="48"/>
      <c r="Q64" s="46"/>
      <c r="R64" s="46"/>
      <c r="S64" s="46"/>
      <c r="T64" s="70"/>
      <c r="U64" s="46"/>
      <c r="V64" s="46"/>
      <c r="W64" s="54"/>
      <c r="X64" s="54"/>
    </row>
    <row r="65" spans="1:24" ht="15.75" customHeight="1" x14ac:dyDescent="0.2">
      <c r="A65" s="44"/>
      <c r="B65" s="47"/>
      <c r="C65" s="46"/>
      <c r="D65" s="46"/>
      <c r="E65" s="46"/>
      <c r="F65" s="46"/>
      <c r="G65" s="46"/>
      <c r="H65" s="46"/>
      <c r="I65" s="46"/>
      <c r="J65" s="46"/>
      <c r="K65" s="46"/>
      <c r="L65" s="47"/>
      <c r="M65" s="48"/>
      <c r="N65" s="48"/>
      <c r="O65" s="48"/>
      <c r="P65" s="48"/>
      <c r="Q65" s="46"/>
      <c r="R65" s="46"/>
      <c r="S65" s="46"/>
      <c r="T65" s="70"/>
      <c r="U65" s="46"/>
      <c r="V65" s="46"/>
      <c r="W65" s="54"/>
      <c r="X65" s="54"/>
    </row>
    <row r="66" spans="1:24" ht="15.75" customHeight="1" x14ac:dyDescent="0.2">
      <c r="A66" s="44"/>
      <c r="B66" s="47"/>
      <c r="C66" s="46"/>
      <c r="D66" s="46"/>
      <c r="E66" s="46"/>
      <c r="F66" s="46"/>
      <c r="G66" s="46"/>
      <c r="H66" s="46"/>
      <c r="I66" s="46"/>
      <c r="J66" s="46"/>
      <c r="K66" s="46"/>
      <c r="L66" s="47"/>
      <c r="M66" s="48"/>
      <c r="N66" s="48"/>
      <c r="O66" s="48"/>
      <c r="P66" s="48"/>
      <c r="Q66" s="46"/>
      <c r="R66" s="46"/>
      <c r="S66" s="46"/>
      <c r="T66" s="70"/>
      <c r="U66" s="46"/>
      <c r="V66" s="46"/>
      <c r="W66" s="54"/>
      <c r="X66" s="54"/>
    </row>
    <row r="67" spans="1:24" ht="15.75" customHeight="1" x14ac:dyDescent="0.2">
      <c r="A67" s="44"/>
      <c r="B67" s="47"/>
      <c r="C67" s="46"/>
      <c r="D67" s="46"/>
      <c r="E67" s="46"/>
      <c r="F67" s="46"/>
      <c r="G67" s="46"/>
      <c r="H67" s="46"/>
      <c r="I67" s="46"/>
      <c r="J67" s="46"/>
      <c r="K67" s="46"/>
      <c r="L67" s="47"/>
      <c r="M67" s="48"/>
      <c r="N67" s="48"/>
      <c r="O67" s="48"/>
      <c r="P67" s="48"/>
      <c r="Q67" s="46"/>
      <c r="R67" s="46"/>
      <c r="S67" s="46"/>
      <c r="T67" s="70"/>
      <c r="U67" s="46"/>
      <c r="V67" s="46"/>
      <c r="W67" s="54"/>
      <c r="X67" s="54"/>
    </row>
    <row r="68" spans="1:24" ht="15.75" customHeight="1" x14ac:dyDescent="0.2">
      <c r="A68" s="44"/>
      <c r="B68" s="47"/>
      <c r="C68" s="46"/>
      <c r="D68" s="46"/>
      <c r="E68" s="46"/>
      <c r="F68" s="46"/>
      <c r="G68" s="46"/>
      <c r="H68" s="46"/>
      <c r="I68" s="46"/>
      <c r="J68" s="46"/>
      <c r="K68" s="46"/>
      <c r="L68" s="47"/>
      <c r="M68" s="48"/>
      <c r="N68" s="48"/>
      <c r="O68" s="48"/>
      <c r="P68" s="48"/>
      <c r="Q68" s="46"/>
      <c r="R68" s="46"/>
      <c r="S68" s="46"/>
      <c r="T68" s="70"/>
      <c r="U68" s="46"/>
      <c r="V68" s="46"/>
      <c r="W68" s="54"/>
      <c r="X68" s="54"/>
    </row>
    <row r="69" spans="1:24" ht="15.75" customHeight="1" x14ac:dyDescent="0.2">
      <c r="A69" s="44"/>
      <c r="B69" s="47"/>
      <c r="C69" s="46"/>
      <c r="D69" s="46"/>
      <c r="E69" s="46"/>
      <c r="F69" s="46"/>
      <c r="G69" s="46"/>
      <c r="H69" s="46"/>
      <c r="I69" s="46"/>
      <c r="J69" s="46"/>
      <c r="K69" s="46"/>
      <c r="L69" s="47"/>
      <c r="M69" s="48"/>
      <c r="N69" s="48"/>
      <c r="O69" s="48"/>
      <c r="P69" s="48"/>
      <c r="Q69" s="46"/>
      <c r="R69" s="46"/>
      <c r="S69" s="46"/>
      <c r="T69" s="70"/>
      <c r="U69" s="46"/>
      <c r="V69" s="46"/>
      <c r="W69" s="54"/>
      <c r="X69" s="54"/>
    </row>
    <row r="70" spans="1:24" ht="15.75" customHeight="1" x14ac:dyDescent="0.2">
      <c r="A70" s="44"/>
      <c r="B70" s="47"/>
      <c r="C70" s="46"/>
      <c r="D70" s="46"/>
      <c r="E70" s="46"/>
      <c r="F70" s="46"/>
      <c r="G70" s="46"/>
      <c r="H70" s="46"/>
      <c r="I70" s="46"/>
      <c r="J70" s="46"/>
      <c r="K70" s="46"/>
      <c r="L70" s="47"/>
      <c r="M70" s="48"/>
      <c r="N70" s="48"/>
      <c r="O70" s="48"/>
      <c r="P70" s="48"/>
      <c r="Q70" s="46"/>
      <c r="R70" s="46"/>
      <c r="S70" s="46"/>
      <c r="T70" s="70"/>
      <c r="U70" s="46"/>
      <c r="V70" s="46"/>
      <c r="W70" s="54"/>
      <c r="X70" s="54"/>
    </row>
    <row r="71" spans="1:24" ht="15.75" customHeight="1" x14ac:dyDescent="0.2">
      <c r="A71" s="44"/>
      <c r="B71" s="47"/>
      <c r="C71" s="46"/>
      <c r="D71" s="46"/>
      <c r="E71" s="46"/>
      <c r="F71" s="46"/>
      <c r="G71" s="46"/>
      <c r="H71" s="46"/>
      <c r="I71" s="46"/>
      <c r="J71" s="46"/>
      <c r="K71" s="46"/>
      <c r="L71" s="47"/>
      <c r="M71" s="48"/>
      <c r="N71" s="48"/>
      <c r="O71" s="48"/>
      <c r="P71" s="48"/>
      <c r="Q71" s="46"/>
      <c r="R71" s="46"/>
      <c r="S71" s="46"/>
      <c r="T71" s="46"/>
      <c r="U71" s="46"/>
      <c r="V71" s="46"/>
      <c r="W71" s="54"/>
      <c r="X71" s="54"/>
    </row>
    <row r="72" spans="1:24" ht="15.75" customHeight="1" x14ac:dyDescent="0.2">
      <c r="A72" s="44"/>
      <c r="B72" s="47"/>
      <c r="C72" s="46"/>
      <c r="D72" s="46"/>
      <c r="E72" s="46"/>
      <c r="F72" s="46"/>
      <c r="G72" s="46"/>
      <c r="H72" s="46"/>
      <c r="I72" s="46"/>
      <c r="J72" s="46"/>
      <c r="K72" s="46"/>
      <c r="L72" s="47"/>
      <c r="M72" s="48"/>
      <c r="N72" s="48"/>
      <c r="O72" s="48"/>
      <c r="P72" s="48"/>
      <c r="Q72" s="46"/>
      <c r="R72" s="46"/>
      <c r="S72" s="46"/>
      <c r="T72" s="46"/>
      <c r="U72" s="46"/>
      <c r="V72" s="46"/>
      <c r="W72" s="54"/>
      <c r="X72" s="54"/>
    </row>
    <row r="73" spans="1:24" ht="15.75" customHeight="1" x14ac:dyDescent="0.2">
      <c r="A73" s="44"/>
      <c r="B73" s="47"/>
      <c r="C73" s="46"/>
      <c r="D73" s="46"/>
      <c r="E73" s="46"/>
      <c r="F73" s="46"/>
      <c r="G73" s="46"/>
      <c r="H73" s="46"/>
      <c r="I73" s="46"/>
      <c r="J73" s="46"/>
      <c r="K73" s="46"/>
      <c r="L73" s="47"/>
      <c r="M73" s="48"/>
      <c r="N73" s="48"/>
      <c r="O73" s="48"/>
      <c r="P73" s="48"/>
      <c r="Q73" s="46"/>
      <c r="R73" s="46"/>
      <c r="S73" s="46"/>
      <c r="T73" s="46"/>
      <c r="U73" s="46"/>
      <c r="V73" s="46"/>
      <c r="W73" s="54"/>
      <c r="X73" s="54"/>
    </row>
    <row r="74" spans="1:24" ht="15.75" customHeight="1" x14ac:dyDescent="0.2">
      <c r="A74" s="44"/>
      <c r="B74" s="47"/>
      <c r="C74" s="46"/>
      <c r="D74" s="46"/>
      <c r="E74" s="46"/>
      <c r="F74" s="46"/>
      <c r="G74" s="46"/>
      <c r="H74" s="46"/>
      <c r="I74" s="46"/>
      <c r="J74" s="46"/>
      <c r="K74" s="46"/>
      <c r="L74" s="47"/>
      <c r="M74" s="48"/>
      <c r="N74" s="48"/>
      <c r="O74" s="48"/>
      <c r="P74" s="48"/>
      <c r="Q74" s="46"/>
      <c r="R74" s="46"/>
      <c r="S74" s="46"/>
      <c r="T74" s="46"/>
      <c r="U74" s="46"/>
      <c r="V74" s="46"/>
      <c r="W74" s="54"/>
      <c r="X74" s="54"/>
    </row>
    <row r="75" spans="1:24" ht="15.75" customHeight="1" x14ac:dyDescent="0.2">
      <c r="A75" s="44"/>
      <c r="B75" s="47"/>
      <c r="C75" s="46"/>
      <c r="D75" s="46"/>
      <c r="E75" s="46"/>
      <c r="F75" s="46"/>
      <c r="G75" s="46"/>
      <c r="H75" s="46"/>
      <c r="I75" s="46"/>
      <c r="J75" s="46"/>
      <c r="K75" s="46"/>
      <c r="L75" s="47"/>
      <c r="M75" s="48"/>
      <c r="N75" s="48"/>
      <c r="O75" s="48"/>
      <c r="P75" s="48"/>
      <c r="Q75" s="46"/>
      <c r="R75" s="46"/>
      <c r="S75" s="46"/>
      <c r="T75" s="46"/>
      <c r="U75" s="46"/>
      <c r="V75" s="46"/>
      <c r="W75" s="54"/>
      <c r="X75" s="54"/>
    </row>
    <row r="76" spans="1:24" ht="15.75" customHeight="1" x14ac:dyDescent="0.2">
      <c r="A76" s="44"/>
      <c r="B76" s="47"/>
      <c r="C76" s="46"/>
      <c r="D76" s="46"/>
      <c r="E76" s="46"/>
      <c r="F76" s="46"/>
      <c r="G76" s="46"/>
      <c r="H76" s="46"/>
      <c r="I76" s="46"/>
      <c r="J76" s="46"/>
      <c r="K76" s="46"/>
      <c r="L76" s="47"/>
      <c r="M76" s="48"/>
      <c r="N76" s="48"/>
      <c r="O76" s="48"/>
      <c r="P76" s="48"/>
      <c r="Q76" s="46"/>
      <c r="R76" s="46"/>
      <c r="S76" s="46"/>
      <c r="T76" s="46"/>
      <c r="U76" s="46"/>
      <c r="V76" s="46"/>
      <c r="W76" s="54"/>
      <c r="X76" s="54"/>
    </row>
    <row r="77" spans="1:24" ht="15.75" customHeight="1" x14ac:dyDescent="0.2">
      <c r="A77" s="44"/>
      <c r="B77" s="47"/>
      <c r="C77" s="46"/>
      <c r="D77" s="46"/>
      <c r="E77" s="46"/>
      <c r="F77" s="46"/>
      <c r="G77" s="46"/>
      <c r="H77" s="46"/>
      <c r="I77" s="46"/>
      <c r="J77" s="46"/>
      <c r="K77" s="46"/>
      <c r="L77" s="47"/>
      <c r="M77" s="48"/>
      <c r="N77" s="48"/>
      <c r="O77" s="48"/>
      <c r="P77" s="48"/>
      <c r="Q77" s="46"/>
      <c r="R77" s="46"/>
      <c r="S77" s="46"/>
      <c r="T77" s="46"/>
      <c r="U77" s="46"/>
      <c r="V77" s="46"/>
      <c r="W77" s="54"/>
      <c r="X77" s="54"/>
    </row>
    <row r="78" spans="1:24" ht="15.75" customHeight="1" x14ac:dyDescent="0.2">
      <c r="A78" s="44"/>
      <c r="B78" s="47"/>
      <c r="C78" s="46"/>
      <c r="D78" s="46"/>
      <c r="E78" s="46"/>
      <c r="F78" s="46"/>
      <c r="G78" s="46"/>
      <c r="H78" s="46"/>
      <c r="I78" s="46"/>
      <c r="J78" s="46"/>
      <c r="K78" s="46"/>
      <c r="L78" s="47"/>
      <c r="M78" s="48"/>
      <c r="N78" s="48"/>
      <c r="O78" s="48"/>
      <c r="P78" s="48"/>
      <c r="Q78" s="46"/>
      <c r="R78" s="46"/>
      <c r="S78" s="46"/>
      <c r="T78" s="46"/>
      <c r="U78" s="46"/>
      <c r="V78" s="46"/>
      <c r="W78" s="54"/>
      <c r="X78" s="54"/>
    </row>
    <row r="79" spans="1:24" ht="15.75" customHeight="1" x14ac:dyDescent="0.2">
      <c r="A79" s="44"/>
      <c r="B79" s="47"/>
      <c r="C79" s="46"/>
      <c r="D79" s="46"/>
      <c r="E79" s="46"/>
      <c r="F79" s="46"/>
      <c r="G79" s="46"/>
      <c r="H79" s="46"/>
      <c r="I79" s="46"/>
      <c r="J79" s="46"/>
      <c r="K79" s="46"/>
      <c r="L79" s="47"/>
      <c r="M79" s="48"/>
      <c r="N79" s="48"/>
      <c r="O79" s="48"/>
      <c r="P79" s="48"/>
      <c r="Q79" s="46"/>
      <c r="R79" s="46"/>
      <c r="S79" s="46"/>
      <c r="T79" s="46"/>
      <c r="U79" s="46"/>
      <c r="V79" s="46"/>
      <c r="W79" s="54"/>
      <c r="X79" s="54"/>
    </row>
    <row r="80" spans="1:24" ht="15.75" customHeight="1" x14ac:dyDescent="0.2">
      <c r="A80" s="44"/>
      <c r="B80" s="47"/>
      <c r="C80" s="46"/>
      <c r="D80" s="46"/>
      <c r="E80" s="46"/>
      <c r="F80" s="46"/>
      <c r="G80" s="46"/>
      <c r="H80" s="46"/>
      <c r="I80" s="46"/>
      <c r="J80" s="46"/>
      <c r="K80" s="46"/>
      <c r="L80" s="47"/>
      <c r="M80" s="48"/>
      <c r="N80" s="48"/>
      <c r="O80" s="48"/>
      <c r="P80" s="48"/>
      <c r="Q80" s="46"/>
      <c r="R80" s="46"/>
      <c r="S80" s="46"/>
      <c r="T80" s="46"/>
      <c r="U80" s="46"/>
      <c r="V80" s="46"/>
      <c r="W80" s="54"/>
      <c r="X80" s="54"/>
    </row>
    <row r="81" spans="1:24" ht="15.75" customHeight="1" x14ac:dyDescent="0.2">
      <c r="A81" s="44"/>
      <c r="B81" s="47"/>
      <c r="C81" s="46"/>
      <c r="D81" s="46"/>
      <c r="E81" s="46"/>
      <c r="F81" s="46"/>
      <c r="G81" s="46"/>
      <c r="H81" s="46"/>
      <c r="I81" s="46"/>
      <c r="J81" s="46"/>
      <c r="K81" s="46"/>
      <c r="L81" s="47"/>
      <c r="M81" s="48"/>
      <c r="N81" s="48"/>
      <c r="O81" s="48"/>
      <c r="P81" s="48"/>
      <c r="Q81" s="46"/>
      <c r="R81" s="46"/>
      <c r="S81" s="46"/>
      <c r="T81" s="46"/>
      <c r="U81" s="46"/>
      <c r="V81" s="46"/>
      <c r="W81" s="54"/>
      <c r="X81" s="54"/>
    </row>
    <row r="82" spans="1:24" ht="15.75" customHeight="1" x14ac:dyDescent="0.2">
      <c r="A82" s="44"/>
      <c r="B82" s="47"/>
      <c r="C82" s="46"/>
      <c r="D82" s="46"/>
      <c r="E82" s="46"/>
      <c r="F82" s="46"/>
      <c r="G82" s="46"/>
      <c r="H82" s="46"/>
      <c r="I82" s="46"/>
      <c r="J82" s="46"/>
      <c r="K82" s="46"/>
      <c r="L82" s="47"/>
      <c r="M82" s="48"/>
      <c r="N82" s="48"/>
      <c r="O82" s="48"/>
      <c r="P82" s="48"/>
      <c r="Q82" s="46"/>
      <c r="R82" s="46"/>
      <c r="S82" s="46"/>
      <c r="T82" s="46"/>
      <c r="U82" s="46"/>
      <c r="V82" s="46"/>
      <c r="W82" s="54"/>
      <c r="X82" s="54"/>
    </row>
    <row r="83" spans="1:24" ht="15.75" customHeight="1" x14ac:dyDescent="0.2">
      <c r="A83" s="44"/>
      <c r="B83" s="47"/>
      <c r="C83" s="46"/>
      <c r="D83" s="46"/>
      <c r="E83" s="46"/>
      <c r="F83" s="46"/>
      <c r="G83" s="46"/>
      <c r="H83" s="46"/>
      <c r="I83" s="46"/>
      <c r="J83" s="46"/>
      <c r="K83" s="46"/>
      <c r="L83" s="47"/>
      <c r="M83" s="48"/>
      <c r="N83" s="48"/>
      <c r="O83" s="48"/>
      <c r="P83" s="48"/>
      <c r="Q83" s="46"/>
      <c r="R83" s="46"/>
      <c r="S83" s="46"/>
      <c r="T83" s="46"/>
      <c r="U83" s="46"/>
      <c r="V83" s="46"/>
      <c r="W83" s="54"/>
      <c r="X83" s="54"/>
    </row>
    <row r="84" spans="1:24" ht="15.75" customHeight="1" x14ac:dyDescent="0.2">
      <c r="A84" s="44"/>
      <c r="B84" s="47"/>
      <c r="C84" s="46"/>
      <c r="D84" s="46"/>
      <c r="E84" s="46"/>
      <c r="F84" s="46"/>
      <c r="G84" s="46"/>
      <c r="H84" s="46"/>
      <c r="I84" s="46"/>
      <c r="J84" s="46"/>
      <c r="K84" s="46"/>
      <c r="L84" s="47"/>
      <c r="M84" s="48"/>
      <c r="N84" s="48"/>
      <c r="O84" s="48"/>
      <c r="P84" s="48"/>
      <c r="Q84" s="46"/>
      <c r="R84" s="46"/>
      <c r="S84" s="46"/>
      <c r="T84" s="46"/>
      <c r="U84" s="46"/>
      <c r="V84" s="46"/>
      <c r="W84" s="54"/>
      <c r="X84" s="54"/>
    </row>
    <row r="85" spans="1:24" ht="15.75" customHeight="1" x14ac:dyDescent="0.2">
      <c r="A85" s="44"/>
      <c r="B85" s="47"/>
      <c r="C85" s="46"/>
      <c r="D85" s="46"/>
      <c r="E85" s="46"/>
      <c r="F85" s="46"/>
      <c r="G85" s="46"/>
      <c r="H85" s="46"/>
      <c r="I85" s="46"/>
      <c r="J85" s="46"/>
      <c r="K85" s="46"/>
      <c r="L85" s="47"/>
      <c r="M85" s="48"/>
      <c r="N85" s="48"/>
      <c r="O85" s="48"/>
      <c r="P85" s="48"/>
      <c r="Q85" s="46"/>
      <c r="R85" s="46"/>
      <c r="S85" s="46"/>
      <c r="T85" s="46"/>
      <c r="U85" s="46"/>
      <c r="V85" s="46"/>
      <c r="W85" s="54"/>
      <c r="X85" s="54"/>
    </row>
    <row r="86" spans="1:24" ht="15.75" customHeight="1" x14ac:dyDescent="0.2">
      <c r="A86" s="44"/>
      <c r="B86" s="47"/>
      <c r="C86" s="46"/>
      <c r="D86" s="46"/>
      <c r="E86" s="46"/>
      <c r="F86" s="46"/>
      <c r="G86" s="46"/>
      <c r="H86" s="46"/>
      <c r="I86" s="46"/>
      <c r="J86" s="46"/>
      <c r="K86" s="46"/>
      <c r="L86" s="47"/>
      <c r="M86" s="48"/>
      <c r="N86" s="48"/>
      <c r="O86" s="48"/>
      <c r="P86" s="48"/>
      <c r="Q86" s="46"/>
      <c r="R86" s="46"/>
      <c r="S86" s="46"/>
      <c r="T86" s="46"/>
      <c r="U86" s="46"/>
      <c r="V86" s="46"/>
      <c r="W86" s="54"/>
      <c r="X86" s="54"/>
    </row>
    <row r="87" spans="1:24" ht="15.75" customHeight="1" x14ac:dyDescent="0.2">
      <c r="A87" s="44"/>
      <c r="B87" s="47"/>
      <c r="C87" s="46"/>
      <c r="D87" s="46"/>
      <c r="E87" s="46"/>
      <c r="F87" s="46"/>
      <c r="G87" s="46"/>
      <c r="H87" s="46"/>
      <c r="I87" s="46"/>
      <c r="J87" s="46"/>
      <c r="K87" s="46"/>
      <c r="L87" s="47"/>
      <c r="M87" s="48"/>
      <c r="N87" s="48"/>
      <c r="O87" s="48"/>
      <c r="P87" s="48"/>
      <c r="Q87" s="46"/>
      <c r="R87" s="46"/>
      <c r="S87" s="46"/>
      <c r="T87" s="46"/>
      <c r="U87" s="46"/>
      <c r="V87" s="46"/>
      <c r="W87" s="54"/>
      <c r="X87" s="54"/>
    </row>
    <row r="88" spans="1:24" ht="15.75" customHeight="1" x14ac:dyDescent="0.2">
      <c r="A88" s="44"/>
      <c r="B88" s="47"/>
      <c r="C88" s="46"/>
      <c r="D88" s="46"/>
      <c r="E88" s="46"/>
      <c r="F88" s="46"/>
      <c r="G88" s="46"/>
      <c r="H88" s="46"/>
      <c r="I88" s="46"/>
      <c r="J88" s="46"/>
      <c r="K88" s="46"/>
      <c r="L88" s="47"/>
      <c r="M88" s="48"/>
      <c r="N88" s="48"/>
      <c r="O88" s="48"/>
      <c r="P88" s="48"/>
      <c r="Q88" s="46"/>
      <c r="R88" s="46"/>
      <c r="S88" s="46"/>
      <c r="T88" s="46"/>
      <c r="U88" s="46"/>
      <c r="V88" s="46"/>
      <c r="W88" s="54"/>
      <c r="X88" s="54"/>
    </row>
    <row r="89" spans="1:24" ht="15.75" customHeight="1" x14ac:dyDescent="0.2">
      <c r="A89" s="44"/>
      <c r="B89" s="47"/>
      <c r="C89" s="46"/>
      <c r="D89" s="46"/>
      <c r="E89" s="46"/>
      <c r="F89" s="46"/>
      <c r="G89" s="46"/>
      <c r="H89" s="46"/>
      <c r="I89" s="46"/>
      <c r="J89" s="46"/>
      <c r="K89" s="46"/>
      <c r="L89" s="47"/>
      <c r="M89" s="48"/>
      <c r="N89" s="48"/>
      <c r="O89" s="48"/>
      <c r="P89" s="48"/>
      <c r="Q89" s="46"/>
      <c r="R89" s="46"/>
      <c r="S89" s="46"/>
      <c r="T89" s="46"/>
      <c r="U89" s="46"/>
      <c r="V89" s="46"/>
      <c r="W89" s="54"/>
      <c r="X89" s="54"/>
    </row>
    <row r="90" spans="1:24" ht="15.75" customHeight="1" x14ac:dyDescent="0.2">
      <c r="A90" s="44"/>
      <c r="B90" s="47"/>
      <c r="C90" s="46"/>
      <c r="D90" s="46"/>
      <c r="E90" s="46"/>
      <c r="F90" s="46"/>
      <c r="G90" s="46"/>
      <c r="H90" s="46"/>
      <c r="I90" s="46"/>
      <c r="J90" s="46"/>
      <c r="K90" s="46"/>
      <c r="L90" s="47"/>
      <c r="M90" s="48"/>
      <c r="N90" s="48"/>
      <c r="O90" s="48"/>
      <c r="P90" s="48"/>
      <c r="Q90" s="46"/>
      <c r="R90" s="46"/>
      <c r="S90" s="46"/>
      <c r="T90" s="46"/>
      <c r="U90" s="46"/>
      <c r="V90" s="46"/>
      <c r="W90" s="54"/>
      <c r="X90" s="54"/>
    </row>
    <row r="91" spans="1:24" ht="15.75" customHeight="1" x14ac:dyDescent="0.2">
      <c r="A91" s="44"/>
      <c r="B91" s="47"/>
      <c r="C91" s="50"/>
      <c r="D91" s="50"/>
      <c r="E91" s="50"/>
      <c r="F91" s="50"/>
      <c r="G91" s="46"/>
      <c r="H91" s="46"/>
      <c r="I91" s="46"/>
      <c r="J91" s="46"/>
      <c r="K91" s="46"/>
      <c r="L91" s="71"/>
      <c r="M91" s="60"/>
      <c r="N91" s="60"/>
      <c r="O91" s="60"/>
      <c r="P91" s="60"/>
      <c r="W91" s="2"/>
      <c r="X91" s="2"/>
    </row>
    <row r="92" spans="1:24" ht="15.75" customHeight="1" x14ac:dyDescent="0.2">
      <c r="A92" s="44"/>
      <c r="B92" s="47"/>
      <c r="C92" s="50"/>
      <c r="D92" s="50"/>
      <c r="E92" s="50"/>
      <c r="F92" s="50"/>
      <c r="G92" s="46"/>
      <c r="H92" s="46"/>
      <c r="I92" s="46"/>
      <c r="J92" s="46"/>
      <c r="K92" s="46"/>
      <c r="L92" s="71"/>
      <c r="M92" s="60"/>
      <c r="N92" s="60"/>
      <c r="O92" s="60"/>
      <c r="P92" s="60"/>
      <c r="W92" s="2"/>
      <c r="X92" s="2"/>
    </row>
    <row r="93" spans="1:24" ht="15.75" customHeight="1" x14ac:dyDescent="0.2">
      <c r="A93" s="44"/>
      <c r="B93" s="47"/>
      <c r="C93" s="50"/>
      <c r="D93" s="50"/>
      <c r="E93" s="50"/>
      <c r="F93" s="50"/>
      <c r="G93" s="46"/>
      <c r="H93" s="46"/>
      <c r="I93" s="46"/>
      <c r="J93" s="46"/>
      <c r="K93" s="46"/>
      <c r="L93" s="71"/>
      <c r="M93" s="60"/>
      <c r="N93" s="60"/>
      <c r="O93" s="60"/>
      <c r="P93" s="60"/>
      <c r="W93" s="2"/>
      <c r="X93" s="2"/>
    </row>
    <row r="94" spans="1:24" ht="15.75" customHeight="1" x14ac:dyDescent="0.2">
      <c r="A94" s="44"/>
      <c r="B94" s="47"/>
      <c r="C94" s="50"/>
      <c r="D94" s="50"/>
      <c r="E94" s="50"/>
      <c r="F94" s="50"/>
      <c r="G94" s="46"/>
      <c r="H94" s="46"/>
      <c r="I94" s="46"/>
      <c r="J94" s="46"/>
      <c r="K94" s="46"/>
      <c r="L94" s="71"/>
      <c r="M94" s="60"/>
      <c r="N94" s="60"/>
      <c r="O94" s="60"/>
      <c r="P94" s="60"/>
      <c r="W94" s="2"/>
      <c r="X94" s="2"/>
    </row>
    <row r="95" spans="1:24" ht="15.75" customHeight="1" x14ac:dyDescent="0.2">
      <c r="A95" s="44"/>
      <c r="B95" s="47"/>
      <c r="C95" s="50"/>
      <c r="D95" s="50"/>
      <c r="E95" s="50"/>
      <c r="F95" s="50"/>
      <c r="G95" s="46"/>
      <c r="H95" s="46"/>
      <c r="I95" s="46"/>
      <c r="J95" s="46"/>
      <c r="K95" s="46"/>
      <c r="L95" s="71"/>
      <c r="M95" s="60"/>
      <c r="N95" s="60"/>
      <c r="O95" s="60"/>
      <c r="P95" s="60"/>
      <c r="W95" s="2"/>
      <c r="X95" s="2"/>
    </row>
    <row r="96" spans="1:24" ht="15.75" customHeight="1" x14ac:dyDescent="0.2">
      <c r="A96" s="44"/>
      <c r="B96" s="47"/>
      <c r="C96" s="50"/>
      <c r="D96" s="50"/>
      <c r="E96" s="50"/>
      <c r="F96" s="50"/>
      <c r="G96" s="46"/>
      <c r="H96" s="46"/>
      <c r="I96" s="46"/>
      <c r="J96" s="46"/>
      <c r="K96" s="46"/>
      <c r="L96" s="71"/>
      <c r="M96" s="60"/>
      <c r="N96" s="60"/>
      <c r="O96" s="60"/>
      <c r="P96" s="60"/>
      <c r="W96" s="2"/>
      <c r="X96" s="2"/>
    </row>
    <row r="97" spans="1:24" ht="15.75" customHeight="1" x14ac:dyDescent="0.2">
      <c r="A97" s="44"/>
      <c r="B97" s="47"/>
      <c r="C97" s="50"/>
      <c r="D97" s="50"/>
      <c r="E97" s="50"/>
      <c r="F97" s="50"/>
      <c r="G97" s="46"/>
      <c r="H97" s="46"/>
      <c r="I97" s="46"/>
      <c r="J97" s="46"/>
      <c r="K97" s="46"/>
      <c r="L97" s="71"/>
      <c r="M97" s="60"/>
      <c r="N97" s="60"/>
      <c r="O97" s="60"/>
      <c r="P97" s="60"/>
      <c r="W97" s="2"/>
      <c r="X97" s="2"/>
    </row>
    <row r="98" spans="1:24" ht="15.75" customHeight="1" x14ac:dyDescent="0.2">
      <c r="A98" s="44"/>
      <c r="B98" s="47"/>
      <c r="C98" s="50"/>
      <c r="D98" s="50"/>
      <c r="E98" s="50"/>
      <c r="F98" s="50"/>
      <c r="G98" s="46"/>
      <c r="H98" s="46"/>
      <c r="I98" s="46"/>
      <c r="J98" s="46"/>
      <c r="K98" s="46"/>
      <c r="L98" s="71"/>
      <c r="M98" s="60"/>
      <c r="N98" s="60"/>
      <c r="O98" s="60"/>
      <c r="P98" s="60"/>
      <c r="W98" s="2"/>
      <c r="X98" s="2"/>
    </row>
    <row r="99" spans="1:24" ht="15.75" customHeight="1" x14ac:dyDescent="0.2">
      <c r="A99" s="44"/>
      <c r="B99" s="47"/>
      <c r="C99" s="50"/>
      <c r="D99" s="50"/>
      <c r="E99" s="50"/>
      <c r="F99" s="50"/>
      <c r="G99" s="46"/>
      <c r="H99" s="46"/>
      <c r="I99" s="46"/>
      <c r="J99" s="46"/>
      <c r="K99" s="46"/>
      <c r="L99" s="71"/>
      <c r="M99" s="60"/>
      <c r="N99" s="60"/>
      <c r="O99" s="60"/>
      <c r="P99" s="60"/>
      <c r="W99" s="2"/>
      <c r="X99" s="2"/>
    </row>
    <row r="100" spans="1:24" ht="15.75" customHeight="1" x14ac:dyDescent="0.2">
      <c r="A100" s="44"/>
      <c r="B100" s="47"/>
      <c r="C100" s="50"/>
      <c r="D100" s="50"/>
      <c r="E100" s="50"/>
      <c r="F100" s="50"/>
      <c r="G100" s="46"/>
      <c r="H100" s="46"/>
      <c r="I100" s="46"/>
      <c r="J100" s="46"/>
      <c r="K100" s="46"/>
      <c r="L100" s="71"/>
      <c r="M100" s="60"/>
      <c r="N100" s="60"/>
      <c r="O100" s="60"/>
      <c r="P100" s="60"/>
      <c r="W100" s="2"/>
      <c r="X100" s="2"/>
    </row>
    <row r="101" spans="1:24" ht="15.75" customHeight="1" x14ac:dyDescent="0.2">
      <c r="A101" s="44"/>
      <c r="B101" s="47"/>
      <c r="C101" s="50"/>
      <c r="D101" s="50"/>
      <c r="E101" s="50"/>
      <c r="F101" s="50"/>
      <c r="G101" s="46"/>
      <c r="H101" s="46"/>
      <c r="I101" s="46"/>
      <c r="J101" s="46"/>
      <c r="K101" s="46"/>
      <c r="L101" s="71"/>
      <c r="M101" s="60"/>
      <c r="N101" s="60"/>
      <c r="O101" s="60"/>
      <c r="P101" s="60"/>
      <c r="W101" s="2"/>
      <c r="X101" s="2"/>
    </row>
    <row r="102" spans="1:24" ht="15.75" customHeight="1" x14ac:dyDescent="0.2">
      <c r="A102" s="44"/>
      <c r="B102" s="47"/>
      <c r="C102" s="50"/>
      <c r="D102" s="50"/>
      <c r="E102" s="50"/>
      <c r="F102" s="50"/>
      <c r="G102" s="46"/>
      <c r="H102" s="46"/>
      <c r="I102" s="46"/>
      <c r="J102" s="46"/>
      <c r="K102" s="46"/>
      <c r="L102" s="71"/>
      <c r="M102" s="60"/>
      <c r="N102" s="60"/>
      <c r="O102" s="60"/>
      <c r="P102" s="60"/>
      <c r="W102" s="2"/>
      <c r="X102" s="2"/>
    </row>
    <row r="103" spans="1:24" ht="15.75" customHeight="1" x14ac:dyDescent="0.2">
      <c r="A103" s="44"/>
      <c r="B103" s="47"/>
      <c r="C103" s="50"/>
      <c r="D103" s="50"/>
      <c r="E103" s="50"/>
      <c r="F103" s="50"/>
      <c r="G103" s="46"/>
      <c r="H103" s="46"/>
      <c r="I103" s="46"/>
      <c r="J103" s="46"/>
      <c r="K103" s="46"/>
      <c r="L103" s="71"/>
      <c r="M103" s="60"/>
      <c r="N103" s="60"/>
      <c r="O103" s="60"/>
      <c r="P103" s="60"/>
      <c r="W103" s="2"/>
      <c r="X103" s="2"/>
    </row>
    <row r="104" spans="1:24" ht="15.75" customHeight="1" x14ac:dyDescent="0.2">
      <c r="A104" s="44"/>
      <c r="B104" s="47"/>
      <c r="C104" s="50"/>
      <c r="D104" s="50"/>
      <c r="E104" s="50"/>
      <c r="F104" s="50"/>
      <c r="G104" s="46"/>
      <c r="H104" s="46"/>
      <c r="I104" s="46"/>
      <c r="J104" s="46"/>
      <c r="K104" s="46"/>
      <c r="L104" s="71"/>
      <c r="M104" s="60"/>
      <c r="N104" s="60"/>
      <c r="O104" s="60"/>
      <c r="P104" s="60"/>
      <c r="W104" s="2"/>
      <c r="X104" s="2"/>
    </row>
    <row r="105" spans="1:24" ht="15.75" customHeight="1" x14ac:dyDescent="0.2">
      <c r="A105" s="44"/>
      <c r="B105" s="47"/>
      <c r="C105" s="50"/>
      <c r="D105" s="50"/>
      <c r="E105" s="50"/>
      <c r="F105" s="50"/>
      <c r="G105" s="46"/>
      <c r="H105" s="46"/>
      <c r="I105" s="46"/>
      <c r="J105" s="46"/>
      <c r="K105" s="46"/>
      <c r="L105" s="71"/>
      <c r="M105" s="60"/>
      <c r="N105" s="60"/>
      <c r="O105" s="60"/>
      <c r="P105" s="60"/>
      <c r="W105" s="2"/>
      <c r="X105" s="2"/>
    </row>
    <row r="106" spans="1:24" ht="15.75" customHeight="1" x14ac:dyDescent="0.2">
      <c r="A106" s="44"/>
      <c r="B106" s="47"/>
      <c r="C106" s="50"/>
      <c r="D106" s="50"/>
      <c r="E106" s="50"/>
      <c r="F106" s="50"/>
      <c r="G106" s="46"/>
      <c r="H106" s="46"/>
      <c r="I106" s="46"/>
      <c r="J106" s="46"/>
      <c r="K106" s="46"/>
      <c r="L106" s="71"/>
      <c r="M106" s="60"/>
      <c r="N106" s="60"/>
      <c r="O106" s="60"/>
      <c r="P106" s="60"/>
      <c r="W106" s="2"/>
      <c r="X106" s="2"/>
    </row>
    <row r="107" spans="1:24" ht="15.75" customHeight="1" x14ac:dyDescent="0.2">
      <c r="A107" s="44"/>
      <c r="B107" s="47"/>
      <c r="C107" s="50"/>
      <c r="D107" s="50"/>
      <c r="E107" s="50"/>
      <c r="F107" s="50"/>
      <c r="G107" s="46"/>
      <c r="H107" s="46"/>
      <c r="I107" s="46"/>
      <c r="J107" s="46"/>
      <c r="K107" s="46"/>
      <c r="L107" s="71"/>
      <c r="M107" s="60"/>
      <c r="N107" s="60"/>
      <c r="O107" s="60"/>
      <c r="P107" s="60"/>
      <c r="W107" s="2"/>
      <c r="X107" s="2"/>
    </row>
    <row r="108" spans="1:24" ht="15.75" customHeight="1" x14ac:dyDescent="0.2">
      <c r="A108" s="44"/>
      <c r="B108" s="47"/>
      <c r="C108" s="50"/>
      <c r="D108" s="50"/>
      <c r="E108" s="50"/>
      <c r="F108" s="50"/>
      <c r="G108" s="46"/>
      <c r="H108" s="46"/>
      <c r="I108" s="46"/>
      <c r="J108" s="46"/>
      <c r="K108" s="46"/>
      <c r="L108" s="71"/>
      <c r="M108" s="60"/>
      <c r="N108" s="60"/>
      <c r="O108" s="60"/>
      <c r="P108" s="60"/>
      <c r="W108" s="2"/>
      <c r="X108" s="2"/>
    </row>
    <row r="109" spans="1:24" ht="15.75" customHeight="1" x14ac:dyDescent="0.2">
      <c r="A109" s="44"/>
      <c r="B109" s="47"/>
      <c r="C109" s="50"/>
      <c r="D109" s="50"/>
      <c r="E109" s="50"/>
      <c r="F109" s="50"/>
      <c r="G109" s="46"/>
      <c r="H109" s="46"/>
      <c r="I109" s="46"/>
      <c r="J109" s="46"/>
      <c r="K109" s="46"/>
      <c r="L109" s="71"/>
      <c r="M109" s="60"/>
      <c r="N109" s="60"/>
      <c r="O109" s="60"/>
      <c r="P109" s="60"/>
      <c r="W109" s="2"/>
      <c r="X109" s="2"/>
    </row>
    <row r="110" spans="1:24" ht="15.75" customHeight="1" x14ac:dyDescent="0.2">
      <c r="A110" s="44"/>
      <c r="B110" s="47"/>
      <c r="C110" s="50"/>
      <c r="D110" s="50"/>
      <c r="E110" s="50"/>
      <c r="F110" s="50"/>
      <c r="G110" s="46"/>
      <c r="H110" s="46"/>
      <c r="I110" s="46"/>
      <c r="J110" s="46"/>
      <c r="K110" s="46"/>
      <c r="L110" s="71"/>
      <c r="M110" s="60"/>
      <c r="N110" s="60"/>
      <c r="O110" s="60"/>
      <c r="P110" s="60"/>
      <c r="W110" s="2"/>
      <c r="X110" s="2"/>
    </row>
    <row r="111" spans="1:24" ht="15.75" customHeight="1" x14ac:dyDescent="0.2">
      <c r="A111" s="44"/>
      <c r="B111" s="47"/>
      <c r="C111" s="50"/>
      <c r="D111" s="50"/>
      <c r="E111" s="50"/>
      <c r="F111" s="50"/>
      <c r="G111" s="46"/>
      <c r="H111" s="46"/>
      <c r="I111" s="46"/>
      <c r="J111" s="46"/>
      <c r="K111" s="46"/>
      <c r="L111" s="71"/>
      <c r="M111" s="60"/>
      <c r="N111" s="60"/>
      <c r="O111" s="60"/>
      <c r="P111" s="60"/>
      <c r="W111" s="2"/>
      <c r="X111" s="2"/>
    </row>
    <row r="112" spans="1:24" ht="15.75" customHeight="1" x14ac:dyDescent="0.2">
      <c r="A112" s="44"/>
      <c r="B112" s="47"/>
      <c r="C112" s="50"/>
      <c r="D112" s="50"/>
      <c r="E112" s="50"/>
      <c r="F112" s="50"/>
      <c r="G112" s="46"/>
      <c r="H112" s="46"/>
      <c r="I112" s="46"/>
      <c r="J112" s="46"/>
      <c r="K112" s="46"/>
      <c r="L112" s="71"/>
      <c r="M112" s="60"/>
      <c r="N112" s="60"/>
      <c r="O112" s="60"/>
      <c r="P112" s="60"/>
      <c r="W112" s="2"/>
      <c r="X112" s="2"/>
    </row>
    <row r="113" spans="1:24" ht="15.75" customHeight="1" x14ac:dyDescent="0.2">
      <c r="A113" s="44"/>
      <c r="B113" s="47"/>
      <c r="C113" s="50"/>
      <c r="D113" s="50"/>
      <c r="E113" s="50"/>
      <c r="F113" s="50"/>
      <c r="G113" s="46"/>
      <c r="H113" s="46"/>
      <c r="I113" s="46"/>
      <c r="J113" s="46"/>
      <c r="K113" s="46"/>
      <c r="L113" s="71"/>
      <c r="M113" s="60"/>
      <c r="N113" s="60"/>
      <c r="O113" s="60"/>
      <c r="P113" s="60"/>
      <c r="W113" s="2"/>
      <c r="X113" s="2"/>
    </row>
    <row r="114" spans="1:24" ht="15.75" customHeight="1" x14ac:dyDescent="0.2">
      <c r="A114" s="44"/>
      <c r="B114" s="47"/>
      <c r="C114" s="50"/>
      <c r="D114" s="50"/>
      <c r="E114" s="50"/>
      <c r="F114" s="50"/>
      <c r="G114" s="46"/>
      <c r="H114" s="46"/>
      <c r="I114" s="46"/>
      <c r="J114" s="46"/>
      <c r="K114" s="46"/>
      <c r="L114" s="71"/>
      <c r="M114" s="60"/>
      <c r="N114" s="60"/>
      <c r="O114" s="60"/>
      <c r="P114" s="60"/>
      <c r="W114" s="2"/>
      <c r="X114" s="2"/>
    </row>
    <row r="115" spans="1:24" ht="15.75" customHeight="1" x14ac:dyDescent="0.2">
      <c r="A115" s="44"/>
      <c r="B115" s="47"/>
      <c r="C115" s="50"/>
      <c r="D115" s="50"/>
      <c r="E115" s="50"/>
      <c r="F115" s="50"/>
      <c r="G115" s="46"/>
      <c r="H115" s="46"/>
      <c r="I115" s="46"/>
      <c r="J115" s="46"/>
      <c r="K115" s="46"/>
      <c r="L115" s="71"/>
      <c r="M115" s="60"/>
      <c r="N115" s="60"/>
      <c r="O115" s="60"/>
      <c r="P115" s="60"/>
      <c r="W115" s="2"/>
      <c r="X115" s="2"/>
    </row>
    <row r="116" spans="1:24" ht="15.75" customHeight="1" x14ac:dyDescent="0.2">
      <c r="A116" s="44"/>
      <c r="B116" s="47"/>
      <c r="C116" s="50"/>
      <c r="D116" s="50"/>
      <c r="E116" s="50"/>
      <c r="F116" s="50"/>
      <c r="G116" s="46"/>
      <c r="H116" s="46"/>
      <c r="I116" s="46"/>
      <c r="J116" s="46"/>
      <c r="K116" s="46"/>
      <c r="L116" s="71"/>
      <c r="M116" s="60"/>
      <c r="N116" s="60"/>
      <c r="O116" s="60"/>
      <c r="P116" s="60"/>
      <c r="W116" s="2"/>
      <c r="X116" s="2"/>
    </row>
    <row r="117" spans="1:24" ht="15.75" customHeight="1" x14ac:dyDescent="0.2">
      <c r="A117" s="44"/>
      <c r="B117" s="47"/>
      <c r="C117" s="50"/>
      <c r="D117" s="50"/>
      <c r="E117" s="50"/>
      <c r="F117" s="50"/>
      <c r="G117" s="46"/>
      <c r="H117" s="46"/>
      <c r="I117" s="46"/>
      <c r="J117" s="46"/>
      <c r="K117" s="46"/>
      <c r="L117" s="71"/>
      <c r="M117" s="60"/>
      <c r="N117" s="60"/>
      <c r="O117" s="60"/>
      <c r="P117" s="60"/>
      <c r="W117" s="2"/>
      <c r="X117" s="2"/>
    </row>
    <row r="118" spans="1:24" ht="15.75" customHeight="1" x14ac:dyDescent="0.2">
      <c r="A118" s="44"/>
      <c r="B118" s="47"/>
      <c r="C118" s="50"/>
      <c r="D118" s="50"/>
      <c r="E118" s="50"/>
      <c r="F118" s="50"/>
      <c r="G118" s="46"/>
      <c r="H118" s="46"/>
      <c r="I118" s="46"/>
      <c r="J118" s="46"/>
      <c r="K118" s="46"/>
      <c r="L118" s="71"/>
      <c r="M118" s="60"/>
      <c r="N118" s="60"/>
      <c r="O118" s="60"/>
      <c r="P118" s="60"/>
      <c r="W118" s="2"/>
      <c r="X118" s="2"/>
    </row>
    <row r="119" spans="1:24" ht="15.75" customHeight="1" x14ac:dyDescent="0.2">
      <c r="A119" s="44"/>
      <c r="B119" s="47"/>
      <c r="C119" s="50"/>
      <c r="D119" s="50"/>
      <c r="E119" s="50"/>
      <c r="F119" s="50"/>
      <c r="G119" s="46"/>
      <c r="H119" s="46"/>
      <c r="I119" s="46"/>
      <c r="J119" s="46"/>
      <c r="K119" s="46"/>
      <c r="L119" s="71"/>
      <c r="M119" s="60"/>
      <c r="N119" s="60"/>
      <c r="O119" s="60"/>
      <c r="P119" s="60"/>
      <c r="W119" s="2"/>
      <c r="X119" s="2"/>
    </row>
    <row r="120" spans="1:24" ht="15.75" customHeight="1" x14ac:dyDescent="0.2">
      <c r="A120" s="44"/>
      <c r="B120" s="47"/>
      <c r="C120" s="50"/>
      <c r="D120" s="50"/>
      <c r="E120" s="50"/>
      <c r="F120" s="50"/>
      <c r="G120" s="46"/>
      <c r="H120" s="46"/>
      <c r="I120" s="46"/>
      <c r="J120" s="46"/>
      <c r="K120" s="46"/>
      <c r="L120" s="71"/>
      <c r="M120" s="60"/>
      <c r="N120" s="60"/>
      <c r="O120" s="60"/>
      <c r="P120" s="60"/>
      <c r="W120" s="2"/>
      <c r="X120" s="2"/>
    </row>
    <row r="121" spans="1:24" ht="15.75" customHeight="1" x14ac:dyDescent="0.2">
      <c r="A121" s="44"/>
      <c r="B121" s="47"/>
      <c r="C121" s="50"/>
      <c r="D121" s="50"/>
      <c r="E121" s="50"/>
      <c r="F121" s="50"/>
      <c r="G121" s="46"/>
      <c r="H121" s="46"/>
      <c r="I121" s="46"/>
      <c r="J121" s="46"/>
      <c r="K121" s="46"/>
      <c r="L121" s="71"/>
      <c r="M121" s="60"/>
      <c r="N121" s="60"/>
      <c r="O121" s="60"/>
      <c r="P121" s="60"/>
      <c r="W121" s="2"/>
      <c r="X121" s="2"/>
    </row>
    <row r="122" spans="1:24" ht="15.75" customHeight="1" x14ac:dyDescent="0.2">
      <c r="A122" s="44"/>
      <c r="B122" s="47"/>
      <c r="C122" s="50"/>
      <c r="D122" s="50"/>
      <c r="E122" s="50"/>
      <c r="F122" s="50"/>
      <c r="G122" s="46"/>
      <c r="H122" s="46"/>
      <c r="I122" s="46"/>
      <c r="J122" s="46"/>
      <c r="K122" s="46"/>
      <c r="L122" s="71"/>
      <c r="M122" s="60"/>
      <c r="N122" s="60"/>
      <c r="O122" s="60"/>
      <c r="P122" s="60"/>
      <c r="W122" s="2"/>
      <c r="X122" s="2"/>
    </row>
    <row r="123" spans="1:24" ht="15.75" customHeight="1" x14ac:dyDescent="0.2">
      <c r="A123" s="44"/>
      <c r="B123" s="47"/>
      <c r="C123" s="50"/>
      <c r="D123" s="50"/>
      <c r="E123" s="50"/>
      <c r="F123" s="50"/>
      <c r="G123" s="46"/>
      <c r="H123" s="46"/>
      <c r="I123" s="46"/>
      <c r="J123" s="46"/>
      <c r="K123" s="46"/>
      <c r="L123" s="71"/>
      <c r="M123" s="60"/>
      <c r="N123" s="60"/>
      <c r="O123" s="60"/>
      <c r="P123" s="60"/>
      <c r="W123" s="2"/>
      <c r="X123" s="2"/>
    </row>
    <row r="124" spans="1:24" ht="15.75" customHeight="1" x14ac:dyDescent="0.2">
      <c r="A124" s="44"/>
      <c r="B124" s="47"/>
      <c r="C124" s="50"/>
      <c r="D124" s="50"/>
      <c r="E124" s="50"/>
      <c r="F124" s="50"/>
      <c r="G124" s="46"/>
      <c r="H124" s="46"/>
      <c r="I124" s="46"/>
      <c r="J124" s="46"/>
      <c r="K124" s="46"/>
      <c r="L124" s="71"/>
      <c r="M124" s="60"/>
      <c r="N124" s="60"/>
      <c r="O124" s="60"/>
      <c r="P124" s="60"/>
      <c r="W124" s="2"/>
      <c r="X124" s="2"/>
    </row>
    <row r="125" spans="1:24" ht="15.75" customHeight="1" x14ac:dyDescent="0.2">
      <c r="A125" s="44"/>
      <c r="B125" s="47"/>
      <c r="C125" s="50"/>
      <c r="D125" s="50"/>
      <c r="E125" s="50"/>
      <c r="F125" s="50"/>
      <c r="G125" s="46"/>
      <c r="H125" s="46"/>
      <c r="I125" s="46"/>
      <c r="J125" s="46"/>
      <c r="K125" s="46"/>
      <c r="L125" s="71"/>
      <c r="M125" s="60"/>
      <c r="N125" s="60"/>
      <c r="O125" s="60"/>
      <c r="P125" s="60"/>
      <c r="W125" s="2"/>
      <c r="X125" s="2"/>
    </row>
    <row r="126" spans="1:24" ht="15.75" customHeight="1" x14ac:dyDescent="0.2">
      <c r="A126" s="44"/>
      <c r="B126" s="47"/>
      <c r="C126" s="50"/>
      <c r="D126" s="50"/>
      <c r="E126" s="50"/>
      <c r="F126" s="50"/>
      <c r="G126" s="46"/>
      <c r="H126" s="46"/>
      <c r="I126" s="46"/>
      <c r="J126" s="46"/>
      <c r="K126" s="46"/>
      <c r="L126" s="71"/>
      <c r="M126" s="60"/>
      <c r="N126" s="60"/>
      <c r="O126" s="60"/>
      <c r="P126" s="60"/>
      <c r="W126" s="2"/>
      <c r="X126" s="2"/>
    </row>
    <row r="127" spans="1:24" ht="15.75" customHeight="1" x14ac:dyDescent="0.2">
      <c r="A127" s="44"/>
      <c r="B127" s="47"/>
      <c r="C127" s="50"/>
      <c r="D127" s="50"/>
      <c r="E127" s="50"/>
      <c r="F127" s="50"/>
      <c r="G127" s="46"/>
      <c r="H127" s="46"/>
      <c r="I127" s="46"/>
      <c r="J127" s="46"/>
      <c r="K127" s="46"/>
      <c r="L127" s="71"/>
      <c r="M127" s="60"/>
      <c r="N127" s="60"/>
      <c r="O127" s="60"/>
      <c r="P127" s="60"/>
      <c r="W127" s="2"/>
      <c r="X127" s="2"/>
    </row>
    <row r="128" spans="1:24" ht="15.75" customHeight="1" x14ac:dyDescent="0.2">
      <c r="A128" s="44"/>
      <c r="B128" s="47"/>
      <c r="C128" s="50"/>
      <c r="D128" s="50"/>
      <c r="E128" s="50"/>
      <c r="F128" s="50"/>
      <c r="G128" s="46"/>
      <c r="H128" s="46"/>
      <c r="I128" s="46"/>
      <c r="J128" s="46"/>
      <c r="K128" s="46"/>
      <c r="L128" s="71"/>
      <c r="M128" s="60"/>
      <c r="N128" s="60"/>
      <c r="O128" s="60"/>
      <c r="P128" s="60"/>
      <c r="W128" s="2"/>
      <c r="X128" s="2"/>
    </row>
    <row r="129" spans="1:24" ht="15.75" customHeight="1" x14ac:dyDescent="0.2">
      <c r="A129" s="44"/>
      <c r="B129" s="47"/>
      <c r="C129" s="50"/>
      <c r="D129" s="50"/>
      <c r="E129" s="50"/>
      <c r="F129" s="50"/>
      <c r="G129" s="46"/>
      <c r="H129" s="46"/>
      <c r="I129" s="46"/>
      <c r="J129" s="46"/>
      <c r="K129" s="46"/>
      <c r="L129" s="71"/>
      <c r="M129" s="60"/>
      <c r="N129" s="60"/>
      <c r="O129" s="60"/>
      <c r="P129" s="60"/>
      <c r="W129" s="2"/>
      <c r="X129" s="2"/>
    </row>
    <row r="130" spans="1:24" ht="15.75" customHeight="1" x14ac:dyDescent="0.2">
      <c r="A130" s="44"/>
      <c r="B130" s="47"/>
      <c r="C130" s="50"/>
      <c r="D130" s="50"/>
      <c r="E130" s="50"/>
      <c r="F130" s="50"/>
      <c r="G130" s="46"/>
      <c r="H130" s="46"/>
      <c r="I130" s="46"/>
      <c r="J130" s="46"/>
      <c r="K130" s="46"/>
      <c r="L130" s="71"/>
      <c r="M130" s="60"/>
      <c r="N130" s="60"/>
      <c r="O130" s="60"/>
      <c r="P130" s="60"/>
      <c r="W130" s="2"/>
      <c r="X130" s="2"/>
    </row>
    <row r="131" spans="1:24" ht="15.75" customHeight="1" x14ac:dyDescent="0.2">
      <c r="A131" s="44"/>
      <c r="B131" s="47"/>
      <c r="C131" s="50"/>
      <c r="D131" s="50"/>
      <c r="E131" s="50"/>
      <c r="F131" s="50"/>
      <c r="G131" s="46"/>
      <c r="H131" s="46"/>
      <c r="I131" s="46"/>
      <c r="J131" s="46"/>
      <c r="K131" s="46"/>
      <c r="L131" s="71"/>
      <c r="M131" s="60"/>
      <c r="N131" s="60"/>
      <c r="O131" s="60"/>
      <c r="P131" s="60"/>
      <c r="W131" s="2"/>
      <c r="X131" s="2"/>
    </row>
    <row r="132" spans="1:24" ht="15.75" customHeight="1" x14ac:dyDescent="0.2">
      <c r="A132" s="44"/>
      <c r="B132" s="47"/>
      <c r="C132" s="50"/>
      <c r="D132" s="50"/>
      <c r="E132" s="50"/>
      <c r="F132" s="50"/>
      <c r="G132" s="46"/>
      <c r="H132" s="46"/>
      <c r="I132" s="46"/>
      <c r="J132" s="46"/>
      <c r="K132" s="46"/>
      <c r="L132" s="71"/>
      <c r="M132" s="60"/>
      <c r="N132" s="60"/>
      <c r="O132" s="60"/>
      <c r="P132" s="60"/>
      <c r="W132" s="2"/>
      <c r="X132" s="2"/>
    </row>
    <row r="133" spans="1:24" ht="15.75" customHeight="1" x14ac:dyDescent="0.2">
      <c r="A133" s="44"/>
      <c r="B133" s="47"/>
      <c r="C133" s="50"/>
      <c r="D133" s="50"/>
      <c r="E133" s="50"/>
      <c r="F133" s="50"/>
      <c r="G133" s="46"/>
      <c r="H133" s="46"/>
      <c r="I133" s="46"/>
      <c r="J133" s="46"/>
      <c r="K133" s="46"/>
      <c r="L133" s="71"/>
      <c r="M133" s="60"/>
      <c r="N133" s="60"/>
      <c r="O133" s="60"/>
      <c r="P133" s="60"/>
      <c r="W133" s="2"/>
      <c r="X133" s="2"/>
    </row>
    <row r="134" spans="1:24" ht="15.75" customHeight="1" x14ac:dyDescent="0.2">
      <c r="A134" s="44"/>
      <c r="B134" s="47"/>
      <c r="C134" s="50"/>
      <c r="D134" s="50"/>
      <c r="E134" s="50"/>
      <c r="F134" s="50"/>
      <c r="G134" s="46"/>
      <c r="H134" s="46"/>
      <c r="I134" s="46"/>
      <c r="J134" s="46"/>
      <c r="K134" s="46"/>
      <c r="L134" s="71"/>
      <c r="M134" s="60"/>
      <c r="N134" s="60"/>
      <c r="O134" s="60"/>
      <c r="P134" s="60"/>
      <c r="W134" s="2"/>
      <c r="X134" s="2"/>
    </row>
    <row r="135" spans="1:24" ht="15.75" customHeight="1" x14ac:dyDescent="0.2">
      <c r="A135" s="44"/>
      <c r="B135" s="47"/>
      <c r="C135" s="50"/>
      <c r="D135" s="50"/>
      <c r="E135" s="50"/>
      <c r="F135" s="50"/>
      <c r="G135" s="46"/>
      <c r="H135" s="46"/>
      <c r="I135" s="46"/>
      <c r="J135" s="46"/>
      <c r="K135" s="46"/>
      <c r="L135" s="71"/>
      <c r="M135" s="60"/>
      <c r="N135" s="60"/>
      <c r="O135" s="60"/>
      <c r="P135" s="60"/>
      <c r="W135" s="2"/>
      <c r="X135" s="2"/>
    </row>
    <row r="136" spans="1:24" ht="15.75" customHeight="1" x14ac:dyDescent="0.2">
      <c r="A136" s="44"/>
      <c r="B136" s="47"/>
      <c r="C136" s="50"/>
      <c r="D136" s="50"/>
      <c r="E136" s="50"/>
      <c r="F136" s="50"/>
      <c r="G136" s="46"/>
      <c r="H136" s="46"/>
      <c r="I136" s="46"/>
      <c r="J136" s="46"/>
      <c r="K136" s="46"/>
      <c r="L136" s="71"/>
      <c r="M136" s="60"/>
      <c r="N136" s="60"/>
      <c r="O136" s="60"/>
      <c r="P136" s="60"/>
      <c r="W136" s="2"/>
      <c r="X136" s="2"/>
    </row>
    <row r="137" spans="1:24" ht="15.75" customHeight="1" x14ac:dyDescent="0.2">
      <c r="A137" s="44"/>
      <c r="B137" s="47"/>
      <c r="C137" s="50"/>
      <c r="D137" s="50"/>
      <c r="E137" s="50"/>
      <c r="F137" s="50"/>
      <c r="G137" s="46"/>
      <c r="H137" s="46"/>
      <c r="I137" s="46"/>
      <c r="J137" s="46"/>
      <c r="K137" s="46"/>
      <c r="L137" s="71"/>
      <c r="M137" s="60"/>
      <c r="N137" s="60"/>
      <c r="O137" s="60"/>
      <c r="P137" s="60"/>
      <c r="W137" s="2"/>
      <c r="X137" s="2"/>
    </row>
    <row r="138" spans="1:24" ht="15.75" customHeight="1" x14ac:dyDescent="0.2">
      <c r="A138" s="44"/>
      <c r="B138" s="47"/>
      <c r="C138" s="50"/>
      <c r="D138" s="50"/>
      <c r="E138" s="50"/>
      <c r="F138" s="50"/>
      <c r="G138" s="46"/>
      <c r="H138" s="46"/>
      <c r="I138" s="46"/>
      <c r="J138" s="46"/>
      <c r="K138" s="46"/>
      <c r="L138" s="71"/>
      <c r="M138" s="60"/>
      <c r="N138" s="60"/>
      <c r="O138" s="60"/>
      <c r="P138" s="60"/>
      <c r="W138" s="2"/>
      <c r="X138" s="2"/>
    </row>
    <row r="139" spans="1:24" ht="15.75" customHeight="1" x14ac:dyDescent="0.2">
      <c r="A139" s="44"/>
      <c r="B139" s="47"/>
      <c r="C139" s="50"/>
      <c r="D139" s="50"/>
      <c r="E139" s="50"/>
      <c r="F139" s="50"/>
      <c r="G139" s="46"/>
      <c r="H139" s="46"/>
      <c r="I139" s="46"/>
      <c r="J139" s="46"/>
      <c r="K139" s="46"/>
      <c r="L139" s="71"/>
      <c r="M139" s="60"/>
      <c r="N139" s="60"/>
      <c r="O139" s="60"/>
      <c r="P139" s="60"/>
      <c r="W139" s="2"/>
      <c r="X139" s="2"/>
    </row>
    <row r="140" spans="1:24" ht="15.75" customHeight="1" x14ac:dyDescent="0.2">
      <c r="A140" s="44"/>
      <c r="B140" s="47"/>
      <c r="C140" s="50"/>
      <c r="D140" s="50"/>
      <c r="E140" s="50"/>
      <c r="F140" s="50"/>
      <c r="G140" s="46"/>
      <c r="H140" s="46"/>
      <c r="I140" s="46"/>
      <c r="J140" s="46"/>
      <c r="K140" s="46"/>
      <c r="L140" s="71"/>
      <c r="M140" s="60"/>
      <c r="N140" s="60"/>
      <c r="O140" s="60"/>
      <c r="P140" s="60"/>
      <c r="W140" s="2"/>
      <c r="X140" s="2"/>
    </row>
    <row r="141" spans="1:24" ht="15.75" customHeight="1" x14ac:dyDescent="0.2">
      <c r="A141" s="44"/>
      <c r="B141" s="47"/>
      <c r="C141" s="50"/>
      <c r="D141" s="50"/>
      <c r="E141" s="50"/>
      <c r="F141" s="50"/>
      <c r="G141" s="46"/>
      <c r="H141" s="46"/>
      <c r="I141" s="46"/>
      <c r="J141" s="46"/>
      <c r="K141" s="46"/>
      <c r="L141" s="71"/>
      <c r="M141" s="60"/>
      <c r="N141" s="60"/>
      <c r="O141" s="60"/>
      <c r="P141" s="60"/>
      <c r="W141" s="2"/>
      <c r="X141" s="2"/>
    </row>
    <row r="142" spans="1:24" ht="15.75" customHeight="1" x14ac:dyDescent="0.2">
      <c r="A142" s="44"/>
      <c r="B142" s="47"/>
      <c r="C142" s="50"/>
      <c r="D142" s="50"/>
      <c r="E142" s="50"/>
      <c r="F142" s="50"/>
      <c r="G142" s="46"/>
      <c r="H142" s="46"/>
      <c r="I142" s="46"/>
      <c r="J142" s="46"/>
      <c r="K142" s="46"/>
      <c r="L142" s="71"/>
      <c r="M142" s="60"/>
      <c r="N142" s="60"/>
      <c r="O142" s="60"/>
      <c r="P142" s="60"/>
      <c r="W142" s="2"/>
      <c r="X142" s="2"/>
    </row>
    <row r="143" spans="1:24" ht="15.75" customHeight="1" x14ac:dyDescent="0.2">
      <c r="A143" s="44"/>
      <c r="B143" s="47"/>
      <c r="C143" s="50"/>
      <c r="D143" s="50"/>
      <c r="E143" s="50"/>
      <c r="F143" s="50"/>
      <c r="G143" s="46"/>
      <c r="H143" s="46"/>
      <c r="I143" s="46"/>
      <c r="J143" s="46"/>
      <c r="K143" s="46"/>
      <c r="L143" s="71"/>
      <c r="M143" s="60"/>
      <c r="N143" s="60"/>
      <c r="O143" s="60"/>
      <c r="P143" s="60"/>
      <c r="W143" s="2"/>
      <c r="X143" s="2"/>
    </row>
    <row r="144" spans="1:24" ht="15.75" customHeight="1" x14ac:dyDescent="0.2">
      <c r="A144" s="44"/>
      <c r="B144" s="47"/>
      <c r="C144" s="50"/>
      <c r="D144" s="50"/>
      <c r="E144" s="50"/>
      <c r="F144" s="50"/>
      <c r="G144" s="46"/>
      <c r="H144" s="46"/>
      <c r="I144" s="46"/>
      <c r="J144" s="46"/>
      <c r="K144" s="46"/>
      <c r="L144" s="71"/>
      <c r="M144" s="60"/>
      <c r="N144" s="60"/>
      <c r="O144" s="60"/>
      <c r="P144" s="60"/>
      <c r="W144" s="2"/>
      <c r="X144" s="2"/>
    </row>
    <row r="145" spans="1:24" ht="15.75" customHeight="1" x14ac:dyDescent="0.2">
      <c r="A145" s="44"/>
      <c r="B145" s="47"/>
      <c r="C145" s="50"/>
      <c r="D145" s="50"/>
      <c r="E145" s="50"/>
      <c r="F145" s="50"/>
      <c r="G145" s="46"/>
      <c r="H145" s="46"/>
      <c r="I145" s="46"/>
      <c r="J145" s="46"/>
      <c r="K145" s="46"/>
      <c r="L145" s="71"/>
      <c r="M145" s="60"/>
      <c r="N145" s="60"/>
      <c r="O145" s="60"/>
      <c r="P145" s="60"/>
      <c r="W145" s="2"/>
      <c r="X145" s="2"/>
    </row>
    <row r="146" spans="1:24" ht="15.75" customHeight="1" x14ac:dyDescent="0.2">
      <c r="A146" s="44"/>
      <c r="B146" s="47"/>
      <c r="C146" s="50"/>
      <c r="D146" s="50"/>
      <c r="E146" s="50"/>
      <c r="F146" s="50"/>
      <c r="G146" s="46"/>
      <c r="H146" s="46"/>
      <c r="I146" s="46"/>
      <c r="J146" s="46"/>
      <c r="K146" s="46"/>
      <c r="L146" s="71"/>
      <c r="M146" s="60"/>
      <c r="N146" s="60"/>
      <c r="O146" s="60"/>
      <c r="P146" s="60"/>
      <c r="W146" s="2"/>
      <c r="X146" s="2"/>
    </row>
    <row r="147" spans="1:24" ht="15.75" customHeight="1" x14ac:dyDescent="0.2">
      <c r="A147" s="44"/>
      <c r="B147" s="47"/>
      <c r="C147" s="50"/>
      <c r="D147" s="50"/>
      <c r="E147" s="50"/>
      <c r="F147" s="50"/>
      <c r="G147" s="46"/>
      <c r="H147" s="46"/>
      <c r="I147" s="46"/>
      <c r="J147" s="46"/>
      <c r="K147" s="46"/>
      <c r="L147" s="71"/>
      <c r="M147" s="60"/>
      <c r="N147" s="60"/>
      <c r="O147" s="60"/>
      <c r="P147" s="60"/>
      <c r="W147" s="2"/>
      <c r="X147" s="2"/>
    </row>
    <row r="148" spans="1:24" ht="15.75" customHeight="1" x14ac:dyDescent="0.2">
      <c r="A148" s="44"/>
      <c r="B148" s="47"/>
      <c r="C148" s="50"/>
      <c r="D148" s="50"/>
      <c r="E148" s="50"/>
      <c r="F148" s="50"/>
      <c r="G148" s="46"/>
      <c r="H148" s="46"/>
      <c r="I148" s="46"/>
      <c r="J148" s="46"/>
      <c r="K148" s="46"/>
      <c r="L148" s="71"/>
      <c r="M148" s="60"/>
      <c r="N148" s="60"/>
      <c r="O148" s="60"/>
      <c r="P148" s="60"/>
      <c r="W148" s="2"/>
      <c r="X148" s="2"/>
    </row>
    <row r="149" spans="1:24" ht="15.75" customHeight="1" x14ac:dyDescent="0.2">
      <c r="A149" s="44"/>
      <c r="B149" s="47"/>
      <c r="C149" s="50"/>
      <c r="D149" s="50"/>
      <c r="E149" s="50"/>
      <c r="F149" s="50"/>
      <c r="G149" s="46"/>
      <c r="H149" s="46"/>
      <c r="I149" s="46"/>
      <c r="J149" s="46"/>
      <c r="K149" s="46"/>
      <c r="L149" s="71"/>
      <c r="M149" s="60"/>
      <c r="N149" s="60"/>
      <c r="O149" s="60"/>
      <c r="P149" s="60"/>
      <c r="W149" s="2"/>
      <c r="X149" s="2"/>
    </row>
    <row r="150" spans="1:24" ht="15.75" customHeight="1" x14ac:dyDescent="0.2">
      <c r="A150" s="44"/>
      <c r="B150" s="47"/>
      <c r="C150" s="50"/>
      <c r="D150" s="50"/>
      <c r="E150" s="50"/>
      <c r="F150" s="50"/>
      <c r="G150" s="46"/>
      <c r="H150" s="46"/>
      <c r="I150" s="46"/>
      <c r="J150" s="46"/>
      <c r="K150" s="46"/>
      <c r="L150" s="71"/>
      <c r="M150" s="60"/>
      <c r="N150" s="60"/>
      <c r="O150" s="60"/>
      <c r="P150" s="60"/>
      <c r="W150" s="2"/>
      <c r="X150" s="2"/>
    </row>
    <row r="151" spans="1:24" ht="15.75" customHeight="1" x14ac:dyDescent="0.2">
      <c r="A151" s="44"/>
      <c r="B151" s="47"/>
      <c r="C151" s="50"/>
      <c r="D151" s="50"/>
      <c r="E151" s="50"/>
      <c r="F151" s="50"/>
      <c r="G151" s="46"/>
      <c r="H151" s="46"/>
      <c r="I151" s="46"/>
      <c r="J151" s="46"/>
      <c r="K151" s="46"/>
      <c r="L151" s="71"/>
      <c r="M151" s="60"/>
      <c r="N151" s="60"/>
      <c r="O151" s="60"/>
      <c r="P151" s="60"/>
      <c r="W151" s="2"/>
      <c r="X151" s="2"/>
    </row>
    <row r="152" spans="1:24" ht="15.75" customHeight="1" x14ac:dyDescent="0.2">
      <c r="A152" s="44"/>
      <c r="B152" s="47"/>
      <c r="C152" s="50"/>
      <c r="D152" s="50"/>
      <c r="E152" s="50"/>
      <c r="F152" s="50"/>
      <c r="G152" s="46"/>
      <c r="H152" s="46"/>
      <c r="I152" s="46"/>
      <c r="J152" s="46"/>
      <c r="K152" s="46"/>
      <c r="L152" s="71"/>
      <c r="M152" s="60"/>
      <c r="N152" s="60"/>
      <c r="O152" s="60"/>
      <c r="P152" s="60"/>
      <c r="W152" s="2"/>
      <c r="X152" s="2"/>
    </row>
    <row r="153" spans="1:24" ht="15.75" customHeight="1" x14ac:dyDescent="0.2">
      <c r="A153" s="44"/>
      <c r="B153" s="47"/>
      <c r="C153" s="50"/>
      <c r="D153" s="50"/>
      <c r="E153" s="50"/>
      <c r="F153" s="50"/>
      <c r="G153" s="46"/>
      <c r="H153" s="46"/>
      <c r="I153" s="46"/>
      <c r="J153" s="46"/>
      <c r="K153" s="46"/>
      <c r="L153" s="71"/>
      <c r="M153" s="60"/>
      <c r="N153" s="60"/>
      <c r="O153" s="60"/>
      <c r="P153" s="60"/>
      <c r="W153" s="2"/>
      <c r="X153" s="2"/>
    </row>
    <row r="154" spans="1:24" ht="15.75" customHeight="1" x14ac:dyDescent="0.2">
      <c r="A154" s="44"/>
      <c r="B154" s="47"/>
      <c r="C154" s="50"/>
      <c r="D154" s="50"/>
      <c r="E154" s="50"/>
      <c r="F154" s="50"/>
      <c r="G154" s="46"/>
      <c r="H154" s="46"/>
      <c r="I154" s="46"/>
      <c r="J154" s="46"/>
      <c r="K154" s="46"/>
      <c r="L154" s="71"/>
      <c r="M154" s="60"/>
      <c r="N154" s="60"/>
      <c r="O154" s="60"/>
      <c r="P154" s="60"/>
      <c r="W154" s="2"/>
      <c r="X154" s="2"/>
    </row>
    <row r="155" spans="1:24" ht="15.75" customHeight="1" x14ac:dyDescent="0.2">
      <c r="A155" s="44"/>
      <c r="B155" s="47"/>
      <c r="C155" s="50"/>
      <c r="D155" s="50"/>
      <c r="E155" s="50"/>
      <c r="F155" s="50"/>
      <c r="G155" s="46"/>
      <c r="H155" s="46"/>
      <c r="I155" s="46"/>
      <c r="J155" s="46"/>
      <c r="K155" s="46"/>
      <c r="L155" s="71"/>
      <c r="M155" s="60"/>
      <c r="N155" s="60"/>
      <c r="O155" s="60"/>
      <c r="P155" s="60"/>
      <c r="W155" s="2"/>
      <c r="X155" s="2"/>
    </row>
    <row r="156" spans="1:24" ht="15.75" customHeight="1" x14ac:dyDescent="0.2">
      <c r="A156" s="44"/>
      <c r="B156" s="47"/>
      <c r="C156" s="50"/>
      <c r="D156" s="50"/>
      <c r="E156" s="50"/>
      <c r="F156" s="50"/>
      <c r="G156" s="46"/>
      <c r="H156" s="46"/>
      <c r="I156" s="46"/>
      <c r="J156" s="46"/>
      <c r="K156" s="46"/>
      <c r="L156" s="71"/>
      <c r="M156" s="60"/>
      <c r="N156" s="60"/>
      <c r="O156" s="60"/>
      <c r="P156" s="60"/>
      <c r="W156" s="2"/>
      <c r="X156" s="2"/>
    </row>
    <row r="157" spans="1:24" ht="15.75" customHeight="1" x14ac:dyDescent="0.2">
      <c r="A157" s="44"/>
      <c r="B157" s="47"/>
      <c r="C157" s="50"/>
      <c r="D157" s="50"/>
      <c r="E157" s="50"/>
      <c r="F157" s="50"/>
      <c r="G157" s="46"/>
      <c r="H157" s="46"/>
      <c r="I157" s="46"/>
      <c r="J157" s="46"/>
      <c r="K157" s="46"/>
      <c r="L157" s="71"/>
      <c r="M157" s="60"/>
      <c r="N157" s="60"/>
      <c r="O157" s="60"/>
      <c r="P157" s="60"/>
      <c r="W157" s="2"/>
      <c r="X157" s="2"/>
    </row>
    <row r="158" spans="1:24" ht="15.75" customHeight="1" x14ac:dyDescent="0.2">
      <c r="A158" s="44"/>
      <c r="B158" s="47"/>
      <c r="C158" s="50"/>
      <c r="D158" s="50"/>
      <c r="E158" s="50"/>
      <c r="F158" s="50"/>
      <c r="G158" s="46"/>
      <c r="H158" s="46"/>
      <c r="I158" s="46"/>
      <c r="J158" s="46"/>
      <c r="K158" s="46"/>
      <c r="L158" s="71"/>
      <c r="M158" s="60"/>
      <c r="N158" s="60"/>
      <c r="O158" s="60"/>
      <c r="P158" s="60"/>
      <c r="W158" s="2"/>
      <c r="X158" s="2"/>
    </row>
    <row r="159" spans="1:24" ht="15.75" customHeight="1" x14ac:dyDescent="0.2">
      <c r="A159" s="44"/>
      <c r="B159" s="47"/>
      <c r="C159" s="50"/>
      <c r="D159" s="50"/>
      <c r="E159" s="50"/>
      <c r="F159" s="50"/>
      <c r="G159" s="46"/>
      <c r="H159" s="46"/>
      <c r="I159" s="46"/>
      <c r="J159" s="46"/>
      <c r="K159" s="46"/>
      <c r="L159" s="71"/>
      <c r="M159" s="60"/>
      <c r="N159" s="60"/>
      <c r="O159" s="60"/>
      <c r="P159" s="60"/>
      <c r="W159" s="2"/>
      <c r="X159" s="2"/>
    </row>
    <row r="160" spans="1:24" ht="15.75" customHeight="1" x14ac:dyDescent="0.2">
      <c r="A160" s="44"/>
      <c r="B160" s="47"/>
      <c r="C160" s="50"/>
      <c r="D160" s="50"/>
      <c r="E160" s="50"/>
      <c r="F160" s="50"/>
      <c r="G160" s="46"/>
      <c r="H160" s="46"/>
      <c r="I160" s="46"/>
      <c r="J160" s="46"/>
      <c r="K160" s="46"/>
      <c r="L160" s="71"/>
      <c r="M160" s="60"/>
      <c r="N160" s="60"/>
      <c r="O160" s="60"/>
      <c r="P160" s="60"/>
      <c r="W160" s="2"/>
      <c r="X160" s="2"/>
    </row>
    <row r="161" spans="1:24" ht="15.75" customHeight="1" x14ac:dyDescent="0.2">
      <c r="A161" s="44"/>
      <c r="B161" s="47"/>
      <c r="C161" s="50"/>
      <c r="D161" s="50"/>
      <c r="E161" s="50"/>
      <c r="F161" s="50"/>
      <c r="G161" s="46"/>
      <c r="H161" s="46"/>
      <c r="I161" s="46"/>
      <c r="J161" s="46"/>
      <c r="K161" s="46"/>
      <c r="L161" s="71"/>
      <c r="M161" s="60"/>
      <c r="N161" s="60"/>
      <c r="O161" s="60"/>
      <c r="P161" s="60"/>
      <c r="W161" s="2"/>
      <c r="X161" s="2"/>
    </row>
    <row r="162" spans="1:24" ht="15.75" customHeight="1" x14ac:dyDescent="0.2">
      <c r="A162" s="44"/>
      <c r="B162" s="47"/>
      <c r="C162" s="50"/>
      <c r="D162" s="50"/>
      <c r="E162" s="50"/>
      <c r="F162" s="50"/>
      <c r="G162" s="46"/>
      <c r="H162" s="46"/>
      <c r="I162" s="46"/>
      <c r="J162" s="46"/>
      <c r="K162" s="46"/>
      <c r="L162" s="71"/>
      <c r="M162" s="60"/>
      <c r="N162" s="60"/>
      <c r="O162" s="60"/>
      <c r="P162" s="60"/>
      <c r="W162" s="2"/>
      <c r="X162" s="2"/>
    </row>
    <row r="163" spans="1:24" ht="15.75" customHeight="1" x14ac:dyDescent="0.2">
      <c r="A163" s="44"/>
      <c r="B163" s="47"/>
      <c r="C163" s="50"/>
      <c r="D163" s="50"/>
      <c r="E163" s="50"/>
      <c r="F163" s="50"/>
      <c r="G163" s="46"/>
      <c r="H163" s="46"/>
      <c r="I163" s="46"/>
      <c r="J163" s="46"/>
      <c r="K163" s="46"/>
      <c r="L163" s="71"/>
      <c r="M163" s="60"/>
      <c r="N163" s="60"/>
      <c r="O163" s="60"/>
      <c r="P163" s="60"/>
      <c r="W163" s="2"/>
      <c r="X163" s="2"/>
    </row>
    <row r="164" spans="1:24" ht="15.75" customHeight="1" x14ac:dyDescent="0.2">
      <c r="A164" s="44"/>
      <c r="B164" s="47"/>
      <c r="C164" s="50"/>
      <c r="D164" s="50"/>
      <c r="E164" s="50"/>
      <c r="F164" s="50"/>
      <c r="G164" s="46"/>
      <c r="H164" s="46"/>
      <c r="I164" s="46"/>
      <c r="J164" s="46"/>
      <c r="K164" s="46"/>
      <c r="L164" s="71"/>
      <c r="M164" s="60"/>
      <c r="N164" s="60"/>
      <c r="O164" s="60"/>
      <c r="P164" s="60"/>
      <c r="W164" s="2"/>
      <c r="X164" s="2"/>
    </row>
    <row r="165" spans="1:24" ht="15.75" customHeight="1" x14ac:dyDescent="0.2">
      <c r="A165" s="44"/>
      <c r="B165" s="47"/>
      <c r="C165" s="50"/>
      <c r="D165" s="50"/>
      <c r="E165" s="50"/>
      <c r="F165" s="50"/>
      <c r="G165" s="46"/>
      <c r="H165" s="46"/>
      <c r="I165" s="46"/>
      <c r="J165" s="46"/>
      <c r="K165" s="46"/>
      <c r="L165" s="71"/>
      <c r="M165" s="60"/>
      <c r="N165" s="60"/>
      <c r="O165" s="60"/>
      <c r="P165" s="60"/>
      <c r="W165" s="2"/>
      <c r="X165" s="2"/>
    </row>
    <row r="166" spans="1:24" ht="15.75" customHeight="1" x14ac:dyDescent="0.2">
      <c r="A166" s="44"/>
      <c r="B166" s="47"/>
      <c r="C166" s="50"/>
      <c r="D166" s="50"/>
      <c r="E166" s="50"/>
      <c r="F166" s="50"/>
      <c r="G166" s="46"/>
      <c r="H166" s="46"/>
      <c r="I166" s="46"/>
      <c r="J166" s="46"/>
      <c r="K166" s="46"/>
      <c r="L166" s="71"/>
      <c r="M166" s="60"/>
      <c r="N166" s="60"/>
      <c r="O166" s="60"/>
      <c r="P166" s="60"/>
      <c r="W166" s="2"/>
      <c r="X166" s="2"/>
    </row>
    <row r="167" spans="1:24" ht="15.75" customHeight="1" x14ac:dyDescent="0.2">
      <c r="A167" s="44"/>
      <c r="B167" s="47"/>
      <c r="C167" s="50"/>
      <c r="D167" s="50"/>
      <c r="E167" s="50"/>
      <c r="F167" s="50"/>
      <c r="G167" s="46"/>
      <c r="H167" s="46"/>
      <c r="I167" s="46"/>
      <c r="J167" s="46"/>
      <c r="K167" s="46"/>
      <c r="L167" s="71"/>
      <c r="M167" s="60"/>
      <c r="N167" s="60"/>
      <c r="O167" s="60"/>
      <c r="P167" s="60"/>
      <c r="W167" s="2"/>
      <c r="X167" s="2"/>
    </row>
    <row r="168" spans="1:24" ht="15.75" customHeight="1" x14ac:dyDescent="0.2">
      <c r="A168" s="44"/>
      <c r="B168" s="47"/>
      <c r="C168" s="50"/>
      <c r="D168" s="50"/>
      <c r="E168" s="50"/>
      <c r="F168" s="50"/>
      <c r="G168" s="46"/>
      <c r="H168" s="46"/>
      <c r="I168" s="46"/>
      <c r="J168" s="46"/>
      <c r="K168" s="46"/>
      <c r="L168" s="71"/>
      <c r="M168" s="60"/>
      <c r="N168" s="60"/>
      <c r="O168" s="60"/>
      <c r="P168" s="60"/>
      <c r="W168" s="2"/>
      <c r="X168" s="2"/>
    </row>
    <row r="169" spans="1:24" ht="15.75" customHeight="1" x14ac:dyDescent="0.2">
      <c r="A169" s="44"/>
      <c r="B169" s="47"/>
      <c r="C169" s="50"/>
      <c r="D169" s="50"/>
      <c r="E169" s="50"/>
      <c r="F169" s="50"/>
      <c r="G169" s="46"/>
      <c r="H169" s="46"/>
      <c r="I169" s="46"/>
      <c r="J169" s="46"/>
      <c r="K169" s="46"/>
      <c r="L169" s="71"/>
      <c r="M169" s="60"/>
      <c r="N169" s="60"/>
      <c r="O169" s="60"/>
      <c r="P169" s="60"/>
      <c r="W169" s="2"/>
      <c r="X169" s="2"/>
    </row>
    <row r="170" spans="1:24" ht="15.75" customHeight="1" x14ac:dyDescent="0.2">
      <c r="A170" s="44"/>
      <c r="B170" s="47"/>
      <c r="C170" s="50"/>
      <c r="D170" s="50"/>
      <c r="E170" s="50"/>
      <c r="F170" s="50"/>
      <c r="G170" s="46"/>
      <c r="H170" s="46"/>
      <c r="I170" s="46"/>
      <c r="J170" s="46"/>
      <c r="K170" s="46"/>
      <c r="L170" s="71"/>
      <c r="M170" s="60"/>
      <c r="N170" s="60"/>
      <c r="O170" s="60"/>
      <c r="P170" s="60"/>
      <c r="W170" s="2"/>
      <c r="X170" s="2"/>
    </row>
    <row r="171" spans="1:24" ht="15.75" customHeight="1" x14ac:dyDescent="0.2">
      <c r="A171" s="44"/>
      <c r="B171" s="47"/>
      <c r="C171" s="50"/>
      <c r="D171" s="50"/>
      <c r="E171" s="50"/>
      <c r="F171" s="50"/>
      <c r="G171" s="46"/>
      <c r="H171" s="46"/>
      <c r="I171" s="46"/>
      <c r="J171" s="46"/>
      <c r="K171" s="46"/>
      <c r="L171" s="71"/>
      <c r="M171" s="60"/>
      <c r="N171" s="60"/>
      <c r="O171" s="60"/>
      <c r="P171" s="60"/>
      <c r="W171" s="2"/>
      <c r="X171" s="2"/>
    </row>
    <row r="172" spans="1:24" ht="15.75" customHeight="1" x14ac:dyDescent="0.2">
      <c r="A172" s="44"/>
      <c r="B172" s="47"/>
      <c r="C172" s="50"/>
      <c r="D172" s="50"/>
      <c r="E172" s="50"/>
      <c r="F172" s="50"/>
      <c r="G172" s="46"/>
      <c r="H172" s="46"/>
      <c r="I172" s="46"/>
      <c r="J172" s="46"/>
      <c r="K172" s="46"/>
      <c r="L172" s="71"/>
      <c r="M172" s="60"/>
      <c r="N172" s="60"/>
      <c r="O172" s="60"/>
      <c r="P172" s="60"/>
      <c r="W172" s="2"/>
      <c r="X172" s="2"/>
    </row>
    <row r="173" spans="1:24" ht="15.75" customHeight="1" x14ac:dyDescent="0.2">
      <c r="A173" s="44"/>
      <c r="B173" s="47"/>
      <c r="C173" s="50"/>
      <c r="D173" s="50"/>
      <c r="E173" s="50"/>
      <c r="F173" s="50"/>
      <c r="G173" s="46"/>
      <c r="H173" s="46"/>
      <c r="I173" s="46"/>
      <c r="J173" s="46"/>
      <c r="K173" s="46"/>
      <c r="L173" s="71"/>
      <c r="M173" s="60"/>
      <c r="N173" s="60"/>
      <c r="O173" s="60"/>
      <c r="P173" s="60"/>
      <c r="W173" s="2"/>
      <c r="X173" s="2"/>
    </row>
    <row r="174" spans="1:24" ht="15.75" customHeight="1" x14ac:dyDescent="0.2">
      <c r="A174" s="44"/>
      <c r="B174" s="47"/>
      <c r="C174" s="50"/>
      <c r="D174" s="50"/>
      <c r="E174" s="50"/>
      <c r="F174" s="50"/>
      <c r="G174" s="46"/>
      <c r="H174" s="46"/>
      <c r="I174" s="46"/>
      <c r="J174" s="46"/>
      <c r="K174" s="46"/>
      <c r="L174" s="71"/>
      <c r="M174" s="60"/>
      <c r="N174" s="60"/>
      <c r="O174" s="60"/>
      <c r="P174" s="60"/>
      <c r="W174" s="2"/>
      <c r="X174" s="2"/>
    </row>
    <row r="175" spans="1:24" ht="15.75" customHeight="1" x14ac:dyDescent="0.2">
      <c r="A175" s="44"/>
      <c r="B175" s="47"/>
      <c r="C175" s="50"/>
      <c r="D175" s="50"/>
      <c r="E175" s="50"/>
      <c r="F175" s="50"/>
      <c r="G175" s="46"/>
      <c r="H175" s="46"/>
      <c r="I175" s="46"/>
      <c r="J175" s="46"/>
      <c r="K175" s="46"/>
      <c r="L175" s="71"/>
      <c r="M175" s="60"/>
      <c r="N175" s="60"/>
      <c r="O175" s="60"/>
      <c r="P175" s="60"/>
      <c r="W175" s="2"/>
      <c r="X175" s="2"/>
    </row>
    <row r="176" spans="1:24" ht="15.75" customHeight="1" x14ac:dyDescent="0.2">
      <c r="A176" s="44"/>
      <c r="B176" s="47"/>
      <c r="C176" s="50"/>
      <c r="D176" s="50"/>
      <c r="E176" s="50"/>
      <c r="F176" s="50"/>
      <c r="G176" s="46"/>
      <c r="H176" s="46"/>
      <c r="I176" s="46"/>
      <c r="J176" s="46"/>
      <c r="K176" s="46"/>
      <c r="L176" s="71"/>
      <c r="M176" s="60"/>
      <c r="N176" s="60"/>
      <c r="O176" s="60"/>
      <c r="P176" s="60"/>
      <c r="W176" s="2"/>
      <c r="X176" s="2"/>
    </row>
    <row r="177" spans="1:24" ht="15.75" customHeight="1" x14ac:dyDescent="0.2">
      <c r="A177" s="44"/>
      <c r="B177" s="47"/>
      <c r="C177" s="50"/>
      <c r="D177" s="50"/>
      <c r="E177" s="50"/>
      <c r="F177" s="50"/>
      <c r="G177" s="46"/>
      <c r="H177" s="46"/>
      <c r="I177" s="46"/>
      <c r="J177" s="46"/>
      <c r="K177" s="46"/>
      <c r="L177" s="71"/>
      <c r="M177" s="60"/>
      <c r="N177" s="60"/>
      <c r="O177" s="60"/>
      <c r="P177" s="60"/>
      <c r="W177" s="2"/>
      <c r="X177" s="2"/>
    </row>
    <row r="178" spans="1:24" ht="15.75" customHeight="1" x14ac:dyDescent="0.2">
      <c r="A178" s="44"/>
      <c r="B178" s="47"/>
      <c r="C178" s="50"/>
      <c r="D178" s="50"/>
      <c r="E178" s="50"/>
      <c r="F178" s="50"/>
      <c r="G178" s="46"/>
      <c r="H178" s="46"/>
      <c r="I178" s="46"/>
      <c r="J178" s="46"/>
      <c r="K178" s="46"/>
      <c r="L178" s="71"/>
      <c r="M178" s="60"/>
      <c r="N178" s="60"/>
      <c r="O178" s="60"/>
      <c r="P178" s="60"/>
      <c r="W178" s="2"/>
      <c r="X178" s="2"/>
    </row>
    <row r="179" spans="1:24" ht="15.75" customHeight="1" x14ac:dyDescent="0.2">
      <c r="A179" s="44"/>
      <c r="B179" s="47"/>
      <c r="C179" s="50"/>
      <c r="D179" s="50"/>
      <c r="E179" s="50"/>
      <c r="F179" s="50"/>
      <c r="G179" s="46"/>
      <c r="H179" s="46"/>
      <c r="I179" s="46"/>
      <c r="J179" s="46"/>
      <c r="K179" s="46"/>
      <c r="L179" s="71"/>
      <c r="M179" s="60"/>
      <c r="N179" s="60"/>
      <c r="O179" s="60"/>
      <c r="P179" s="60"/>
      <c r="W179" s="2"/>
      <c r="X179" s="2"/>
    </row>
    <row r="180" spans="1:24" ht="15.75" customHeight="1" x14ac:dyDescent="0.2">
      <c r="A180" s="44"/>
      <c r="B180" s="47"/>
      <c r="C180" s="50"/>
      <c r="D180" s="50"/>
      <c r="E180" s="50"/>
      <c r="F180" s="50"/>
      <c r="G180" s="46"/>
      <c r="H180" s="46"/>
      <c r="I180" s="46"/>
      <c r="J180" s="46"/>
      <c r="K180" s="46"/>
      <c r="L180" s="71"/>
      <c r="M180" s="60"/>
      <c r="N180" s="60"/>
      <c r="O180" s="60"/>
      <c r="P180" s="60"/>
      <c r="W180" s="2"/>
      <c r="X180" s="2"/>
    </row>
    <row r="181" spans="1:24" ht="15.75" customHeight="1" x14ac:dyDescent="0.2">
      <c r="A181" s="44"/>
      <c r="B181" s="47"/>
      <c r="C181" s="50"/>
      <c r="D181" s="50"/>
      <c r="E181" s="50"/>
      <c r="F181" s="50"/>
      <c r="G181" s="46"/>
      <c r="H181" s="46"/>
      <c r="I181" s="46"/>
      <c r="J181" s="46"/>
      <c r="K181" s="46"/>
      <c r="L181" s="71"/>
      <c r="M181" s="60"/>
      <c r="N181" s="60"/>
      <c r="O181" s="60"/>
      <c r="P181" s="60"/>
      <c r="W181" s="2"/>
      <c r="X181" s="2"/>
    </row>
    <row r="182" spans="1:24" ht="15.75" customHeight="1" x14ac:dyDescent="0.2">
      <c r="A182" s="44"/>
      <c r="B182" s="47"/>
      <c r="C182" s="50"/>
      <c r="D182" s="50"/>
      <c r="E182" s="50"/>
      <c r="F182" s="50"/>
      <c r="G182" s="46"/>
      <c r="H182" s="46"/>
      <c r="I182" s="46"/>
      <c r="J182" s="46"/>
      <c r="K182" s="46"/>
      <c r="L182" s="71"/>
      <c r="M182" s="60"/>
      <c r="N182" s="60"/>
      <c r="O182" s="60"/>
      <c r="P182" s="60"/>
      <c r="W182" s="2"/>
      <c r="X182" s="2"/>
    </row>
    <row r="183" spans="1:24" ht="15.75" customHeight="1" x14ac:dyDescent="0.2">
      <c r="A183" s="44"/>
      <c r="B183" s="47"/>
      <c r="C183" s="50"/>
      <c r="D183" s="50"/>
      <c r="E183" s="50"/>
      <c r="F183" s="50"/>
      <c r="G183" s="46"/>
      <c r="H183" s="46"/>
      <c r="I183" s="46"/>
      <c r="J183" s="46"/>
      <c r="K183" s="46"/>
      <c r="L183" s="71"/>
      <c r="M183" s="60"/>
      <c r="N183" s="60"/>
      <c r="O183" s="60"/>
      <c r="P183" s="60"/>
      <c r="W183" s="2"/>
      <c r="X183" s="2"/>
    </row>
    <row r="184" spans="1:24" ht="15.75" customHeight="1" x14ac:dyDescent="0.2">
      <c r="A184" s="44"/>
      <c r="B184" s="47"/>
      <c r="C184" s="50"/>
      <c r="D184" s="50"/>
      <c r="E184" s="50"/>
      <c r="F184" s="50"/>
      <c r="G184" s="46"/>
      <c r="H184" s="46"/>
      <c r="I184" s="46"/>
      <c r="J184" s="46"/>
      <c r="K184" s="46"/>
      <c r="L184" s="71"/>
      <c r="M184" s="60"/>
      <c r="N184" s="60"/>
      <c r="O184" s="60"/>
      <c r="P184" s="60"/>
      <c r="W184" s="2"/>
      <c r="X184" s="2"/>
    </row>
    <row r="185" spans="1:24" ht="15.75" customHeight="1" x14ac:dyDescent="0.2">
      <c r="A185" s="44"/>
      <c r="B185" s="47"/>
      <c r="C185" s="50"/>
      <c r="D185" s="50"/>
      <c r="E185" s="50"/>
      <c r="F185" s="50"/>
      <c r="G185" s="46"/>
      <c r="H185" s="46"/>
      <c r="I185" s="46"/>
      <c r="J185" s="46"/>
      <c r="K185" s="46"/>
      <c r="L185" s="71"/>
      <c r="M185" s="60"/>
      <c r="N185" s="60"/>
      <c r="O185" s="60"/>
      <c r="P185" s="60"/>
      <c r="W185" s="2"/>
      <c r="X185" s="2"/>
    </row>
    <row r="186" spans="1:24" ht="15.75" customHeight="1" x14ac:dyDescent="0.2">
      <c r="A186" s="44"/>
      <c r="B186" s="47"/>
      <c r="C186" s="50"/>
      <c r="D186" s="50"/>
      <c r="E186" s="50"/>
      <c r="F186" s="50"/>
      <c r="G186" s="46"/>
      <c r="H186" s="46"/>
      <c r="I186" s="46"/>
      <c r="J186" s="46"/>
      <c r="K186" s="46"/>
      <c r="L186" s="71"/>
      <c r="M186" s="60"/>
      <c r="N186" s="60"/>
      <c r="O186" s="60"/>
      <c r="P186" s="60"/>
      <c r="W186" s="2"/>
      <c r="X186" s="2"/>
    </row>
    <row r="187" spans="1:24" ht="15.75" customHeight="1" x14ac:dyDescent="0.2">
      <c r="A187" s="44"/>
      <c r="B187" s="47"/>
      <c r="C187" s="50"/>
      <c r="D187" s="50"/>
      <c r="E187" s="50"/>
      <c r="F187" s="50"/>
      <c r="G187" s="46"/>
      <c r="H187" s="46"/>
      <c r="I187" s="46"/>
      <c r="J187" s="46"/>
      <c r="K187" s="46"/>
      <c r="L187" s="71"/>
      <c r="M187" s="60"/>
      <c r="N187" s="60"/>
      <c r="O187" s="60"/>
      <c r="P187" s="60"/>
      <c r="W187" s="2"/>
      <c r="X187" s="2"/>
    </row>
    <row r="188" spans="1:24" ht="15.75" customHeight="1" x14ac:dyDescent="0.2">
      <c r="A188" s="44"/>
      <c r="B188" s="47"/>
      <c r="C188" s="50"/>
      <c r="D188" s="50"/>
      <c r="E188" s="50"/>
      <c r="F188" s="50"/>
      <c r="G188" s="46"/>
      <c r="H188" s="46"/>
      <c r="I188" s="46"/>
      <c r="J188" s="46"/>
      <c r="K188" s="46"/>
      <c r="L188" s="71"/>
      <c r="M188" s="60"/>
      <c r="N188" s="60"/>
      <c r="O188" s="60"/>
      <c r="P188" s="60"/>
      <c r="W188" s="2"/>
      <c r="X188" s="2"/>
    </row>
    <row r="189" spans="1:24" ht="15.75" customHeight="1" x14ac:dyDescent="0.2">
      <c r="A189" s="44"/>
      <c r="B189" s="47"/>
      <c r="C189" s="50"/>
      <c r="D189" s="50"/>
      <c r="E189" s="50"/>
      <c r="F189" s="50"/>
      <c r="G189" s="46"/>
      <c r="H189" s="46"/>
      <c r="I189" s="46"/>
      <c r="J189" s="46"/>
      <c r="K189" s="46"/>
      <c r="L189" s="71"/>
      <c r="M189" s="60"/>
      <c r="N189" s="60"/>
      <c r="O189" s="60"/>
      <c r="P189" s="60"/>
      <c r="W189" s="2"/>
      <c r="X189" s="2"/>
    </row>
    <row r="190" spans="1:24" ht="15.75" customHeight="1" x14ac:dyDescent="0.2">
      <c r="A190" s="44"/>
      <c r="B190" s="47"/>
      <c r="C190" s="50"/>
      <c r="D190" s="50"/>
      <c r="E190" s="50"/>
      <c r="F190" s="50"/>
      <c r="G190" s="46"/>
      <c r="H190" s="46"/>
      <c r="I190" s="46"/>
      <c r="J190" s="46"/>
      <c r="K190" s="46"/>
      <c r="L190" s="71"/>
      <c r="M190" s="60"/>
      <c r="N190" s="60"/>
      <c r="O190" s="60"/>
      <c r="P190" s="60"/>
      <c r="W190" s="2"/>
      <c r="X190" s="2"/>
    </row>
    <row r="191" spans="1:24" ht="15.75" customHeight="1" x14ac:dyDescent="0.2">
      <c r="A191" s="44"/>
      <c r="B191" s="47"/>
      <c r="C191" s="50"/>
      <c r="D191" s="50"/>
      <c r="E191" s="50"/>
      <c r="F191" s="50"/>
      <c r="G191" s="46"/>
      <c r="H191" s="46"/>
      <c r="I191" s="46"/>
      <c r="J191" s="46"/>
      <c r="K191" s="46"/>
      <c r="L191" s="71"/>
      <c r="M191" s="60"/>
      <c r="N191" s="60"/>
      <c r="O191" s="60"/>
      <c r="P191" s="60"/>
      <c r="W191" s="2"/>
      <c r="X191" s="2"/>
    </row>
    <row r="192" spans="1:24" ht="15.75" customHeight="1" x14ac:dyDescent="0.2">
      <c r="A192" s="44"/>
      <c r="B192" s="47"/>
      <c r="C192" s="50"/>
      <c r="D192" s="50"/>
      <c r="E192" s="50"/>
      <c r="F192" s="50"/>
      <c r="G192" s="46"/>
      <c r="H192" s="46"/>
      <c r="I192" s="46"/>
      <c r="J192" s="46"/>
      <c r="K192" s="46"/>
      <c r="L192" s="71"/>
      <c r="M192" s="60"/>
      <c r="N192" s="60"/>
      <c r="O192" s="60"/>
      <c r="P192" s="60"/>
      <c r="W192" s="2"/>
      <c r="X192" s="2"/>
    </row>
    <row r="193" spans="1:24" ht="15.75" customHeight="1" x14ac:dyDescent="0.2">
      <c r="A193" s="44"/>
      <c r="B193" s="47"/>
      <c r="C193" s="50"/>
      <c r="D193" s="50"/>
      <c r="E193" s="50"/>
      <c r="F193" s="50"/>
      <c r="G193" s="46"/>
      <c r="H193" s="46"/>
      <c r="I193" s="46"/>
      <c r="J193" s="46"/>
      <c r="K193" s="46"/>
      <c r="L193" s="71"/>
      <c r="M193" s="60"/>
      <c r="N193" s="60"/>
      <c r="O193" s="60"/>
      <c r="P193" s="60"/>
      <c r="W193" s="2"/>
      <c r="X193" s="2"/>
    </row>
    <row r="194" spans="1:24" ht="15.75" customHeight="1" x14ac:dyDescent="0.2">
      <c r="A194" s="44"/>
      <c r="B194" s="47"/>
      <c r="C194" s="50"/>
      <c r="D194" s="50"/>
      <c r="E194" s="50"/>
      <c r="F194" s="50"/>
      <c r="G194" s="46"/>
      <c r="H194" s="46"/>
      <c r="I194" s="46"/>
      <c r="J194" s="46"/>
      <c r="K194" s="46"/>
      <c r="L194" s="71"/>
      <c r="M194" s="60"/>
      <c r="N194" s="60"/>
      <c r="O194" s="60"/>
      <c r="P194" s="60"/>
      <c r="W194" s="2"/>
      <c r="X194" s="2"/>
    </row>
    <row r="195" spans="1:24" ht="15.75" customHeight="1" x14ac:dyDescent="0.2">
      <c r="A195" s="44"/>
      <c r="B195" s="47"/>
      <c r="C195" s="50"/>
      <c r="D195" s="50"/>
      <c r="E195" s="50"/>
      <c r="F195" s="50"/>
      <c r="G195" s="46"/>
      <c r="H195" s="46"/>
      <c r="I195" s="46"/>
      <c r="J195" s="46"/>
      <c r="K195" s="46"/>
      <c r="L195" s="71"/>
      <c r="M195" s="60"/>
      <c r="N195" s="60"/>
      <c r="O195" s="60"/>
      <c r="P195" s="60"/>
      <c r="W195" s="2"/>
      <c r="X195" s="2"/>
    </row>
    <row r="196" spans="1:24" ht="15.75" customHeight="1" x14ac:dyDescent="0.2">
      <c r="A196" s="44"/>
      <c r="B196" s="47"/>
      <c r="C196" s="50"/>
      <c r="D196" s="50"/>
      <c r="E196" s="50"/>
      <c r="F196" s="50"/>
      <c r="G196" s="46"/>
      <c r="H196" s="46"/>
      <c r="I196" s="46"/>
      <c r="J196" s="46"/>
      <c r="K196" s="46"/>
      <c r="L196" s="71"/>
      <c r="M196" s="60"/>
      <c r="N196" s="60"/>
      <c r="O196" s="60"/>
      <c r="P196" s="60"/>
      <c r="W196" s="2"/>
      <c r="X196" s="2"/>
    </row>
    <row r="197" spans="1:24" ht="15.75" customHeight="1" x14ac:dyDescent="0.2">
      <c r="A197" s="44"/>
      <c r="B197" s="47"/>
      <c r="C197" s="50"/>
      <c r="D197" s="50"/>
      <c r="E197" s="50"/>
      <c r="F197" s="50"/>
      <c r="G197" s="46"/>
      <c r="H197" s="46"/>
      <c r="I197" s="46"/>
      <c r="J197" s="46"/>
      <c r="K197" s="46"/>
      <c r="L197" s="71"/>
      <c r="M197" s="60"/>
      <c r="N197" s="60"/>
      <c r="O197" s="60"/>
      <c r="P197" s="60"/>
      <c r="W197" s="2"/>
      <c r="X197" s="2"/>
    </row>
    <row r="198" spans="1:24" ht="15.75" customHeight="1" x14ac:dyDescent="0.2">
      <c r="A198" s="44"/>
      <c r="B198" s="47"/>
      <c r="C198" s="50"/>
      <c r="D198" s="50"/>
      <c r="E198" s="50"/>
      <c r="F198" s="50"/>
      <c r="G198" s="46"/>
      <c r="H198" s="46"/>
      <c r="I198" s="46"/>
      <c r="J198" s="46"/>
      <c r="K198" s="46"/>
      <c r="L198" s="71"/>
      <c r="M198" s="60"/>
      <c r="N198" s="60"/>
      <c r="O198" s="60"/>
      <c r="P198" s="60"/>
      <c r="W198" s="2"/>
      <c r="X198" s="2"/>
    </row>
    <row r="199" spans="1:24" ht="15.75" customHeight="1" x14ac:dyDescent="0.2">
      <c r="A199" s="44"/>
      <c r="B199" s="47"/>
      <c r="C199" s="50"/>
      <c r="D199" s="50"/>
      <c r="E199" s="50"/>
      <c r="F199" s="50"/>
      <c r="G199" s="46"/>
      <c r="H199" s="46"/>
      <c r="I199" s="46"/>
      <c r="J199" s="46"/>
      <c r="K199" s="46"/>
      <c r="L199" s="71"/>
      <c r="M199" s="60"/>
      <c r="N199" s="60"/>
      <c r="O199" s="60"/>
      <c r="P199" s="60"/>
      <c r="W199" s="2"/>
      <c r="X199" s="2"/>
    </row>
    <row r="200" spans="1:24" ht="15.75" customHeight="1" x14ac:dyDescent="0.2">
      <c r="A200" s="44"/>
      <c r="B200" s="47"/>
      <c r="C200" s="50"/>
      <c r="D200" s="50"/>
      <c r="E200" s="50"/>
      <c r="F200" s="50"/>
      <c r="G200" s="46"/>
      <c r="H200" s="46"/>
      <c r="I200" s="46"/>
      <c r="J200" s="46"/>
      <c r="K200" s="46"/>
      <c r="L200" s="71"/>
      <c r="M200" s="60"/>
      <c r="N200" s="60"/>
      <c r="O200" s="60"/>
      <c r="P200" s="60"/>
      <c r="W200" s="2"/>
      <c r="X200" s="2"/>
    </row>
    <row r="201" spans="1:24" ht="15.75" customHeight="1" x14ac:dyDescent="0.2">
      <c r="A201" s="44"/>
      <c r="B201" s="47"/>
      <c r="C201" s="50"/>
      <c r="D201" s="50"/>
      <c r="E201" s="50"/>
      <c r="F201" s="50"/>
      <c r="G201" s="46"/>
      <c r="H201" s="46"/>
      <c r="I201" s="46"/>
      <c r="J201" s="46"/>
      <c r="K201" s="46"/>
      <c r="L201" s="71"/>
      <c r="M201" s="60"/>
      <c r="N201" s="60"/>
      <c r="O201" s="60"/>
      <c r="P201" s="60"/>
      <c r="W201" s="2"/>
      <c r="X201" s="2"/>
    </row>
    <row r="202" spans="1:24" ht="15.75" customHeight="1" x14ac:dyDescent="0.2">
      <c r="A202" s="44"/>
      <c r="B202" s="47"/>
      <c r="C202" s="50"/>
      <c r="D202" s="50"/>
      <c r="E202" s="50"/>
      <c r="F202" s="50"/>
      <c r="G202" s="46"/>
      <c r="H202" s="46"/>
      <c r="I202" s="46"/>
      <c r="J202" s="46"/>
      <c r="K202" s="46"/>
      <c r="L202" s="71"/>
      <c r="M202" s="60"/>
      <c r="N202" s="60"/>
      <c r="O202" s="60"/>
      <c r="P202" s="60"/>
      <c r="W202" s="2"/>
      <c r="X202" s="2"/>
    </row>
    <row r="203" spans="1:24" ht="15.75" customHeight="1" x14ac:dyDescent="0.2">
      <c r="A203" s="44"/>
      <c r="B203" s="47"/>
      <c r="C203" s="50"/>
      <c r="D203" s="50"/>
      <c r="E203" s="50"/>
      <c r="F203" s="50"/>
      <c r="G203" s="46"/>
      <c r="H203" s="46"/>
      <c r="I203" s="46"/>
      <c r="J203" s="46"/>
      <c r="K203" s="46"/>
      <c r="L203" s="71"/>
      <c r="M203" s="60"/>
      <c r="N203" s="60"/>
      <c r="O203" s="60"/>
      <c r="P203" s="60"/>
      <c r="W203" s="2"/>
      <c r="X203" s="2"/>
    </row>
    <row r="204" spans="1:24" ht="15.75" customHeight="1" x14ac:dyDescent="0.2">
      <c r="A204" s="44"/>
      <c r="B204" s="47"/>
      <c r="C204" s="50"/>
      <c r="D204" s="50"/>
      <c r="E204" s="50"/>
      <c r="F204" s="50"/>
      <c r="G204" s="46"/>
      <c r="H204" s="46"/>
      <c r="I204" s="46"/>
      <c r="J204" s="46"/>
      <c r="K204" s="46"/>
      <c r="L204" s="71"/>
      <c r="M204" s="60"/>
      <c r="N204" s="60"/>
      <c r="O204" s="60"/>
      <c r="P204" s="60"/>
      <c r="W204" s="2"/>
      <c r="X204" s="2"/>
    </row>
    <row r="205" spans="1:24" ht="15.75" customHeight="1" x14ac:dyDescent="0.2">
      <c r="A205" s="44"/>
      <c r="B205" s="47"/>
      <c r="C205" s="50"/>
      <c r="D205" s="50"/>
      <c r="E205" s="50"/>
      <c r="F205" s="50"/>
      <c r="G205" s="46"/>
      <c r="H205" s="46"/>
      <c r="I205" s="46"/>
      <c r="J205" s="46"/>
      <c r="K205" s="46"/>
      <c r="L205" s="71"/>
      <c r="M205" s="60"/>
      <c r="N205" s="60"/>
      <c r="O205" s="60"/>
      <c r="P205" s="60"/>
      <c r="W205" s="2"/>
      <c r="X205" s="2"/>
    </row>
    <row r="206" spans="1:24" ht="15.75" customHeight="1" x14ac:dyDescent="0.2">
      <c r="A206" s="44"/>
      <c r="B206" s="47"/>
      <c r="C206" s="50"/>
      <c r="D206" s="50"/>
      <c r="E206" s="50"/>
      <c r="F206" s="50"/>
      <c r="G206" s="46"/>
      <c r="H206" s="46"/>
      <c r="I206" s="46"/>
      <c r="J206" s="46"/>
      <c r="K206" s="46"/>
      <c r="L206" s="71"/>
      <c r="M206" s="60"/>
      <c r="N206" s="60"/>
      <c r="O206" s="60"/>
      <c r="P206" s="60"/>
      <c r="W206" s="2"/>
      <c r="X206" s="2"/>
    </row>
    <row r="207" spans="1:24" ht="15.75" customHeight="1" x14ac:dyDescent="0.2">
      <c r="A207" s="44"/>
      <c r="B207" s="47"/>
      <c r="C207" s="50"/>
      <c r="D207" s="50"/>
      <c r="E207" s="50"/>
      <c r="F207" s="50"/>
      <c r="G207" s="46"/>
      <c r="H207" s="46"/>
      <c r="I207" s="46"/>
      <c r="J207" s="46"/>
      <c r="K207" s="46"/>
      <c r="L207" s="71"/>
      <c r="M207" s="60"/>
      <c r="N207" s="60"/>
      <c r="O207" s="60"/>
      <c r="P207" s="60"/>
      <c r="W207" s="2"/>
      <c r="X207" s="2"/>
    </row>
    <row r="208" spans="1:24" ht="15.75" customHeight="1" x14ac:dyDescent="0.2">
      <c r="A208" s="44"/>
      <c r="B208" s="47"/>
      <c r="C208" s="50"/>
      <c r="D208" s="50"/>
      <c r="E208" s="50"/>
      <c r="F208" s="50"/>
      <c r="G208" s="46"/>
      <c r="H208" s="46"/>
      <c r="I208" s="46"/>
      <c r="J208" s="46"/>
      <c r="K208" s="46"/>
      <c r="L208" s="71"/>
      <c r="M208" s="60"/>
      <c r="N208" s="60"/>
      <c r="O208" s="60"/>
      <c r="P208" s="60"/>
      <c r="W208" s="2"/>
      <c r="X208" s="2"/>
    </row>
    <row r="209" spans="1:24" ht="15.75" customHeight="1" x14ac:dyDescent="0.2">
      <c r="A209" s="44"/>
      <c r="B209" s="47"/>
      <c r="C209" s="50"/>
      <c r="D209" s="50"/>
      <c r="E209" s="50"/>
      <c r="F209" s="50"/>
      <c r="G209" s="46"/>
      <c r="H209" s="46"/>
      <c r="I209" s="46"/>
      <c r="J209" s="46"/>
      <c r="K209" s="46"/>
      <c r="L209" s="71"/>
      <c r="M209" s="60"/>
      <c r="N209" s="60"/>
      <c r="O209" s="60"/>
      <c r="P209" s="60"/>
      <c r="W209" s="2"/>
      <c r="X209" s="2"/>
    </row>
    <row r="210" spans="1:24" ht="15.75" customHeight="1" x14ac:dyDescent="0.2">
      <c r="A210" s="44"/>
      <c r="B210" s="47"/>
      <c r="C210" s="50"/>
      <c r="D210" s="50"/>
      <c r="E210" s="50"/>
      <c r="F210" s="50"/>
      <c r="G210" s="46"/>
      <c r="H210" s="46"/>
      <c r="I210" s="46"/>
      <c r="J210" s="46"/>
      <c r="K210" s="46"/>
      <c r="L210" s="71"/>
      <c r="M210" s="60"/>
      <c r="N210" s="60"/>
      <c r="O210" s="60"/>
      <c r="P210" s="60"/>
      <c r="W210" s="2"/>
      <c r="X210" s="2"/>
    </row>
    <row r="211" spans="1:24" ht="15.75" customHeight="1" x14ac:dyDescent="0.2">
      <c r="A211" s="44"/>
      <c r="B211" s="47"/>
      <c r="C211" s="50"/>
      <c r="D211" s="50"/>
      <c r="E211" s="50"/>
      <c r="F211" s="50"/>
      <c r="G211" s="46"/>
      <c r="H211" s="46"/>
      <c r="I211" s="46"/>
      <c r="J211" s="46"/>
      <c r="K211" s="46"/>
      <c r="L211" s="71"/>
      <c r="M211" s="60"/>
      <c r="N211" s="60"/>
      <c r="O211" s="60"/>
      <c r="P211" s="60"/>
      <c r="W211" s="2"/>
      <c r="X211" s="2"/>
    </row>
    <row r="212" spans="1:24" ht="15.75" customHeight="1" x14ac:dyDescent="0.2">
      <c r="A212" s="44"/>
      <c r="B212" s="47"/>
      <c r="C212" s="50"/>
      <c r="D212" s="50"/>
      <c r="E212" s="50"/>
      <c r="F212" s="50"/>
      <c r="G212" s="46"/>
      <c r="H212" s="46"/>
      <c r="I212" s="46"/>
      <c r="J212" s="46"/>
      <c r="K212" s="46"/>
      <c r="L212" s="71"/>
      <c r="M212" s="60"/>
      <c r="N212" s="60"/>
      <c r="O212" s="60"/>
      <c r="P212" s="60"/>
      <c r="W212" s="2"/>
      <c r="X212" s="2"/>
    </row>
    <row r="213" spans="1:24" ht="15.75" customHeight="1" x14ac:dyDescent="0.2">
      <c r="A213" s="44"/>
      <c r="B213" s="47"/>
      <c r="C213" s="50"/>
      <c r="D213" s="50"/>
      <c r="E213" s="50"/>
      <c r="F213" s="50"/>
      <c r="G213" s="46"/>
      <c r="H213" s="46"/>
      <c r="I213" s="46"/>
      <c r="J213" s="46"/>
      <c r="K213" s="46"/>
      <c r="L213" s="71"/>
      <c r="M213" s="60"/>
      <c r="N213" s="60"/>
      <c r="O213" s="60"/>
      <c r="P213" s="60"/>
      <c r="W213" s="2"/>
      <c r="X213" s="2"/>
    </row>
    <row r="214" spans="1:24" ht="15.75" customHeight="1" x14ac:dyDescent="0.2">
      <c r="A214" s="44"/>
      <c r="B214" s="47"/>
      <c r="C214" s="50"/>
      <c r="D214" s="50"/>
      <c r="E214" s="50"/>
      <c r="F214" s="50"/>
      <c r="G214" s="46"/>
      <c r="H214" s="46"/>
      <c r="I214" s="46"/>
      <c r="J214" s="46"/>
      <c r="K214" s="46"/>
      <c r="L214" s="71"/>
      <c r="M214" s="60"/>
      <c r="N214" s="60"/>
      <c r="O214" s="60"/>
      <c r="P214" s="60"/>
      <c r="W214" s="2"/>
      <c r="X214" s="2"/>
    </row>
    <row r="215" spans="1:24" ht="15.75" customHeight="1" x14ac:dyDescent="0.2">
      <c r="A215" s="44"/>
      <c r="B215" s="47"/>
      <c r="C215" s="50"/>
      <c r="D215" s="50"/>
      <c r="E215" s="50"/>
      <c r="F215" s="50"/>
      <c r="G215" s="46"/>
      <c r="H215" s="46"/>
      <c r="I215" s="46"/>
      <c r="J215" s="46"/>
      <c r="K215" s="46"/>
      <c r="L215" s="71"/>
      <c r="M215" s="60"/>
      <c r="N215" s="60"/>
      <c r="O215" s="60"/>
      <c r="P215" s="60"/>
      <c r="W215" s="2"/>
      <c r="X215" s="2"/>
    </row>
    <row r="216" spans="1:24" ht="15.75" customHeight="1" x14ac:dyDescent="0.2">
      <c r="A216" s="44"/>
      <c r="B216" s="47"/>
      <c r="C216" s="50"/>
      <c r="D216" s="50"/>
      <c r="E216" s="50"/>
      <c r="F216" s="50"/>
      <c r="G216" s="46"/>
      <c r="H216" s="46"/>
      <c r="I216" s="46"/>
      <c r="J216" s="46"/>
      <c r="K216" s="46"/>
      <c r="L216" s="71"/>
      <c r="M216" s="60"/>
      <c r="N216" s="60"/>
      <c r="O216" s="60"/>
      <c r="P216" s="60"/>
      <c r="W216" s="2"/>
      <c r="X216" s="2"/>
    </row>
    <row r="217" spans="1:24" ht="15.75" customHeight="1" x14ac:dyDescent="0.2">
      <c r="A217" s="44"/>
      <c r="B217" s="47"/>
      <c r="C217" s="50"/>
      <c r="D217" s="50"/>
      <c r="E217" s="50"/>
      <c r="F217" s="50"/>
      <c r="G217" s="46"/>
      <c r="H217" s="46"/>
      <c r="I217" s="46"/>
      <c r="J217" s="46"/>
      <c r="K217" s="46"/>
      <c r="L217" s="71"/>
      <c r="M217" s="60"/>
      <c r="N217" s="60"/>
      <c r="O217" s="60"/>
      <c r="P217" s="60"/>
      <c r="W217" s="2"/>
      <c r="X217" s="2"/>
    </row>
    <row r="218" spans="1:24" ht="15.75" customHeight="1" x14ac:dyDescent="0.2">
      <c r="A218" s="44"/>
      <c r="B218" s="47"/>
      <c r="C218" s="50"/>
      <c r="D218" s="50"/>
      <c r="E218" s="50"/>
      <c r="F218" s="50"/>
      <c r="G218" s="46"/>
      <c r="H218" s="46"/>
      <c r="I218" s="46"/>
      <c r="J218" s="46"/>
      <c r="K218" s="46"/>
      <c r="L218" s="71"/>
      <c r="M218" s="60"/>
      <c r="N218" s="60"/>
      <c r="O218" s="60"/>
      <c r="P218" s="60"/>
      <c r="W218" s="2"/>
      <c r="X218" s="2"/>
    </row>
    <row r="219" spans="1:24" ht="15.75" customHeight="1" x14ac:dyDescent="0.2">
      <c r="A219" s="44"/>
      <c r="B219" s="47"/>
      <c r="C219" s="50"/>
      <c r="D219" s="50"/>
      <c r="E219" s="50"/>
      <c r="F219" s="50"/>
      <c r="G219" s="46"/>
      <c r="H219" s="46"/>
      <c r="I219" s="46"/>
      <c r="J219" s="46"/>
      <c r="K219" s="46"/>
      <c r="L219" s="71"/>
      <c r="M219" s="60"/>
      <c r="N219" s="60"/>
      <c r="O219" s="60"/>
      <c r="P219" s="60"/>
      <c r="W219" s="2"/>
      <c r="X219" s="2"/>
    </row>
    <row r="220" spans="1:24" ht="15.75" customHeight="1" x14ac:dyDescent="0.2">
      <c r="A220" s="44"/>
      <c r="B220" s="47"/>
      <c r="C220" s="50"/>
      <c r="D220" s="50"/>
      <c r="E220" s="50"/>
      <c r="F220" s="50"/>
      <c r="G220" s="46"/>
      <c r="H220" s="46"/>
      <c r="I220" s="46"/>
      <c r="J220" s="46"/>
      <c r="K220" s="46"/>
      <c r="L220" s="71"/>
      <c r="M220" s="60"/>
      <c r="N220" s="60"/>
      <c r="O220" s="60"/>
      <c r="P220" s="60"/>
      <c r="W220" s="2"/>
      <c r="X220" s="2"/>
    </row>
    <row r="221" spans="1:24" ht="15.75" customHeight="1" x14ac:dyDescent="0.2">
      <c r="A221" s="44"/>
      <c r="B221" s="47"/>
      <c r="C221" s="50"/>
      <c r="D221" s="50"/>
      <c r="E221" s="50"/>
      <c r="F221" s="50"/>
      <c r="G221" s="46"/>
      <c r="H221" s="46"/>
      <c r="I221" s="46"/>
      <c r="J221" s="46"/>
      <c r="K221" s="46"/>
      <c r="L221" s="71"/>
      <c r="M221" s="60"/>
      <c r="N221" s="60"/>
      <c r="O221" s="60"/>
      <c r="P221" s="60"/>
      <c r="W221" s="2"/>
      <c r="X221" s="2"/>
    </row>
    <row r="222" spans="1:24" ht="15.75" customHeight="1" x14ac:dyDescent="0.2">
      <c r="A222" s="44"/>
      <c r="B222" s="47"/>
      <c r="C222" s="50"/>
      <c r="D222" s="50"/>
      <c r="E222" s="50"/>
      <c r="F222" s="50"/>
      <c r="G222" s="46"/>
      <c r="H222" s="46"/>
      <c r="I222" s="46"/>
      <c r="J222" s="46"/>
      <c r="K222" s="46"/>
      <c r="L222" s="71"/>
      <c r="M222" s="60"/>
      <c r="N222" s="60"/>
      <c r="O222" s="60"/>
      <c r="P222" s="60"/>
      <c r="W222" s="2"/>
      <c r="X222" s="2"/>
    </row>
    <row r="223" spans="1:24" ht="15.75" customHeight="1" x14ac:dyDescent="0.2">
      <c r="A223" s="44"/>
      <c r="B223" s="47"/>
      <c r="C223" s="50"/>
      <c r="D223" s="50"/>
      <c r="E223" s="50"/>
      <c r="F223" s="50"/>
      <c r="G223" s="46"/>
      <c r="H223" s="46"/>
      <c r="I223" s="46"/>
      <c r="J223" s="46"/>
      <c r="K223" s="46"/>
      <c r="L223" s="71"/>
      <c r="M223" s="60"/>
      <c r="N223" s="60"/>
      <c r="O223" s="60"/>
      <c r="P223" s="60"/>
      <c r="W223" s="2"/>
      <c r="X223" s="2"/>
    </row>
    <row r="224" spans="1:24" ht="15.75" customHeight="1" x14ac:dyDescent="0.2">
      <c r="A224" s="44"/>
      <c r="B224" s="47"/>
      <c r="C224" s="50"/>
      <c r="D224" s="50"/>
      <c r="E224" s="50"/>
      <c r="F224" s="50"/>
      <c r="G224" s="46"/>
      <c r="H224" s="46"/>
      <c r="I224" s="46"/>
      <c r="J224" s="46"/>
      <c r="K224" s="46"/>
      <c r="L224" s="71"/>
      <c r="M224" s="60"/>
      <c r="N224" s="60"/>
      <c r="O224" s="60"/>
      <c r="P224" s="60"/>
      <c r="W224" s="2"/>
      <c r="X224" s="2"/>
    </row>
    <row r="225" spans="1:24" ht="15.75" customHeight="1" x14ac:dyDescent="0.2">
      <c r="A225" s="44"/>
      <c r="B225" s="47"/>
      <c r="C225" s="50"/>
      <c r="D225" s="50"/>
      <c r="E225" s="50"/>
      <c r="F225" s="50"/>
      <c r="G225" s="46"/>
      <c r="H225" s="46"/>
      <c r="I225" s="46"/>
      <c r="J225" s="46"/>
      <c r="K225" s="46"/>
      <c r="L225" s="71"/>
      <c r="M225" s="60"/>
      <c r="N225" s="60"/>
      <c r="O225" s="60"/>
      <c r="P225" s="60"/>
      <c r="W225" s="2"/>
      <c r="X225" s="2"/>
    </row>
    <row r="226" spans="1:24" ht="15.75" customHeight="1" x14ac:dyDescent="0.2">
      <c r="A226" s="44"/>
      <c r="B226" s="47"/>
      <c r="C226" s="50"/>
      <c r="D226" s="50"/>
      <c r="E226" s="50"/>
      <c r="F226" s="50"/>
      <c r="G226" s="46"/>
      <c r="H226" s="46"/>
      <c r="I226" s="46"/>
      <c r="J226" s="46"/>
      <c r="K226" s="46"/>
      <c r="L226" s="71"/>
      <c r="M226" s="60"/>
      <c r="N226" s="60"/>
      <c r="O226" s="60"/>
      <c r="P226" s="60"/>
      <c r="W226" s="2"/>
      <c r="X226" s="2"/>
    </row>
    <row r="227" spans="1:24" ht="15.75" customHeight="1" x14ac:dyDescent="0.2">
      <c r="A227" s="44"/>
      <c r="B227" s="47"/>
      <c r="C227" s="50"/>
      <c r="D227" s="50"/>
      <c r="E227" s="50"/>
      <c r="F227" s="50"/>
      <c r="G227" s="46"/>
      <c r="H227" s="46"/>
      <c r="I227" s="46"/>
      <c r="J227" s="46"/>
      <c r="K227" s="46"/>
      <c r="L227" s="71"/>
      <c r="M227" s="60"/>
      <c r="N227" s="60"/>
      <c r="O227" s="60"/>
      <c r="P227" s="60"/>
      <c r="W227" s="2"/>
      <c r="X227" s="2"/>
    </row>
    <row r="228" spans="1:24" ht="15.75" customHeight="1" x14ac:dyDescent="0.2">
      <c r="A228" s="44"/>
      <c r="B228" s="47"/>
      <c r="C228" s="50"/>
      <c r="D228" s="50"/>
      <c r="E228" s="50"/>
      <c r="F228" s="50"/>
      <c r="G228" s="46"/>
      <c r="H228" s="46"/>
      <c r="I228" s="46"/>
      <c r="J228" s="46"/>
      <c r="K228" s="46"/>
      <c r="L228" s="71"/>
      <c r="M228" s="60"/>
      <c r="N228" s="60"/>
      <c r="O228" s="60"/>
      <c r="P228" s="60"/>
      <c r="W228" s="2"/>
      <c r="X228" s="2"/>
    </row>
    <row r="229" spans="1:24" ht="15.75" customHeight="1" x14ac:dyDescent="0.2">
      <c r="A229" s="44"/>
      <c r="B229" s="47"/>
      <c r="C229" s="50"/>
      <c r="D229" s="50"/>
      <c r="E229" s="50"/>
      <c r="F229" s="50"/>
      <c r="G229" s="46"/>
      <c r="H229" s="46"/>
      <c r="I229" s="46"/>
      <c r="J229" s="46"/>
      <c r="K229" s="46"/>
      <c r="L229" s="71"/>
      <c r="M229" s="60"/>
      <c r="N229" s="60"/>
      <c r="O229" s="60"/>
      <c r="P229" s="60"/>
      <c r="W229" s="2"/>
      <c r="X229" s="2"/>
    </row>
    <row r="230" spans="1:24" ht="15.75" customHeight="1" x14ac:dyDescent="0.2">
      <c r="A230" s="44"/>
      <c r="B230" s="47"/>
      <c r="C230" s="50"/>
      <c r="D230" s="50"/>
      <c r="E230" s="50"/>
      <c r="F230" s="50"/>
      <c r="G230" s="46"/>
      <c r="H230" s="46"/>
      <c r="I230" s="46"/>
      <c r="J230" s="46"/>
      <c r="K230" s="46"/>
      <c r="L230" s="71"/>
      <c r="M230" s="60"/>
      <c r="N230" s="60"/>
      <c r="O230" s="60"/>
      <c r="P230" s="60"/>
      <c r="W230" s="2"/>
      <c r="X230" s="2"/>
    </row>
    <row r="231" spans="1:24" ht="15.75" customHeight="1" x14ac:dyDescent="0.2">
      <c r="A231" s="44"/>
      <c r="B231" s="47"/>
      <c r="C231" s="50"/>
      <c r="D231" s="50"/>
      <c r="E231" s="50"/>
      <c r="F231" s="50"/>
      <c r="G231" s="46"/>
      <c r="H231" s="46"/>
      <c r="I231" s="46"/>
      <c r="J231" s="46"/>
      <c r="K231" s="46"/>
      <c r="L231" s="71"/>
      <c r="M231" s="60"/>
      <c r="N231" s="60"/>
      <c r="O231" s="60"/>
      <c r="P231" s="60"/>
      <c r="W231" s="2"/>
      <c r="X231" s="2"/>
    </row>
    <row r="232" spans="1:24" ht="15.75" customHeight="1" x14ac:dyDescent="0.2">
      <c r="A232" s="44"/>
      <c r="B232" s="47"/>
      <c r="C232" s="50"/>
      <c r="D232" s="50"/>
      <c r="E232" s="50"/>
      <c r="F232" s="50"/>
      <c r="G232" s="46"/>
      <c r="H232" s="46"/>
      <c r="I232" s="46"/>
      <c r="J232" s="46"/>
      <c r="K232" s="46"/>
      <c r="L232" s="71"/>
      <c r="M232" s="60"/>
      <c r="N232" s="60"/>
      <c r="O232" s="60"/>
      <c r="P232" s="60"/>
      <c r="W232" s="2"/>
      <c r="X232" s="2"/>
    </row>
    <row r="233" spans="1:24" ht="15.75" customHeight="1" x14ac:dyDescent="0.2">
      <c r="A233" s="44"/>
      <c r="B233" s="47"/>
      <c r="C233" s="50"/>
      <c r="D233" s="50"/>
      <c r="E233" s="50"/>
      <c r="F233" s="50"/>
      <c r="G233" s="46"/>
      <c r="H233" s="46"/>
      <c r="I233" s="46"/>
      <c r="J233" s="46"/>
      <c r="K233" s="46"/>
      <c r="L233" s="71"/>
      <c r="M233" s="60"/>
      <c r="N233" s="60"/>
      <c r="O233" s="60"/>
      <c r="P233" s="60"/>
      <c r="W233" s="2"/>
      <c r="X233" s="2"/>
    </row>
    <row r="234" spans="1:24" ht="15.75" customHeight="1" x14ac:dyDescent="0.2">
      <c r="A234" s="44"/>
      <c r="B234" s="47"/>
      <c r="C234" s="50"/>
      <c r="D234" s="50"/>
      <c r="E234" s="50"/>
      <c r="F234" s="50"/>
      <c r="G234" s="46"/>
      <c r="H234" s="46"/>
      <c r="I234" s="46"/>
      <c r="J234" s="46"/>
      <c r="K234" s="46"/>
      <c r="L234" s="71"/>
      <c r="M234" s="60"/>
      <c r="N234" s="60"/>
      <c r="O234" s="60"/>
      <c r="P234" s="60"/>
      <c r="W234" s="2"/>
      <c r="X234" s="2"/>
    </row>
    <row r="235" spans="1:24" ht="15.75" customHeight="1" x14ac:dyDescent="0.2">
      <c r="A235" s="44"/>
      <c r="B235" s="47"/>
      <c r="C235" s="50"/>
      <c r="D235" s="50"/>
      <c r="E235" s="50"/>
      <c r="F235" s="50"/>
      <c r="G235" s="46"/>
      <c r="H235" s="46"/>
      <c r="I235" s="46"/>
      <c r="J235" s="46"/>
      <c r="K235" s="46"/>
      <c r="L235" s="71"/>
      <c r="M235" s="60"/>
      <c r="N235" s="60"/>
      <c r="O235" s="60"/>
      <c r="P235" s="60"/>
      <c r="W235" s="2"/>
      <c r="X235" s="2"/>
    </row>
    <row r="236" spans="1:24" ht="15.75" customHeight="1" x14ac:dyDescent="0.2">
      <c r="A236" s="44"/>
      <c r="B236" s="47"/>
      <c r="C236" s="50"/>
      <c r="D236" s="50"/>
      <c r="E236" s="50"/>
      <c r="F236" s="50"/>
      <c r="G236" s="46"/>
      <c r="H236" s="46"/>
      <c r="I236" s="46"/>
      <c r="J236" s="46"/>
      <c r="K236" s="46"/>
      <c r="L236" s="71"/>
      <c r="M236" s="60"/>
      <c r="N236" s="60"/>
      <c r="O236" s="60"/>
      <c r="P236" s="60"/>
      <c r="W236" s="2"/>
      <c r="X236" s="2"/>
    </row>
    <row r="237" spans="1:24" ht="15.75" customHeight="1" x14ac:dyDescent="0.2">
      <c r="A237" s="44"/>
      <c r="B237" s="47"/>
      <c r="C237" s="50"/>
      <c r="D237" s="50"/>
      <c r="E237" s="50"/>
      <c r="F237" s="50"/>
      <c r="G237" s="46"/>
      <c r="H237" s="46"/>
      <c r="I237" s="46"/>
      <c r="J237" s="46"/>
      <c r="K237" s="46"/>
      <c r="L237" s="71"/>
      <c r="M237" s="60"/>
      <c r="N237" s="60"/>
      <c r="O237" s="60"/>
      <c r="P237" s="60"/>
      <c r="W237" s="2"/>
      <c r="X237" s="2"/>
    </row>
    <row r="238" spans="1:24" ht="15.75" customHeight="1" x14ac:dyDescent="0.2">
      <c r="A238" s="44"/>
      <c r="B238" s="47"/>
      <c r="C238" s="50"/>
      <c r="D238" s="50"/>
      <c r="E238" s="50"/>
      <c r="F238" s="50"/>
      <c r="G238" s="46"/>
      <c r="H238" s="46"/>
      <c r="I238" s="46"/>
      <c r="J238" s="46"/>
      <c r="K238" s="46"/>
      <c r="L238" s="71"/>
      <c r="M238" s="60"/>
      <c r="N238" s="60"/>
      <c r="O238" s="60"/>
      <c r="P238" s="60"/>
      <c r="W238" s="2"/>
      <c r="X238" s="2"/>
    </row>
    <row r="239" spans="1:24" ht="15.75" customHeight="1" x14ac:dyDescent="0.2">
      <c r="A239" s="44"/>
      <c r="B239" s="47"/>
      <c r="C239" s="50"/>
      <c r="D239" s="50"/>
      <c r="E239" s="50"/>
      <c r="F239" s="50"/>
      <c r="G239" s="46"/>
      <c r="H239" s="46"/>
      <c r="I239" s="46"/>
      <c r="J239" s="46"/>
      <c r="K239" s="46"/>
      <c r="L239" s="71"/>
      <c r="M239" s="60"/>
      <c r="N239" s="60"/>
      <c r="O239" s="60"/>
      <c r="P239" s="60"/>
      <c r="W239" s="2"/>
      <c r="X239" s="2"/>
    </row>
    <row r="240" spans="1:24" ht="15.75" customHeight="1" x14ac:dyDescent="0.2">
      <c r="A240" s="44"/>
      <c r="B240" s="47"/>
      <c r="C240" s="50"/>
      <c r="D240" s="50"/>
      <c r="E240" s="50"/>
      <c r="F240" s="50"/>
      <c r="G240" s="46"/>
      <c r="H240" s="46"/>
      <c r="I240" s="46"/>
      <c r="J240" s="46"/>
      <c r="K240" s="46"/>
      <c r="L240" s="71"/>
      <c r="M240" s="60"/>
      <c r="N240" s="60"/>
      <c r="O240" s="60"/>
      <c r="P240" s="60"/>
      <c r="W240" s="2"/>
      <c r="X240" s="2"/>
    </row>
    <row r="241" spans="1:24" ht="15.75" customHeight="1" x14ac:dyDescent="0.2">
      <c r="A241" s="44"/>
      <c r="B241" s="47"/>
      <c r="C241" s="50"/>
      <c r="D241" s="50"/>
      <c r="E241" s="50"/>
      <c r="F241" s="50"/>
      <c r="G241" s="46"/>
      <c r="H241" s="46"/>
      <c r="I241" s="46"/>
      <c r="J241" s="46"/>
      <c r="K241" s="46"/>
      <c r="L241" s="71"/>
      <c r="M241" s="60"/>
      <c r="N241" s="60"/>
      <c r="O241" s="60"/>
      <c r="P241" s="60"/>
      <c r="W241" s="2"/>
      <c r="X241" s="2"/>
    </row>
    <row r="242" spans="1:24" ht="15.75" customHeight="1" x14ac:dyDescent="0.2">
      <c r="A242" s="44"/>
      <c r="B242" s="47"/>
      <c r="C242" s="50"/>
      <c r="D242" s="50"/>
      <c r="E242" s="50"/>
      <c r="F242" s="50"/>
      <c r="G242" s="46"/>
      <c r="H242" s="46"/>
      <c r="I242" s="46"/>
      <c r="J242" s="46"/>
      <c r="K242" s="46"/>
      <c r="L242" s="71"/>
      <c r="M242" s="60"/>
      <c r="N242" s="60"/>
      <c r="O242" s="60"/>
      <c r="P242" s="60"/>
      <c r="W242" s="2"/>
      <c r="X242" s="2"/>
    </row>
    <row r="243" spans="1:24" ht="15.75" customHeight="1" x14ac:dyDescent="0.2">
      <c r="A243" s="44"/>
      <c r="B243" s="47"/>
      <c r="C243" s="50"/>
      <c r="D243" s="50"/>
      <c r="E243" s="50"/>
      <c r="F243" s="50"/>
      <c r="G243" s="46"/>
      <c r="H243" s="46"/>
      <c r="I243" s="46"/>
      <c r="J243" s="46"/>
      <c r="K243" s="46"/>
      <c r="L243" s="71"/>
      <c r="M243" s="60"/>
      <c r="N243" s="60"/>
      <c r="O243" s="60"/>
      <c r="P243" s="60"/>
      <c r="W243" s="2"/>
      <c r="X243" s="2"/>
    </row>
    <row r="244" spans="1:24" ht="15.75" customHeight="1" x14ac:dyDescent="0.2">
      <c r="A244" s="44"/>
      <c r="B244" s="47"/>
      <c r="C244" s="50"/>
      <c r="D244" s="50"/>
      <c r="E244" s="50"/>
      <c r="F244" s="50"/>
      <c r="G244" s="46"/>
      <c r="H244" s="46"/>
      <c r="I244" s="46"/>
      <c r="J244" s="46"/>
      <c r="K244" s="46"/>
      <c r="L244" s="71"/>
      <c r="M244" s="60"/>
      <c r="N244" s="60"/>
      <c r="O244" s="60"/>
      <c r="P244" s="60"/>
      <c r="W244" s="2"/>
      <c r="X244" s="2"/>
    </row>
    <row r="245" spans="1:24" ht="15.75" customHeight="1" x14ac:dyDescent="0.2">
      <c r="A245" s="44"/>
      <c r="B245" s="47"/>
      <c r="C245" s="50"/>
      <c r="D245" s="50"/>
      <c r="E245" s="50"/>
      <c r="F245" s="50"/>
      <c r="G245" s="46"/>
      <c r="H245" s="46"/>
      <c r="I245" s="46"/>
      <c r="J245" s="46"/>
      <c r="K245" s="46"/>
      <c r="L245" s="71"/>
      <c r="M245" s="60"/>
      <c r="N245" s="60"/>
      <c r="O245" s="60"/>
      <c r="P245" s="60"/>
      <c r="W245" s="2"/>
      <c r="X245" s="2"/>
    </row>
    <row r="246" spans="1:24" ht="15.75" customHeight="1" x14ac:dyDescent="0.2">
      <c r="A246" s="44"/>
      <c r="B246" s="47"/>
      <c r="C246" s="50"/>
      <c r="D246" s="50"/>
      <c r="E246" s="50"/>
      <c r="F246" s="50"/>
      <c r="G246" s="46"/>
      <c r="H246" s="46"/>
      <c r="I246" s="46"/>
      <c r="J246" s="46"/>
      <c r="K246" s="46"/>
      <c r="L246" s="71"/>
      <c r="M246" s="60"/>
      <c r="N246" s="60"/>
      <c r="O246" s="60"/>
      <c r="P246" s="60"/>
      <c r="W246" s="2"/>
      <c r="X246" s="2"/>
    </row>
    <row r="247" spans="1:24" ht="15.75" customHeight="1" x14ac:dyDescent="0.2">
      <c r="A247" s="44"/>
      <c r="B247" s="47"/>
      <c r="C247" s="50"/>
      <c r="D247" s="50"/>
      <c r="E247" s="50"/>
      <c r="F247" s="50"/>
      <c r="G247" s="46"/>
      <c r="H247" s="46"/>
      <c r="I247" s="46"/>
      <c r="J247" s="46"/>
      <c r="K247" s="46"/>
      <c r="L247" s="71"/>
      <c r="M247" s="60"/>
      <c r="N247" s="60"/>
      <c r="O247" s="60"/>
      <c r="P247" s="60"/>
      <c r="W247" s="2"/>
      <c r="X247" s="2"/>
    </row>
    <row r="248" spans="1:24" ht="15.75" customHeight="1" x14ac:dyDescent="0.2">
      <c r="A248" s="44"/>
      <c r="B248" s="47"/>
      <c r="C248" s="50"/>
      <c r="D248" s="50"/>
      <c r="E248" s="50"/>
      <c r="F248" s="50"/>
      <c r="G248" s="46"/>
      <c r="H248" s="46"/>
      <c r="I248" s="46"/>
      <c r="J248" s="46"/>
      <c r="K248" s="46"/>
      <c r="L248" s="71"/>
      <c r="M248" s="60"/>
      <c r="N248" s="60"/>
      <c r="O248" s="60"/>
      <c r="P248" s="60"/>
      <c r="W248" s="2"/>
      <c r="X248" s="2"/>
    </row>
    <row r="249" spans="1:24" ht="15.75" customHeight="1" x14ac:dyDescent="0.2">
      <c r="A249" s="44"/>
      <c r="B249" s="47"/>
      <c r="C249" s="50"/>
      <c r="D249" s="50"/>
      <c r="E249" s="50"/>
      <c r="F249" s="50"/>
      <c r="G249" s="46"/>
      <c r="H249" s="46"/>
      <c r="I249" s="46"/>
      <c r="J249" s="46"/>
      <c r="K249" s="46"/>
      <c r="L249" s="71"/>
      <c r="M249" s="60"/>
      <c r="N249" s="60"/>
      <c r="O249" s="60"/>
      <c r="P249" s="60"/>
      <c r="W249" s="2"/>
      <c r="X249" s="2"/>
    </row>
    <row r="250" spans="1:24" ht="15.75" customHeight="1" x14ac:dyDescent="0.2">
      <c r="A250" s="44"/>
      <c r="B250" s="47"/>
      <c r="C250" s="50"/>
      <c r="D250" s="50"/>
      <c r="E250" s="50"/>
      <c r="F250" s="50"/>
      <c r="G250" s="46"/>
      <c r="H250" s="46"/>
      <c r="I250" s="46"/>
      <c r="J250" s="46"/>
      <c r="K250" s="46"/>
      <c r="L250" s="71"/>
      <c r="M250" s="60"/>
      <c r="N250" s="60"/>
      <c r="O250" s="60"/>
      <c r="P250" s="60"/>
      <c r="W250" s="2"/>
      <c r="X250" s="2"/>
    </row>
    <row r="251" spans="1:24" ht="15.75" customHeight="1" x14ac:dyDescent="0.2">
      <c r="A251" s="44"/>
      <c r="B251" s="47"/>
      <c r="C251" s="50"/>
      <c r="D251" s="50"/>
      <c r="E251" s="50"/>
      <c r="F251" s="50"/>
      <c r="G251" s="46"/>
      <c r="H251" s="46"/>
      <c r="I251" s="46"/>
      <c r="J251" s="46"/>
      <c r="K251" s="46"/>
      <c r="L251" s="71"/>
      <c r="M251" s="60"/>
      <c r="N251" s="60"/>
      <c r="O251" s="60"/>
      <c r="P251" s="60"/>
      <c r="W251" s="2"/>
      <c r="X251" s="2"/>
    </row>
    <row r="252" spans="1:24" ht="15.75" customHeight="1" x14ac:dyDescent="0.2">
      <c r="A252" s="44"/>
      <c r="B252" s="47"/>
      <c r="C252" s="50"/>
      <c r="D252" s="50"/>
      <c r="E252" s="50"/>
      <c r="F252" s="50"/>
      <c r="G252" s="46"/>
      <c r="H252" s="46"/>
      <c r="I252" s="46"/>
      <c r="J252" s="46"/>
      <c r="K252" s="46"/>
      <c r="L252" s="71"/>
      <c r="M252" s="60"/>
      <c r="N252" s="60"/>
      <c r="O252" s="60"/>
      <c r="P252" s="60"/>
      <c r="W252" s="2"/>
      <c r="X252" s="2"/>
    </row>
    <row r="253" spans="1:24" ht="15.75" customHeight="1" x14ac:dyDescent="0.2">
      <c r="A253" s="44"/>
      <c r="B253" s="47"/>
      <c r="C253" s="50"/>
      <c r="D253" s="50"/>
      <c r="E253" s="50"/>
      <c r="F253" s="50"/>
      <c r="G253" s="46"/>
      <c r="H253" s="46"/>
      <c r="I253" s="46"/>
      <c r="J253" s="46"/>
      <c r="K253" s="46"/>
      <c r="L253" s="71"/>
      <c r="M253" s="60"/>
      <c r="N253" s="60"/>
      <c r="O253" s="60"/>
      <c r="P253" s="60"/>
      <c r="W253" s="2"/>
      <c r="X253" s="2"/>
    </row>
    <row r="254" spans="1:24" ht="15.75" customHeight="1" x14ac:dyDescent="0.2">
      <c r="A254" s="44"/>
      <c r="B254" s="47"/>
      <c r="C254" s="50"/>
      <c r="D254" s="50"/>
      <c r="E254" s="50"/>
      <c r="F254" s="50"/>
      <c r="G254" s="46"/>
      <c r="H254" s="46"/>
      <c r="I254" s="46"/>
      <c r="J254" s="46"/>
      <c r="K254" s="46"/>
      <c r="L254" s="71"/>
      <c r="M254" s="60"/>
      <c r="N254" s="60"/>
      <c r="O254" s="60"/>
      <c r="P254" s="60"/>
      <c r="W254" s="2"/>
      <c r="X254" s="2"/>
    </row>
    <row r="255" spans="1:24" ht="15.75" customHeight="1" x14ac:dyDescent="0.2">
      <c r="A255" s="44"/>
      <c r="B255" s="47"/>
      <c r="C255" s="50"/>
      <c r="D255" s="50"/>
      <c r="E255" s="50"/>
      <c r="F255" s="50"/>
      <c r="G255" s="46"/>
      <c r="H255" s="46"/>
      <c r="I255" s="46"/>
      <c r="J255" s="46"/>
      <c r="K255" s="46"/>
      <c r="L255" s="71"/>
      <c r="M255" s="60"/>
      <c r="N255" s="60"/>
      <c r="O255" s="60"/>
      <c r="P255" s="60"/>
      <c r="W255" s="2"/>
      <c r="X255" s="2"/>
    </row>
    <row r="256" spans="1:24" ht="15.75" customHeight="1" x14ac:dyDescent="0.2">
      <c r="A256" s="44"/>
      <c r="B256" s="47"/>
      <c r="C256" s="50"/>
      <c r="D256" s="50"/>
      <c r="E256" s="50"/>
      <c r="F256" s="50"/>
      <c r="G256" s="46"/>
      <c r="H256" s="46"/>
      <c r="I256" s="46"/>
      <c r="J256" s="46"/>
      <c r="K256" s="46"/>
      <c r="L256" s="71"/>
      <c r="M256" s="60"/>
      <c r="N256" s="60"/>
      <c r="O256" s="60"/>
      <c r="P256" s="60"/>
      <c r="W256" s="2"/>
      <c r="X256" s="2"/>
    </row>
    <row r="257" spans="1:24" ht="15.75" customHeight="1" x14ac:dyDescent="0.2">
      <c r="A257" s="44"/>
      <c r="B257" s="47"/>
      <c r="C257" s="50"/>
      <c r="D257" s="50"/>
      <c r="E257" s="50"/>
      <c r="F257" s="50"/>
      <c r="G257" s="46"/>
      <c r="H257" s="46"/>
      <c r="I257" s="46"/>
      <c r="J257" s="46"/>
      <c r="K257" s="46"/>
      <c r="L257" s="71"/>
      <c r="M257" s="60"/>
      <c r="N257" s="60"/>
      <c r="O257" s="60"/>
      <c r="P257" s="60"/>
      <c r="W257" s="2"/>
      <c r="X257" s="2"/>
    </row>
    <row r="258" spans="1:24" ht="15.75" customHeight="1" x14ac:dyDescent="0.2">
      <c r="A258" s="44"/>
      <c r="B258" s="47"/>
      <c r="C258" s="50"/>
      <c r="D258" s="50"/>
      <c r="E258" s="50"/>
      <c r="F258" s="50"/>
      <c r="G258" s="46"/>
      <c r="H258" s="46"/>
      <c r="I258" s="46"/>
      <c r="J258" s="46"/>
      <c r="K258" s="46"/>
      <c r="L258" s="71"/>
      <c r="M258" s="60"/>
      <c r="N258" s="60"/>
      <c r="O258" s="60"/>
      <c r="P258" s="60"/>
      <c r="W258" s="2"/>
      <c r="X258" s="2"/>
    </row>
    <row r="259" spans="1:24" ht="15.75" customHeight="1" x14ac:dyDescent="0.2">
      <c r="A259" s="44"/>
      <c r="B259" s="47"/>
      <c r="C259" s="50"/>
      <c r="D259" s="50"/>
      <c r="E259" s="50"/>
      <c r="F259" s="50"/>
      <c r="G259" s="46"/>
      <c r="H259" s="46"/>
      <c r="I259" s="46"/>
      <c r="J259" s="46"/>
      <c r="K259" s="46"/>
      <c r="L259" s="71"/>
      <c r="M259" s="60"/>
      <c r="N259" s="60"/>
      <c r="O259" s="60"/>
      <c r="P259" s="60"/>
      <c r="W259" s="2"/>
      <c r="X259" s="2"/>
    </row>
    <row r="260" spans="1:24" ht="15.75" customHeight="1" x14ac:dyDescent="0.2">
      <c r="A260" s="44"/>
      <c r="B260" s="47"/>
      <c r="C260" s="50"/>
      <c r="D260" s="50"/>
      <c r="E260" s="50"/>
      <c r="F260" s="50"/>
      <c r="G260" s="46"/>
      <c r="H260" s="46"/>
      <c r="I260" s="46"/>
      <c r="J260" s="46"/>
      <c r="K260" s="46"/>
      <c r="L260" s="71"/>
      <c r="M260" s="60"/>
      <c r="N260" s="60"/>
      <c r="O260" s="60"/>
      <c r="P260" s="60"/>
      <c r="W260" s="2"/>
      <c r="X260" s="2"/>
    </row>
    <row r="261" spans="1:24" ht="15.75" customHeight="1" x14ac:dyDescent="0.2">
      <c r="A261" s="44"/>
      <c r="B261" s="47"/>
      <c r="C261" s="50"/>
      <c r="D261" s="50"/>
      <c r="E261" s="50"/>
      <c r="F261" s="50"/>
      <c r="G261" s="46"/>
      <c r="H261" s="46"/>
      <c r="I261" s="46"/>
      <c r="J261" s="46"/>
      <c r="K261" s="46"/>
      <c r="L261" s="71"/>
      <c r="M261" s="60"/>
      <c r="N261" s="60"/>
      <c r="O261" s="60"/>
      <c r="P261" s="60"/>
      <c r="W261" s="2"/>
      <c r="X261" s="2"/>
    </row>
    <row r="262" spans="1:24" ht="15.75" customHeight="1" x14ac:dyDescent="0.2">
      <c r="A262" s="44"/>
      <c r="B262" s="47"/>
      <c r="C262" s="50"/>
      <c r="D262" s="50"/>
      <c r="E262" s="50"/>
      <c r="F262" s="50"/>
      <c r="G262" s="46"/>
      <c r="H262" s="46"/>
      <c r="I262" s="46"/>
      <c r="J262" s="46"/>
      <c r="K262" s="46"/>
      <c r="L262" s="71"/>
      <c r="M262" s="60"/>
      <c r="N262" s="60"/>
      <c r="O262" s="60"/>
      <c r="P262" s="60"/>
      <c r="W262" s="2"/>
      <c r="X262" s="2"/>
    </row>
    <row r="263" spans="1:24" ht="15.75" customHeight="1" x14ac:dyDescent="0.2">
      <c r="A263" s="44"/>
      <c r="B263" s="47"/>
      <c r="C263" s="50"/>
      <c r="D263" s="50"/>
      <c r="E263" s="50"/>
      <c r="F263" s="50"/>
      <c r="G263" s="46"/>
      <c r="H263" s="46"/>
      <c r="I263" s="46"/>
      <c r="J263" s="46"/>
      <c r="K263" s="46"/>
      <c r="L263" s="71"/>
      <c r="M263" s="60"/>
      <c r="N263" s="60"/>
      <c r="O263" s="60"/>
      <c r="P263" s="60"/>
      <c r="W263" s="2"/>
      <c r="X263" s="2"/>
    </row>
    <row r="264" spans="1:24" ht="15.75" customHeight="1" x14ac:dyDescent="0.2">
      <c r="A264" s="44"/>
      <c r="B264" s="47"/>
      <c r="C264" s="50"/>
      <c r="D264" s="50"/>
      <c r="E264" s="50"/>
      <c r="F264" s="50"/>
      <c r="G264" s="46"/>
      <c r="H264" s="46"/>
      <c r="I264" s="46"/>
      <c r="J264" s="46"/>
      <c r="K264" s="46"/>
      <c r="L264" s="71"/>
      <c r="M264" s="60"/>
      <c r="N264" s="60"/>
      <c r="O264" s="60"/>
      <c r="P264" s="60"/>
      <c r="W264" s="2"/>
      <c r="X264" s="2"/>
    </row>
    <row r="265" spans="1:24" ht="15.75" customHeight="1" x14ac:dyDescent="0.2">
      <c r="A265" s="44"/>
      <c r="B265" s="47"/>
      <c r="C265" s="50"/>
      <c r="D265" s="50"/>
      <c r="E265" s="50"/>
      <c r="F265" s="50"/>
      <c r="G265" s="46"/>
      <c r="H265" s="46"/>
      <c r="I265" s="46"/>
      <c r="J265" s="46"/>
      <c r="K265" s="46"/>
      <c r="L265" s="71"/>
      <c r="M265" s="60"/>
      <c r="N265" s="60"/>
      <c r="O265" s="60"/>
      <c r="P265" s="60"/>
      <c r="W265" s="2"/>
      <c r="X265" s="2"/>
    </row>
    <row r="266" spans="1:24" ht="15.75" customHeight="1" x14ac:dyDescent="0.2">
      <c r="A266" s="44"/>
      <c r="B266" s="47"/>
      <c r="C266" s="50"/>
      <c r="D266" s="50"/>
      <c r="E266" s="50"/>
      <c r="F266" s="50"/>
      <c r="G266" s="46"/>
      <c r="H266" s="46"/>
      <c r="I266" s="46"/>
      <c r="J266" s="46"/>
      <c r="K266" s="46"/>
      <c r="L266" s="71"/>
      <c r="M266" s="60"/>
      <c r="N266" s="60"/>
      <c r="O266" s="60"/>
      <c r="P266" s="60"/>
      <c r="W266" s="2"/>
      <c r="X266" s="2"/>
    </row>
    <row r="267" spans="1:24" ht="15.75" customHeight="1" x14ac:dyDescent="0.2">
      <c r="A267" s="44"/>
      <c r="B267" s="47"/>
      <c r="C267" s="50"/>
      <c r="D267" s="50"/>
      <c r="E267" s="50"/>
      <c r="F267" s="50"/>
      <c r="G267" s="46"/>
      <c r="H267" s="46"/>
      <c r="I267" s="46"/>
      <c r="J267" s="46"/>
      <c r="K267" s="46"/>
      <c r="L267" s="71"/>
      <c r="M267" s="60"/>
      <c r="N267" s="60"/>
      <c r="O267" s="60"/>
      <c r="P267" s="60"/>
      <c r="W267" s="2"/>
      <c r="X267" s="2"/>
    </row>
    <row r="268" spans="1:24" ht="15.75" customHeight="1" x14ac:dyDescent="0.2">
      <c r="A268" s="44"/>
      <c r="B268" s="47"/>
      <c r="C268" s="50"/>
      <c r="D268" s="50"/>
      <c r="E268" s="50"/>
      <c r="F268" s="50"/>
      <c r="G268" s="46"/>
      <c r="H268" s="46"/>
      <c r="I268" s="46"/>
      <c r="J268" s="46"/>
      <c r="K268" s="46"/>
      <c r="L268" s="71"/>
      <c r="M268" s="60"/>
      <c r="N268" s="60"/>
      <c r="O268" s="60"/>
      <c r="P268" s="60"/>
      <c r="W268" s="2"/>
      <c r="X268" s="2"/>
    </row>
    <row r="269" spans="1:24" ht="15.75" customHeight="1" x14ac:dyDescent="0.2">
      <c r="A269" s="44"/>
      <c r="B269" s="47"/>
      <c r="C269" s="50"/>
      <c r="D269" s="50"/>
      <c r="E269" s="50"/>
      <c r="F269" s="50"/>
      <c r="G269" s="46"/>
      <c r="H269" s="46"/>
      <c r="I269" s="46"/>
      <c r="J269" s="46"/>
      <c r="K269" s="46"/>
      <c r="L269" s="71"/>
      <c r="M269" s="60"/>
      <c r="N269" s="60"/>
      <c r="O269" s="60"/>
      <c r="P269" s="60"/>
      <c r="W269" s="2"/>
      <c r="X269" s="2"/>
    </row>
    <row r="270" spans="1:24" ht="15.75" customHeight="1" x14ac:dyDescent="0.2">
      <c r="A270" s="44"/>
      <c r="B270" s="47"/>
      <c r="C270" s="50"/>
      <c r="D270" s="50"/>
      <c r="E270" s="50"/>
      <c r="F270" s="50"/>
      <c r="G270" s="46"/>
      <c r="H270" s="46"/>
      <c r="I270" s="46"/>
      <c r="J270" s="46"/>
      <c r="K270" s="46"/>
      <c r="L270" s="71"/>
      <c r="M270" s="60"/>
      <c r="N270" s="60"/>
      <c r="O270" s="60"/>
      <c r="P270" s="60"/>
      <c r="W270" s="2"/>
      <c r="X270" s="2"/>
    </row>
    <row r="271" spans="1:24" ht="15.75" customHeight="1" x14ac:dyDescent="0.2">
      <c r="A271" s="44"/>
      <c r="B271" s="47"/>
      <c r="C271" s="50"/>
      <c r="D271" s="50"/>
      <c r="E271" s="50"/>
      <c r="F271" s="50"/>
      <c r="G271" s="46"/>
      <c r="H271" s="46"/>
      <c r="I271" s="46"/>
      <c r="J271" s="46"/>
      <c r="K271" s="46"/>
      <c r="L271" s="71"/>
      <c r="M271" s="60"/>
      <c r="N271" s="60"/>
      <c r="O271" s="60"/>
      <c r="P271" s="60"/>
      <c r="W271" s="2"/>
      <c r="X271" s="2"/>
    </row>
    <row r="272" spans="1:24" ht="15.75" customHeight="1" x14ac:dyDescent="0.2">
      <c r="A272" s="44"/>
      <c r="B272" s="47"/>
      <c r="C272" s="50"/>
      <c r="D272" s="50"/>
      <c r="E272" s="50"/>
      <c r="F272" s="50"/>
      <c r="G272" s="46"/>
      <c r="H272" s="46"/>
      <c r="I272" s="46"/>
      <c r="J272" s="46"/>
      <c r="K272" s="46"/>
      <c r="L272" s="71"/>
      <c r="M272" s="60"/>
      <c r="N272" s="60"/>
      <c r="O272" s="60"/>
      <c r="P272" s="60"/>
      <c r="W272" s="2"/>
      <c r="X272" s="2"/>
    </row>
    <row r="273" spans="1:24" ht="15.75" customHeight="1" x14ac:dyDescent="0.2">
      <c r="A273" s="44"/>
      <c r="B273" s="47"/>
      <c r="C273" s="50"/>
      <c r="D273" s="50"/>
      <c r="E273" s="50"/>
      <c r="F273" s="50"/>
      <c r="G273" s="46"/>
      <c r="H273" s="46"/>
      <c r="I273" s="46"/>
      <c r="J273" s="46"/>
      <c r="K273" s="46"/>
      <c r="L273" s="71"/>
      <c r="M273" s="60"/>
      <c r="N273" s="60"/>
      <c r="O273" s="60"/>
      <c r="P273" s="60"/>
      <c r="W273" s="2"/>
      <c r="X273" s="2"/>
    </row>
    <row r="274" spans="1:24" ht="15.75" customHeight="1" x14ac:dyDescent="0.2">
      <c r="A274" s="44"/>
      <c r="B274" s="47"/>
      <c r="C274" s="50"/>
      <c r="D274" s="50"/>
      <c r="E274" s="50"/>
      <c r="F274" s="50"/>
      <c r="G274" s="46"/>
      <c r="H274" s="46"/>
      <c r="I274" s="46"/>
      <c r="J274" s="46"/>
      <c r="K274" s="46"/>
      <c r="L274" s="71"/>
      <c r="M274" s="60"/>
      <c r="N274" s="60"/>
      <c r="O274" s="60"/>
      <c r="P274" s="60"/>
      <c r="W274" s="2"/>
      <c r="X274" s="2"/>
    </row>
    <row r="275" spans="1:24" ht="15.75" customHeight="1" x14ac:dyDescent="0.2">
      <c r="A275" s="44"/>
      <c r="B275" s="47"/>
      <c r="C275" s="50"/>
      <c r="D275" s="50"/>
      <c r="E275" s="50"/>
      <c r="F275" s="50"/>
      <c r="G275" s="46"/>
      <c r="H275" s="46"/>
      <c r="I275" s="46"/>
      <c r="J275" s="46"/>
      <c r="K275" s="46"/>
      <c r="L275" s="71"/>
      <c r="M275" s="60"/>
      <c r="N275" s="60"/>
      <c r="O275" s="60"/>
      <c r="P275" s="60"/>
      <c r="W275" s="2"/>
      <c r="X275" s="2"/>
    </row>
    <row r="276" spans="1:24" ht="15.75" customHeight="1" x14ac:dyDescent="0.2">
      <c r="A276" s="44"/>
      <c r="B276" s="47"/>
      <c r="C276" s="50"/>
      <c r="D276" s="50"/>
      <c r="E276" s="50"/>
      <c r="F276" s="50"/>
      <c r="G276" s="46"/>
      <c r="H276" s="46"/>
      <c r="I276" s="46"/>
      <c r="J276" s="46"/>
      <c r="K276" s="46"/>
      <c r="L276" s="71"/>
      <c r="M276" s="60"/>
      <c r="N276" s="60"/>
      <c r="O276" s="60"/>
      <c r="P276" s="60"/>
      <c r="W276" s="2"/>
      <c r="X276" s="2"/>
    </row>
    <row r="277" spans="1:24" ht="15.75" customHeight="1" x14ac:dyDescent="0.2">
      <c r="A277" s="44"/>
      <c r="B277" s="47"/>
      <c r="C277" s="50"/>
      <c r="D277" s="50"/>
      <c r="E277" s="50"/>
      <c r="F277" s="50"/>
      <c r="G277" s="46"/>
      <c r="H277" s="46"/>
      <c r="I277" s="46"/>
      <c r="J277" s="46"/>
      <c r="K277" s="46"/>
      <c r="L277" s="71"/>
      <c r="M277" s="60"/>
      <c r="N277" s="60"/>
      <c r="O277" s="60"/>
      <c r="P277" s="60"/>
      <c r="W277" s="2"/>
      <c r="X277" s="2"/>
    </row>
    <row r="278" spans="1:24" ht="15.75" customHeight="1" x14ac:dyDescent="0.2">
      <c r="A278" s="44"/>
      <c r="B278" s="47"/>
      <c r="C278" s="50"/>
      <c r="D278" s="50"/>
      <c r="E278" s="50"/>
      <c r="F278" s="50"/>
      <c r="G278" s="46"/>
      <c r="H278" s="46"/>
      <c r="I278" s="46"/>
      <c r="J278" s="46"/>
      <c r="K278" s="46"/>
      <c r="L278" s="71"/>
      <c r="M278" s="60"/>
      <c r="N278" s="60"/>
      <c r="O278" s="60"/>
      <c r="P278" s="60"/>
      <c r="W278" s="2"/>
      <c r="X278" s="2"/>
    </row>
    <row r="279" spans="1:24" ht="15.75" customHeight="1" x14ac:dyDescent="0.2">
      <c r="A279" s="44"/>
      <c r="B279" s="47"/>
      <c r="C279" s="50"/>
      <c r="D279" s="50"/>
      <c r="E279" s="50"/>
      <c r="F279" s="50"/>
      <c r="G279" s="46"/>
      <c r="H279" s="46"/>
      <c r="I279" s="46"/>
      <c r="J279" s="46"/>
      <c r="K279" s="46"/>
      <c r="L279" s="71"/>
      <c r="M279" s="60"/>
      <c r="N279" s="60"/>
      <c r="O279" s="60"/>
      <c r="P279" s="60"/>
      <c r="W279" s="2"/>
      <c r="X279" s="2"/>
    </row>
    <row r="280" spans="1:24" ht="15.75" customHeight="1" x14ac:dyDescent="0.2">
      <c r="A280" s="44"/>
      <c r="B280" s="47"/>
      <c r="C280" s="50"/>
      <c r="D280" s="50"/>
      <c r="E280" s="50"/>
      <c r="F280" s="50"/>
      <c r="G280" s="46"/>
      <c r="H280" s="46"/>
      <c r="I280" s="46"/>
      <c r="J280" s="46"/>
      <c r="K280" s="46"/>
      <c r="L280" s="71"/>
      <c r="M280" s="60"/>
      <c r="N280" s="60"/>
      <c r="O280" s="60"/>
      <c r="P280" s="60"/>
      <c r="W280" s="2"/>
      <c r="X280" s="2"/>
    </row>
    <row r="281" spans="1:24" ht="15.75" customHeight="1" x14ac:dyDescent="0.2">
      <c r="A281" s="44"/>
      <c r="B281" s="47"/>
      <c r="C281" s="50"/>
      <c r="D281" s="50"/>
      <c r="E281" s="50"/>
      <c r="F281" s="50"/>
      <c r="G281" s="46"/>
      <c r="H281" s="46"/>
      <c r="I281" s="46"/>
      <c r="J281" s="46"/>
      <c r="K281" s="46"/>
      <c r="L281" s="71"/>
      <c r="M281" s="60"/>
      <c r="N281" s="60"/>
      <c r="O281" s="60"/>
      <c r="P281" s="60"/>
      <c r="W281" s="2"/>
      <c r="X281" s="2"/>
    </row>
    <row r="282" spans="1:24" ht="15.75" customHeight="1" x14ac:dyDescent="0.2">
      <c r="A282" s="44"/>
      <c r="B282" s="47"/>
      <c r="C282" s="50"/>
      <c r="D282" s="50"/>
      <c r="E282" s="50"/>
      <c r="F282" s="50"/>
      <c r="G282" s="46"/>
      <c r="H282" s="46"/>
      <c r="I282" s="46"/>
      <c r="J282" s="46"/>
      <c r="K282" s="46"/>
      <c r="L282" s="71"/>
      <c r="M282" s="60"/>
      <c r="N282" s="60"/>
      <c r="O282" s="60"/>
      <c r="P282" s="60"/>
      <c r="W282" s="2"/>
      <c r="X282" s="2"/>
    </row>
    <row r="283" spans="1:24" ht="15.75" customHeight="1" x14ac:dyDescent="0.2">
      <c r="A283" s="44"/>
      <c r="B283" s="47"/>
      <c r="C283" s="50"/>
      <c r="D283" s="50"/>
      <c r="E283" s="50"/>
      <c r="F283" s="50"/>
      <c r="G283" s="46"/>
      <c r="H283" s="46"/>
      <c r="I283" s="46"/>
      <c r="J283" s="46"/>
      <c r="K283" s="46"/>
      <c r="L283" s="71"/>
      <c r="M283" s="60"/>
      <c r="N283" s="60"/>
      <c r="O283" s="60"/>
      <c r="P283" s="60"/>
      <c r="W283" s="2"/>
      <c r="X283" s="2"/>
    </row>
    <row r="284" spans="1:24" ht="15.75" customHeight="1" x14ac:dyDescent="0.2">
      <c r="A284" s="44"/>
      <c r="B284" s="47"/>
      <c r="C284" s="50"/>
      <c r="D284" s="50"/>
      <c r="E284" s="50"/>
      <c r="F284" s="50"/>
      <c r="G284" s="46"/>
      <c r="H284" s="46"/>
      <c r="I284" s="46"/>
      <c r="J284" s="46"/>
      <c r="K284" s="46"/>
      <c r="L284" s="71"/>
      <c r="M284" s="60"/>
      <c r="N284" s="60"/>
      <c r="O284" s="60"/>
      <c r="P284" s="60"/>
      <c r="W284" s="2"/>
      <c r="X284" s="2"/>
    </row>
    <row r="285" spans="1:24" ht="15.75" customHeight="1" x14ac:dyDescent="0.2">
      <c r="A285" s="44"/>
      <c r="B285" s="47"/>
      <c r="C285" s="50"/>
      <c r="D285" s="50"/>
      <c r="E285" s="50"/>
      <c r="F285" s="50"/>
      <c r="G285" s="46"/>
      <c r="H285" s="46"/>
      <c r="I285" s="46"/>
      <c r="J285" s="46"/>
      <c r="K285" s="46"/>
      <c r="L285" s="71"/>
      <c r="M285" s="60"/>
      <c r="N285" s="60"/>
      <c r="O285" s="60"/>
      <c r="P285" s="60"/>
      <c r="W285" s="2"/>
      <c r="X285" s="2"/>
    </row>
    <row r="286" spans="1:24" ht="15.75" customHeight="1" x14ac:dyDescent="0.2">
      <c r="A286" s="44"/>
      <c r="B286" s="47"/>
      <c r="C286" s="50"/>
      <c r="D286" s="50"/>
      <c r="E286" s="50"/>
      <c r="F286" s="50"/>
      <c r="G286" s="46"/>
      <c r="H286" s="46"/>
      <c r="I286" s="46"/>
      <c r="J286" s="46"/>
      <c r="K286" s="46"/>
      <c r="L286" s="71"/>
      <c r="M286" s="60"/>
      <c r="N286" s="60"/>
      <c r="O286" s="60"/>
      <c r="P286" s="60"/>
      <c r="W286" s="2"/>
      <c r="X286" s="2"/>
    </row>
    <row r="287" spans="1:24" ht="15.75" customHeight="1" x14ac:dyDescent="0.2">
      <c r="A287" s="44"/>
      <c r="B287" s="47"/>
      <c r="C287" s="50"/>
      <c r="D287" s="50"/>
      <c r="E287" s="50"/>
      <c r="F287" s="50"/>
      <c r="G287" s="46"/>
      <c r="H287" s="46"/>
      <c r="I287" s="46"/>
      <c r="J287" s="46"/>
      <c r="K287" s="46"/>
      <c r="L287" s="71"/>
      <c r="M287" s="60"/>
      <c r="N287" s="60"/>
      <c r="O287" s="60"/>
      <c r="P287" s="60"/>
      <c r="W287" s="2"/>
      <c r="X287" s="2"/>
    </row>
    <row r="288" spans="1:24" ht="15.75" customHeight="1" x14ac:dyDescent="0.2">
      <c r="A288" s="44"/>
      <c r="B288" s="47"/>
      <c r="C288" s="50"/>
      <c r="D288" s="50"/>
      <c r="E288" s="50"/>
      <c r="F288" s="50"/>
      <c r="G288" s="46"/>
      <c r="H288" s="46"/>
      <c r="I288" s="46"/>
      <c r="J288" s="46"/>
      <c r="K288" s="46"/>
      <c r="L288" s="71"/>
      <c r="M288" s="60"/>
      <c r="N288" s="60"/>
      <c r="O288" s="60"/>
      <c r="P288" s="60"/>
      <c r="W288" s="2"/>
      <c r="X288" s="2"/>
    </row>
    <row r="289" spans="1:24" ht="15.75" customHeight="1" x14ac:dyDescent="0.2">
      <c r="A289" s="44"/>
      <c r="B289" s="47"/>
      <c r="C289" s="50"/>
      <c r="D289" s="50"/>
      <c r="E289" s="50"/>
      <c r="F289" s="50"/>
      <c r="G289" s="46"/>
      <c r="H289" s="46"/>
      <c r="I289" s="46"/>
      <c r="J289" s="46"/>
      <c r="K289" s="46"/>
      <c r="L289" s="71"/>
      <c r="M289" s="60"/>
      <c r="N289" s="60"/>
      <c r="O289" s="60"/>
      <c r="P289" s="60"/>
      <c r="W289" s="2"/>
      <c r="X289" s="2"/>
    </row>
    <row r="290" spans="1:24" ht="15.75" customHeight="1" x14ac:dyDescent="0.2">
      <c r="A290" s="44"/>
      <c r="B290" s="47"/>
      <c r="C290" s="50"/>
      <c r="D290" s="50"/>
      <c r="E290" s="50"/>
      <c r="F290" s="50"/>
      <c r="G290" s="46"/>
      <c r="H290" s="46"/>
      <c r="I290" s="46"/>
      <c r="J290" s="46"/>
      <c r="K290" s="46"/>
      <c r="L290" s="71"/>
      <c r="M290" s="60"/>
      <c r="N290" s="60"/>
      <c r="O290" s="60"/>
      <c r="P290" s="60"/>
      <c r="W290" s="2"/>
      <c r="X290" s="2"/>
    </row>
    <row r="291" spans="1:24" ht="15.75" customHeight="1" x14ac:dyDescent="0.2">
      <c r="A291" s="44"/>
      <c r="B291" s="47"/>
      <c r="C291" s="50"/>
      <c r="D291" s="50"/>
      <c r="E291" s="50"/>
      <c r="F291" s="50"/>
      <c r="G291" s="46"/>
      <c r="H291" s="46"/>
      <c r="I291" s="46"/>
      <c r="J291" s="46"/>
      <c r="K291" s="46"/>
      <c r="L291" s="71"/>
      <c r="M291" s="60"/>
      <c r="N291" s="60"/>
      <c r="O291" s="60"/>
      <c r="P291" s="60"/>
      <c r="W291" s="2"/>
      <c r="X291" s="2"/>
    </row>
    <row r="292" spans="1:24" ht="15.75" customHeight="1" x14ac:dyDescent="0.2">
      <c r="A292" s="44"/>
      <c r="B292" s="47"/>
      <c r="C292" s="50"/>
      <c r="D292" s="50"/>
      <c r="E292" s="50"/>
      <c r="F292" s="50"/>
      <c r="G292" s="46"/>
      <c r="H292" s="46"/>
      <c r="I292" s="46"/>
      <c r="J292" s="46"/>
      <c r="K292" s="46"/>
      <c r="L292" s="71"/>
      <c r="M292" s="60"/>
      <c r="N292" s="60"/>
      <c r="O292" s="60"/>
      <c r="P292" s="60"/>
      <c r="W292" s="2"/>
      <c r="X292" s="2"/>
    </row>
    <row r="293" spans="1:24" ht="15.75" customHeight="1" x14ac:dyDescent="0.2">
      <c r="A293" s="44"/>
      <c r="B293" s="47"/>
      <c r="C293" s="50"/>
      <c r="D293" s="50"/>
      <c r="E293" s="50"/>
      <c r="F293" s="50"/>
      <c r="G293" s="46"/>
      <c r="H293" s="46"/>
      <c r="I293" s="46"/>
      <c r="J293" s="46"/>
      <c r="K293" s="46"/>
      <c r="L293" s="71"/>
      <c r="M293" s="60"/>
      <c r="N293" s="60"/>
      <c r="O293" s="60"/>
      <c r="P293" s="60"/>
      <c r="W293" s="2"/>
      <c r="X293" s="2"/>
    </row>
    <row r="294" spans="1:24" ht="15.75" customHeight="1" x14ac:dyDescent="0.2">
      <c r="A294" s="44"/>
      <c r="B294" s="47"/>
      <c r="C294" s="50"/>
      <c r="D294" s="50"/>
      <c r="E294" s="50"/>
      <c r="F294" s="50"/>
      <c r="G294" s="46"/>
      <c r="H294" s="46"/>
      <c r="I294" s="46"/>
      <c r="J294" s="46"/>
      <c r="K294" s="46"/>
      <c r="L294" s="71"/>
      <c r="M294" s="60"/>
      <c r="N294" s="60"/>
      <c r="O294" s="60"/>
      <c r="P294" s="60"/>
      <c r="W294" s="2"/>
      <c r="X294" s="2"/>
    </row>
    <row r="295" spans="1:24" ht="15.75" customHeight="1" x14ac:dyDescent="0.2">
      <c r="A295" s="44"/>
      <c r="B295" s="47"/>
      <c r="C295" s="50"/>
      <c r="D295" s="50"/>
      <c r="E295" s="50"/>
      <c r="F295" s="50"/>
      <c r="G295" s="46"/>
      <c r="H295" s="46"/>
      <c r="I295" s="46"/>
      <c r="J295" s="46"/>
      <c r="K295" s="46"/>
      <c r="L295" s="71"/>
      <c r="M295" s="60"/>
      <c r="N295" s="60"/>
      <c r="O295" s="60"/>
      <c r="P295" s="60"/>
      <c r="W295" s="2"/>
      <c r="X295" s="2"/>
    </row>
    <row r="296" spans="1:24" ht="15.75" customHeight="1" x14ac:dyDescent="0.2">
      <c r="A296" s="44"/>
      <c r="B296" s="47"/>
      <c r="C296" s="50"/>
      <c r="D296" s="50"/>
      <c r="E296" s="50"/>
      <c r="F296" s="50"/>
      <c r="G296" s="46"/>
      <c r="H296" s="46"/>
      <c r="I296" s="46"/>
      <c r="J296" s="46"/>
      <c r="K296" s="46"/>
      <c r="L296" s="71"/>
      <c r="M296" s="60"/>
      <c r="N296" s="60"/>
      <c r="O296" s="60"/>
      <c r="P296" s="60"/>
      <c r="W296" s="2"/>
      <c r="X296" s="2"/>
    </row>
    <row r="297" spans="1:24" ht="15.75" customHeight="1" x14ac:dyDescent="0.2">
      <c r="A297" s="44"/>
      <c r="B297" s="47"/>
      <c r="C297" s="50"/>
      <c r="D297" s="50"/>
      <c r="E297" s="50"/>
      <c r="F297" s="50"/>
      <c r="G297" s="46"/>
      <c r="H297" s="46"/>
      <c r="I297" s="46"/>
      <c r="J297" s="46"/>
      <c r="K297" s="46"/>
      <c r="L297" s="71"/>
      <c r="M297" s="60"/>
      <c r="N297" s="60"/>
      <c r="O297" s="60"/>
      <c r="P297" s="60"/>
      <c r="W297" s="2"/>
      <c r="X297" s="2"/>
    </row>
    <row r="298" spans="1:24" ht="15.75" customHeight="1" x14ac:dyDescent="0.2">
      <c r="A298" s="44"/>
      <c r="B298" s="47"/>
      <c r="C298" s="50"/>
      <c r="D298" s="50"/>
      <c r="E298" s="50"/>
      <c r="F298" s="50"/>
      <c r="G298" s="46"/>
      <c r="H298" s="46"/>
      <c r="I298" s="46"/>
      <c r="J298" s="46"/>
      <c r="K298" s="46"/>
      <c r="L298" s="71"/>
      <c r="M298" s="60"/>
      <c r="N298" s="60"/>
      <c r="O298" s="60"/>
      <c r="P298" s="60"/>
      <c r="W298" s="2"/>
      <c r="X298" s="2"/>
    </row>
    <row r="299" spans="1:24" ht="15.75" customHeight="1" x14ac:dyDescent="0.2">
      <c r="A299" s="44"/>
      <c r="B299" s="47"/>
      <c r="C299" s="50"/>
      <c r="D299" s="50"/>
      <c r="E299" s="50"/>
      <c r="F299" s="50"/>
      <c r="G299" s="46"/>
      <c r="H299" s="46"/>
      <c r="I299" s="46"/>
      <c r="J299" s="46"/>
      <c r="K299" s="46"/>
      <c r="L299" s="71"/>
      <c r="M299" s="60"/>
      <c r="N299" s="60"/>
      <c r="O299" s="60"/>
      <c r="P299" s="60"/>
      <c r="W299" s="2"/>
      <c r="X299" s="2"/>
    </row>
    <row r="300" spans="1:24" ht="15.75" customHeight="1" x14ac:dyDescent="0.2">
      <c r="A300" s="44"/>
      <c r="B300" s="47"/>
      <c r="C300" s="50"/>
      <c r="D300" s="50"/>
      <c r="E300" s="50"/>
      <c r="F300" s="50"/>
      <c r="G300" s="46"/>
      <c r="H300" s="46"/>
      <c r="I300" s="46"/>
      <c r="J300" s="46"/>
      <c r="K300" s="46"/>
      <c r="L300" s="71"/>
      <c r="M300" s="60"/>
      <c r="N300" s="60"/>
      <c r="O300" s="60"/>
      <c r="P300" s="60"/>
      <c r="W300" s="2"/>
      <c r="X300" s="2"/>
    </row>
    <row r="301" spans="1:24" ht="15.75" customHeight="1" x14ac:dyDescent="0.2">
      <c r="A301" s="44"/>
      <c r="B301" s="47"/>
      <c r="C301" s="50"/>
      <c r="D301" s="50"/>
      <c r="E301" s="50"/>
      <c r="F301" s="50"/>
      <c r="G301" s="46"/>
      <c r="H301" s="46"/>
      <c r="I301" s="46"/>
      <c r="J301" s="46"/>
      <c r="K301" s="46"/>
      <c r="L301" s="71"/>
      <c r="M301" s="60"/>
      <c r="N301" s="60"/>
      <c r="O301" s="60"/>
      <c r="P301" s="60"/>
      <c r="W301" s="2"/>
      <c r="X301" s="2"/>
    </row>
    <row r="302" spans="1:24" ht="15.75" customHeight="1" x14ac:dyDescent="0.2">
      <c r="A302" s="44"/>
      <c r="B302" s="47"/>
      <c r="C302" s="50"/>
      <c r="D302" s="50"/>
      <c r="E302" s="50"/>
      <c r="F302" s="50"/>
      <c r="G302" s="46"/>
      <c r="H302" s="46"/>
      <c r="I302" s="46"/>
      <c r="J302" s="46"/>
      <c r="K302" s="46"/>
      <c r="L302" s="71"/>
      <c r="M302" s="60"/>
      <c r="N302" s="60"/>
      <c r="O302" s="60"/>
      <c r="P302" s="60"/>
      <c r="W302" s="2"/>
      <c r="X302" s="2"/>
    </row>
    <row r="303" spans="1:24" ht="15.75" customHeight="1" x14ac:dyDescent="0.2">
      <c r="A303" s="44"/>
      <c r="B303" s="47"/>
      <c r="C303" s="50"/>
      <c r="D303" s="50"/>
      <c r="E303" s="50"/>
      <c r="F303" s="50"/>
      <c r="G303" s="46"/>
      <c r="H303" s="46"/>
      <c r="I303" s="46"/>
      <c r="J303" s="46"/>
      <c r="K303" s="46"/>
      <c r="L303" s="71"/>
      <c r="M303" s="60"/>
      <c r="N303" s="60"/>
      <c r="O303" s="60"/>
      <c r="P303" s="60"/>
      <c r="W303" s="2"/>
      <c r="X303" s="2"/>
    </row>
    <row r="304" spans="1:24" ht="15.75" customHeight="1" x14ac:dyDescent="0.2">
      <c r="A304" s="44"/>
      <c r="B304" s="47"/>
      <c r="C304" s="50"/>
      <c r="D304" s="50"/>
      <c r="E304" s="50"/>
      <c r="F304" s="50"/>
      <c r="G304" s="46"/>
      <c r="H304" s="46"/>
      <c r="I304" s="46"/>
      <c r="J304" s="46"/>
      <c r="K304" s="46"/>
      <c r="L304" s="71"/>
      <c r="M304" s="60"/>
      <c r="N304" s="60"/>
      <c r="O304" s="60"/>
      <c r="P304" s="60"/>
      <c r="W304" s="2"/>
      <c r="X304" s="2"/>
    </row>
    <row r="305" spans="1:24" ht="15.75" customHeight="1" x14ac:dyDescent="0.2">
      <c r="A305" s="44"/>
      <c r="B305" s="47"/>
      <c r="C305" s="50"/>
      <c r="D305" s="50"/>
      <c r="E305" s="50"/>
      <c r="F305" s="50"/>
      <c r="G305" s="46"/>
      <c r="H305" s="46"/>
      <c r="I305" s="46"/>
      <c r="J305" s="46"/>
      <c r="K305" s="46"/>
      <c r="L305" s="71"/>
      <c r="M305" s="60"/>
      <c r="N305" s="60"/>
      <c r="O305" s="60"/>
      <c r="P305" s="60"/>
      <c r="W305" s="2"/>
      <c r="X305" s="2"/>
    </row>
    <row r="306" spans="1:24" ht="15.75" customHeight="1" x14ac:dyDescent="0.2">
      <c r="A306" s="44"/>
      <c r="B306" s="47"/>
      <c r="C306" s="50"/>
      <c r="D306" s="50"/>
      <c r="E306" s="50"/>
      <c r="F306" s="50"/>
      <c r="G306" s="46"/>
      <c r="H306" s="46"/>
      <c r="I306" s="46"/>
      <c r="J306" s="46"/>
      <c r="K306" s="46"/>
      <c r="L306" s="71"/>
      <c r="M306" s="60"/>
      <c r="N306" s="60"/>
      <c r="O306" s="60"/>
      <c r="P306" s="60"/>
      <c r="W306" s="2"/>
      <c r="X306" s="2"/>
    </row>
    <row r="307" spans="1:24" ht="15.75" customHeight="1" x14ac:dyDescent="0.2">
      <c r="A307" s="44"/>
      <c r="B307" s="47"/>
      <c r="C307" s="50"/>
      <c r="D307" s="50"/>
      <c r="E307" s="50"/>
      <c r="F307" s="50"/>
      <c r="G307" s="46"/>
      <c r="H307" s="46"/>
      <c r="I307" s="46"/>
      <c r="J307" s="46"/>
      <c r="K307" s="46"/>
      <c r="L307" s="71"/>
      <c r="M307" s="60"/>
      <c r="N307" s="60"/>
      <c r="O307" s="60"/>
      <c r="P307" s="60"/>
      <c r="W307" s="2"/>
      <c r="X307" s="2"/>
    </row>
    <row r="308" spans="1:24" ht="15.75" customHeight="1" x14ac:dyDescent="0.2">
      <c r="A308" s="44"/>
      <c r="B308" s="47"/>
      <c r="C308" s="50"/>
      <c r="D308" s="50"/>
      <c r="E308" s="50"/>
      <c r="F308" s="50"/>
      <c r="G308" s="46"/>
      <c r="H308" s="46"/>
      <c r="I308" s="46"/>
      <c r="J308" s="46"/>
      <c r="K308" s="46"/>
      <c r="L308" s="71"/>
      <c r="M308" s="60"/>
      <c r="N308" s="60"/>
      <c r="O308" s="60"/>
      <c r="P308" s="60"/>
      <c r="W308" s="2"/>
      <c r="X308" s="2"/>
    </row>
    <row r="309" spans="1:24" ht="15.75" customHeight="1" x14ac:dyDescent="0.2">
      <c r="A309" s="44"/>
      <c r="B309" s="47"/>
      <c r="C309" s="50"/>
      <c r="D309" s="50"/>
      <c r="E309" s="50"/>
      <c r="F309" s="50"/>
      <c r="G309" s="46"/>
      <c r="H309" s="46"/>
      <c r="I309" s="46"/>
      <c r="J309" s="46"/>
      <c r="K309" s="46"/>
      <c r="L309" s="71"/>
      <c r="M309" s="60"/>
      <c r="N309" s="60"/>
      <c r="O309" s="60"/>
      <c r="P309" s="60"/>
      <c r="W309" s="2"/>
      <c r="X309" s="2"/>
    </row>
    <row r="310" spans="1:24" ht="15.75" customHeight="1" x14ac:dyDescent="0.2">
      <c r="A310" s="44"/>
      <c r="B310" s="47"/>
      <c r="C310" s="50"/>
      <c r="D310" s="50"/>
      <c r="E310" s="50"/>
      <c r="F310" s="50"/>
      <c r="G310" s="46"/>
      <c r="H310" s="46"/>
      <c r="I310" s="46"/>
      <c r="J310" s="46"/>
      <c r="K310" s="46"/>
      <c r="L310" s="71"/>
      <c r="M310" s="60"/>
      <c r="N310" s="60"/>
      <c r="O310" s="60"/>
      <c r="P310" s="60"/>
      <c r="W310" s="2"/>
      <c r="X310" s="2"/>
    </row>
    <row r="311" spans="1:24" ht="15.75" customHeight="1" x14ac:dyDescent="0.2">
      <c r="A311" s="44"/>
      <c r="B311" s="47"/>
      <c r="C311" s="50"/>
      <c r="D311" s="50"/>
      <c r="E311" s="50"/>
      <c r="F311" s="50"/>
      <c r="G311" s="46"/>
      <c r="H311" s="46"/>
      <c r="I311" s="46"/>
      <c r="J311" s="46"/>
      <c r="K311" s="46"/>
      <c r="L311" s="71"/>
      <c r="M311" s="60"/>
      <c r="N311" s="60"/>
      <c r="O311" s="60"/>
      <c r="P311" s="60"/>
      <c r="W311" s="2"/>
      <c r="X311" s="2"/>
    </row>
    <row r="312" spans="1:24" ht="15.75" customHeight="1" x14ac:dyDescent="0.2">
      <c r="A312" s="44"/>
      <c r="B312" s="47"/>
      <c r="C312" s="50"/>
      <c r="D312" s="50"/>
      <c r="E312" s="50"/>
      <c r="F312" s="50"/>
      <c r="G312" s="46"/>
      <c r="H312" s="46"/>
      <c r="I312" s="46"/>
      <c r="J312" s="46"/>
      <c r="K312" s="46"/>
      <c r="L312" s="71"/>
      <c r="M312" s="60"/>
      <c r="N312" s="60"/>
      <c r="O312" s="60"/>
      <c r="P312" s="60"/>
      <c r="W312" s="2"/>
      <c r="X312" s="2"/>
    </row>
    <row r="313" spans="1:24" ht="15.75" customHeight="1" x14ac:dyDescent="0.2">
      <c r="A313" s="44"/>
      <c r="B313" s="47"/>
      <c r="C313" s="50"/>
      <c r="D313" s="50"/>
      <c r="E313" s="50"/>
      <c r="F313" s="50"/>
      <c r="G313" s="46"/>
      <c r="H313" s="46"/>
      <c r="I313" s="46"/>
      <c r="J313" s="46"/>
      <c r="K313" s="46"/>
      <c r="L313" s="71"/>
      <c r="M313" s="60"/>
      <c r="N313" s="60"/>
      <c r="O313" s="60"/>
      <c r="P313" s="60"/>
      <c r="W313" s="2"/>
      <c r="X313" s="2"/>
    </row>
    <row r="314" spans="1:24" ht="15.75" customHeight="1" x14ac:dyDescent="0.2">
      <c r="A314" s="44"/>
      <c r="B314" s="47"/>
      <c r="C314" s="50"/>
      <c r="D314" s="50"/>
      <c r="E314" s="50"/>
      <c r="F314" s="50"/>
      <c r="G314" s="46"/>
      <c r="H314" s="46"/>
      <c r="I314" s="46"/>
      <c r="J314" s="46"/>
      <c r="K314" s="46"/>
      <c r="L314" s="71"/>
      <c r="M314" s="60"/>
      <c r="N314" s="60"/>
      <c r="O314" s="60"/>
      <c r="P314" s="60"/>
      <c r="W314" s="2"/>
      <c r="X314" s="2"/>
    </row>
    <row r="315" spans="1:24" ht="15.75" customHeight="1" x14ac:dyDescent="0.2">
      <c r="A315" s="44"/>
      <c r="B315" s="47"/>
      <c r="C315" s="50"/>
      <c r="D315" s="50"/>
      <c r="E315" s="50"/>
      <c r="F315" s="50"/>
      <c r="G315" s="46"/>
      <c r="H315" s="46"/>
      <c r="I315" s="46"/>
      <c r="J315" s="46"/>
      <c r="K315" s="46"/>
      <c r="L315" s="71"/>
      <c r="M315" s="60"/>
      <c r="N315" s="60"/>
      <c r="O315" s="60"/>
      <c r="P315" s="60"/>
      <c r="W315" s="2"/>
      <c r="X315" s="2"/>
    </row>
    <row r="316" spans="1:24" ht="15.75" customHeight="1" x14ac:dyDescent="0.2">
      <c r="A316" s="44"/>
      <c r="B316" s="47"/>
      <c r="C316" s="50"/>
      <c r="D316" s="50"/>
      <c r="E316" s="50"/>
      <c r="F316" s="50"/>
      <c r="G316" s="46"/>
      <c r="H316" s="46"/>
      <c r="I316" s="46"/>
      <c r="J316" s="46"/>
      <c r="K316" s="46"/>
      <c r="L316" s="71"/>
      <c r="M316" s="60"/>
      <c r="N316" s="60"/>
      <c r="O316" s="60"/>
      <c r="P316" s="60"/>
      <c r="W316" s="2"/>
      <c r="X316" s="2"/>
    </row>
    <row r="317" spans="1:24" ht="15.75" customHeight="1" x14ac:dyDescent="0.2">
      <c r="A317" s="44"/>
      <c r="B317" s="47"/>
      <c r="C317" s="50"/>
      <c r="D317" s="50"/>
      <c r="E317" s="50"/>
      <c r="F317" s="50"/>
      <c r="G317" s="46"/>
      <c r="H317" s="46"/>
      <c r="I317" s="46"/>
      <c r="J317" s="46"/>
      <c r="K317" s="46"/>
      <c r="L317" s="71"/>
      <c r="M317" s="60"/>
      <c r="N317" s="60"/>
      <c r="O317" s="60"/>
      <c r="P317" s="60"/>
      <c r="W317" s="2"/>
      <c r="X317" s="2"/>
    </row>
    <row r="318" spans="1:24" ht="15.75" customHeight="1" x14ac:dyDescent="0.2">
      <c r="A318" s="44"/>
      <c r="B318" s="47"/>
      <c r="C318" s="50"/>
      <c r="D318" s="50"/>
      <c r="E318" s="50"/>
      <c r="F318" s="50"/>
      <c r="G318" s="46"/>
      <c r="H318" s="46"/>
      <c r="I318" s="46"/>
      <c r="J318" s="46"/>
      <c r="K318" s="46"/>
      <c r="L318" s="71"/>
      <c r="M318" s="60"/>
      <c r="N318" s="60"/>
      <c r="O318" s="60"/>
      <c r="P318" s="60"/>
      <c r="W318" s="2"/>
      <c r="X318" s="2"/>
    </row>
    <row r="319" spans="1:24" ht="15.75" customHeight="1" x14ac:dyDescent="0.2">
      <c r="A319" s="44"/>
      <c r="B319" s="47"/>
      <c r="C319" s="50"/>
      <c r="D319" s="50"/>
      <c r="E319" s="50"/>
      <c r="F319" s="50"/>
      <c r="G319" s="46"/>
      <c r="H319" s="46"/>
      <c r="I319" s="46"/>
      <c r="J319" s="46"/>
      <c r="K319" s="46"/>
      <c r="L319" s="71"/>
      <c r="M319" s="60"/>
      <c r="N319" s="60"/>
      <c r="O319" s="60"/>
      <c r="P319" s="60"/>
      <c r="W319" s="2"/>
      <c r="X319" s="2"/>
    </row>
    <row r="320" spans="1:24" ht="15.75" customHeight="1" x14ac:dyDescent="0.2">
      <c r="A320" s="44"/>
      <c r="B320" s="47"/>
      <c r="C320" s="50"/>
      <c r="D320" s="50"/>
      <c r="E320" s="50"/>
      <c r="F320" s="50"/>
      <c r="G320" s="46"/>
      <c r="H320" s="46"/>
      <c r="I320" s="46"/>
      <c r="J320" s="46"/>
      <c r="K320" s="46"/>
      <c r="L320" s="71"/>
      <c r="M320" s="60"/>
      <c r="N320" s="60"/>
      <c r="O320" s="60"/>
      <c r="P320" s="60"/>
      <c r="W320" s="2"/>
      <c r="X320" s="2"/>
    </row>
    <row r="321" spans="1:24" ht="15.75" customHeight="1" x14ac:dyDescent="0.2">
      <c r="A321" s="44"/>
      <c r="B321" s="47"/>
      <c r="C321" s="50"/>
      <c r="D321" s="50"/>
      <c r="E321" s="50"/>
      <c r="F321" s="50"/>
      <c r="G321" s="46"/>
      <c r="H321" s="46"/>
      <c r="I321" s="46"/>
      <c r="J321" s="46"/>
      <c r="K321" s="46"/>
      <c r="L321" s="71"/>
      <c r="M321" s="60"/>
      <c r="N321" s="60"/>
      <c r="O321" s="60"/>
      <c r="P321" s="60"/>
      <c r="W321" s="2"/>
      <c r="X321" s="2"/>
    </row>
    <row r="322" spans="1:24" ht="15.75" customHeight="1" x14ac:dyDescent="0.2">
      <c r="A322" s="44"/>
      <c r="B322" s="47"/>
      <c r="C322" s="50"/>
      <c r="D322" s="50"/>
      <c r="E322" s="50"/>
      <c r="F322" s="50"/>
      <c r="G322" s="46"/>
      <c r="H322" s="46"/>
      <c r="I322" s="46"/>
      <c r="J322" s="46"/>
      <c r="K322" s="46"/>
      <c r="L322" s="71"/>
      <c r="M322" s="60"/>
      <c r="N322" s="60"/>
      <c r="O322" s="60"/>
      <c r="P322" s="60"/>
      <c r="W322" s="2"/>
      <c r="X322" s="2"/>
    </row>
    <row r="323" spans="1:24" ht="15.75" customHeight="1" x14ac:dyDescent="0.2">
      <c r="A323" s="44"/>
      <c r="B323" s="47"/>
      <c r="C323" s="50"/>
      <c r="D323" s="50"/>
      <c r="E323" s="50"/>
      <c r="F323" s="50"/>
      <c r="G323" s="46"/>
      <c r="H323" s="46"/>
      <c r="I323" s="46"/>
      <c r="J323" s="46"/>
      <c r="K323" s="46"/>
      <c r="L323" s="71"/>
      <c r="M323" s="60"/>
      <c r="N323" s="60"/>
      <c r="O323" s="60"/>
      <c r="P323" s="60"/>
      <c r="W323" s="2"/>
      <c r="X323" s="2"/>
    </row>
    <row r="324" spans="1:24" ht="15.75" customHeight="1" x14ac:dyDescent="0.2">
      <c r="A324" s="44"/>
      <c r="B324" s="47"/>
      <c r="C324" s="50"/>
      <c r="D324" s="50"/>
      <c r="E324" s="50"/>
      <c r="F324" s="50"/>
      <c r="G324" s="46"/>
      <c r="H324" s="46"/>
      <c r="I324" s="46"/>
      <c r="J324" s="46"/>
      <c r="K324" s="46"/>
      <c r="L324" s="71"/>
      <c r="M324" s="60"/>
      <c r="N324" s="60"/>
      <c r="O324" s="60"/>
      <c r="P324" s="60"/>
      <c r="W324" s="2"/>
      <c r="X324" s="2"/>
    </row>
    <row r="325" spans="1:24" ht="15.75" customHeight="1" x14ac:dyDescent="0.2">
      <c r="A325" s="44"/>
      <c r="B325" s="47"/>
      <c r="C325" s="50"/>
      <c r="D325" s="50"/>
      <c r="E325" s="50"/>
      <c r="F325" s="50"/>
      <c r="G325" s="46"/>
      <c r="H325" s="46"/>
      <c r="I325" s="46"/>
      <c r="J325" s="46"/>
      <c r="K325" s="46"/>
      <c r="L325" s="71"/>
      <c r="M325" s="60"/>
      <c r="N325" s="60"/>
      <c r="O325" s="60"/>
      <c r="P325" s="60"/>
      <c r="W325" s="2"/>
      <c r="X325" s="2"/>
    </row>
    <row r="326" spans="1:24" ht="15.75" customHeight="1" x14ac:dyDescent="0.2">
      <c r="A326" s="44"/>
      <c r="B326" s="47"/>
      <c r="C326" s="50"/>
      <c r="D326" s="50"/>
      <c r="E326" s="50"/>
      <c r="F326" s="50"/>
      <c r="G326" s="46"/>
      <c r="H326" s="46"/>
      <c r="I326" s="46"/>
      <c r="J326" s="46"/>
      <c r="K326" s="46"/>
      <c r="L326" s="71"/>
      <c r="M326" s="60"/>
      <c r="N326" s="60"/>
      <c r="O326" s="60"/>
      <c r="P326" s="60"/>
      <c r="W326" s="2"/>
      <c r="X326" s="2"/>
    </row>
    <row r="327" spans="1:24" ht="15.75" customHeight="1" x14ac:dyDescent="0.2">
      <c r="A327" s="44"/>
      <c r="B327" s="47"/>
      <c r="C327" s="50"/>
      <c r="D327" s="50"/>
      <c r="E327" s="50"/>
      <c r="F327" s="50"/>
      <c r="G327" s="46"/>
      <c r="H327" s="46"/>
      <c r="I327" s="46"/>
      <c r="J327" s="46"/>
      <c r="K327" s="46"/>
      <c r="L327" s="71"/>
      <c r="M327" s="60"/>
      <c r="N327" s="60"/>
      <c r="O327" s="60"/>
      <c r="P327" s="60"/>
      <c r="W327" s="2"/>
      <c r="X327" s="2"/>
    </row>
    <row r="328" spans="1:24" ht="15.75" customHeight="1" x14ac:dyDescent="0.2">
      <c r="A328" s="44"/>
      <c r="B328" s="47"/>
      <c r="C328" s="50"/>
      <c r="D328" s="50"/>
      <c r="E328" s="50"/>
      <c r="F328" s="50"/>
      <c r="G328" s="46"/>
      <c r="H328" s="46"/>
      <c r="I328" s="46"/>
      <c r="J328" s="46"/>
      <c r="K328" s="46"/>
      <c r="L328" s="71"/>
      <c r="M328" s="60"/>
      <c r="N328" s="60"/>
      <c r="O328" s="60"/>
      <c r="P328" s="60"/>
      <c r="W328" s="2"/>
      <c r="X328" s="2"/>
    </row>
    <row r="329" spans="1:24" ht="15.75" customHeight="1" x14ac:dyDescent="0.2">
      <c r="A329" s="44"/>
      <c r="B329" s="47"/>
      <c r="C329" s="50"/>
      <c r="D329" s="50"/>
      <c r="E329" s="50"/>
      <c r="F329" s="50"/>
      <c r="G329" s="46"/>
      <c r="H329" s="46"/>
      <c r="I329" s="46"/>
      <c r="J329" s="46"/>
      <c r="K329" s="46"/>
      <c r="L329" s="71"/>
      <c r="M329" s="60"/>
      <c r="N329" s="60"/>
      <c r="O329" s="60"/>
      <c r="P329" s="60"/>
      <c r="W329" s="2"/>
      <c r="X329" s="2"/>
    </row>
    <row r="330" spans="1:24" ht="15.75" customHeight="1" x14ac:dyDescent="0.2">
      <c r="A330" s="44"/>
      <c r="B330" s="47"/>
      <c r="C330" s="50"/>
      <c r="D330" s="50"/>
      <c r="E330" s="50"/>
      <c r="F330" s="50"/>
      <c r="G330" s="46"/>
      <c r="H330" s="46"/>
      <c r="I330" s="46"/>
      <c r="J330" s="46"/>
      <c r="K330" s="46"/>
      <c r="L330" s="71"/>
      <c r="M330" s="60"/>
      <c r="N330" s="60"/>
      <c r="O330" s="60"/>
      <c r="P330" s="60"/>
      <c r="W330" s="2"/>
      <c r="X330" s="2"/>
    </row>
    <row r="331" spans="1:24" ht="15.75" customHeight="1" x14ac:dyDescent="0.2">
      <c r="A331" s="44"/>
      <c r="B331" s="47"/>
      <c r="C331" s="50"/>
      <c r="D331" s="50"/>
      <c r="E331" s="50"/>
      <c r="F331" s="50"/>
      <c r="G331" s="46"/>
      <c r="H331" s="46"/>
      <c r="I331" s="46"/>
      <c r="J331" s="46"/>
      <c r="K331" s="46"/>
      <c r="L331" s="71"/>
      <c r="M331" s="60"/>
      <c r="N331" s="60"/>
      <c r="O331" s="60"/>
      <c r="P331" s="60"/>
      <c r="W331" s="2"/>
      <c r="X331" s="2"/>
    </row>
    <row r="332" spans="1:24" ht="15.75" customHeight="1" x14ac:dyDescent="0.2">
      <c r="A332" s="44"/>
      <c r="B332" s="47"/>
      <c r="C332" s="50"/>
      <c r="D332" s="50"/>
      <c r="E332" s="50"/>
      <c r="F332" s="50"/>
      <c r="G332" s="46"/>
      <c r="H332" s="46"/>
      <c r="I332" s="46"/>
      <c r="J332" s="46"/>
      <c r="K332" s="46"/>
      <c r="L332" s="71"/>
      <c r="M332" s="60"/>
      <c r="N332" s="60"/>
      <c r="O332" s="60"/>
      <c r="P332" s="60"/>
      <c r="W332" s="2"/>
      <c r="X332" s="2"/>
    </row>
    <row r="333" spans="1:24" ht="15.75" customHeight="1" x14ac:dyDescent="0.2">
      <c r="A333" s="44"/>
      <c r="B333" s="47"/>
      <c r="C333" s="50"/>
      <c r="D333" s="50"/>
      <c r="E333" s="50"/>
      <c r="F333" s="50"/>
      <c r="G333" s="46"/>
      <c r="H333" s="46"/>
      <c r="I333" s="46"/>
      <c r="J333" s="46"/>
      <c r="K333" s="46"/>
      <c r="L333" s="71"/>
      <c r="M333" s="60"/>
      <c r="N333" s="60"/>
      <c r="O333" s="60"/>
      <c r="P333" s="60"/>
      <c r="W333" s="2"/>
      <c r="X333" s="2"/>
    </row>
    <row r="334" spans="1:24" ht="15.75" customHeight="1" x14ac:dyDescent="0.2">
      <c r="A334" s="44"/>
      <c r="B334" s="47"/>
      <c r="C334" s="50"/>
      <c r="D334" s="50"/>
      <c r="E334" s="50"/>
      <c r="F334" s="50"/>
      <c r="G334" s="46"/>
      <c r="H334" s="46"/>
      <c r="I334" s="46"/>
      <c r="J334" s="46"/>
      <c r="K334" s="46"/>
      <c r="L334" s="71"/>
      <c r="M334" s="60"/>
      <c r="N334" s="60"/>
      <c r="O334" s="60"/>
      <c r="P334" s="60"/>
      <c r="W334" s="2"/>
      <c r="X334" s="2"/>
    </row>
    <row r="335" spans="1:24" ht="15.75" customHeight="1" x14ac:dyDescent="0.2">
      <c r="A335" s="44"/>
      <c r="B335" s="47"/>
      <c r="C335" s="50"/>
      <c r="D335" s="50"/>
      <c r="E335" s="50"/>
      <c r="F335" s="50"/>
      <c r="G335" s="46"/>
      <c r="H335" s="46"/>
      <c r="I335" s="46"/>
      <c r="J335" s="46"/>
      <c r="K335" s="46"/>
      <c r="L335" s="71"/>
      <c r="M335" s="60"/>
      <c r="N335" s="60"/>
      <c r="O335" s="60"/>
      <c r="P335" s="60"/>
      <c r="W335" s="2"/>
      <c r="X335" s="2"/>
    </row>
    <row r="336" spans="1:24" ht="15.75" customHeight="1" x14ac:dyDescent="0.2">
      <c r="A336" s="44"/>
      <c r="B336" s="47"/>
      <c r="C336" s="50"/>
      <c r="D336" s="50"/>
      <c r="E336" s="50"/>
      <c r="F336" s="50"/>
      <c r="G336" s="46"/>
      <c r="H336" s="46"/>
      <c r="I336" s="46"/>
      <c r="J336" s="46"/>
      <c r="K336" s="46"/>
      <c r="L336" s="71"/>
      <c r="M336" s="60"/>
      <c r="N336" s="60"/>
      <c r="O336" s="60"/>
      <c r="P336" s="60"/>
      <c r="W336" s="2"/>
      <c r="X336" s="2"/>
    </row>
    <row r="337" spans="1:24" ht="15.75" customHeight="1" x14ac:dyDescent="0.2">
      <c r="A337" s="44"/>
      <c r="B337" s="47"/>
      <c r="C337" s="50"/>
      <c r="D337" s="50"/>
      <c r="E337" s="50"/>
      <c r="F337" s="50"/>
      <c r="G337" s="46"/>
      <c r="H337" s="46"/>
      <c r="I337" s="46"/>
      <c r="J337" s="46"/>
      <c r="K337" s="46"/>
      <c r="L337" s="71"/>
      <c r="M337" s="60"/>
      <c r="N337" s="60"/>
      <c r="O337" s="60"/>
      <c r="P337" s="60"/>
      <c r="W337" s="2"/>
      <c r="X337" s="2"/>
    </row>
    <row r="338" spans="1:24" ht="15.75" customHeight="1" x14ac:dyDescent="0.2">
      <c r="A338" s="44"/>
      <c r="B338" s="47"/>
      <c r="C338" s="50"/>
      <c r="D338" s="50"/>
      <c r="E338" s="50"/>
      <c r="F338" s="50"/>
      <c r="G338" s="46"/>
      <c r="H338" s="46"/>
      <c r="I338" s="46"/>
      <c r="J338" s="46"/>
      <c r="K338" s="46"/>
      <c r="L338" s="71"/>
      <c r="M338" s="60"/>
      <c r="N338" s="60"/>
      <c r="O338" s="60"/>
      <c r="P338" s="60"/>
      <c r="W338" s="2"/>
      <c r="X338" s="2"/>
    </row>
    <row r="339" spans="1:24" ht="15.75" customHeight="1" x14ac:dyDescent="0.2">
      <c r="A339" s="44"/>
      <c r="B339" s="47"/>
      <c r="C339" s="50"/>
      <c r="D339" s="50"/>
      <c r="E339" s="50"/>
      <c r="F339" s="50"/>
      <c r="G339" s="46"/>
      <c r="H339" s="46"/>
      <c r="I339" s="46"/>
      <c r="J339" s="46"/>
      <c r="K339" s="46"/>
      <c r="L339" s="71"/>
      <c r="M339" s="60"/>
      <c r="N339" s="60"/>
      <c r="O339" s="60"/>
      <c r="P339" s="60"/>
      <c r="W339" s="2"/>
      <c r="X339" s="2"/>
    </row>
    <row r="340" spans="1:24" ht="15.75" customHeight="1" x14ac:dyDescent="0.2">
      <c r="A340" s="44"/>
      <c r="B340" s="47"/>
      <c r="C340" s="50"/>
      <c r="D340" s="50"/>
      <c r="E340" s="50"/>
      <c r="F340" s="50"/>
      <c r="G340" s="46"/>
      <c r="H340" s="46"/>
      <c r="I340" s="46"/>
      <c r="J340" s="46"/>
      <c r="K340" s="46"/>
      <c r="L340" s="71"/>
      <c r="M340" s="60"/>
      <c r="N340" s="60"/>
      <c r="O340" s="60"/>
      <c r="P340" s="60"/>
      <c r="W340" s="2"/>
      <c r="X340" s="2"/>
    </row>
    <row r="341" spans="1:24" ht="15.75" customHeight="1" x14ac:dyDescent="0.2">
      <c r="A341" s="44"/>
      <c r="B341" s="47"/>
      <c r="C341" s="50"/>
      <c r="D341" s="50"/>
      <c r="E341" s="50"/>
      <c r="F341" s="50"/>
      <c r="G341" s="46"/>
      <c r="H341" s="46"/>
      <c r="I341" s="46"/>
      <c r="J341" s="46"/>
      <c r="K341" s="46"/>
      <c r="L341" s="71"/>
      <c r="M341" s="60"/>
      <c r="N341" s="60"/>
      <c r="O341" s="60"/>
      <c r="P341" s="60"/>
      <c r="W341" s="2"/>
      <c r="X341" s="2"/>
    </row>
    <row r="342" spans="1:24" ht="15.75" customHeight="1" x14ac:dyDescent="0.2">
      <c r="A342" s="44"/>
      <c r="B342" s="47"/>
      <c r="C342" s="50"/>
      <c r="D342" s="50"/>
      <c r="E342" s="50"/>
      <c r="F342" s="50"/>
      <c r="G342" s="46"/>
      <c r="H342" s="46"/>
      <c r="I342" s="46"/>
      <c r="J342" s="46"/>
      <c r="K342" s="46"/>
      <c r="L342" s="71"/>
      <c r="M342" s="60"/>
      <c r="N342" s="60"/>
      <c r="O342" s="60"/>
      <c r="P342" s="60"/>
      <c r="W342" s="2"/>
      <c r="X342" s="2"/>
    </row>
    <row r="343" spans="1:24" ht="15.75" customHeight="1" x14ac:dyDescent="0.2">
      <c r="A343" s="44"/>
      <c r="B343" s="47"/>
      <c r="C343" s="50"/>
      <c r="D343" s="50"/>
      <c r="E343" s="50"/>
      <c r="F343" s="50"/>
      <c r="G343" s="46"/>
      <c r="H343" s="46"/>
      <c r="I343" s="46"/>
      <c r="J343" s="46"/>
      <c r="K343" s="46"/>
      <c r="L343" s="71"/>
      <c r="M343" s="60"/>
      <c r="N343" s="60"/>
      <c r="O343" s="60"/>
      <c r="P343" s="60"/>
      <c r="W343" s="2"/>
      <c r="X343" s="2"/>
    </row>
    <row r="344" spans="1:24" ht="15.75" customHeight="1" x14ac:dyDescent="0.2">
      <c r="A344" s="44"/>
      <c r="B344" s="47"/>
      <c r="C344" s="50"/>
      <c r="D344" s="50"/>
      <c r="E344" s="50"/>
      <c r="F344" s="50"/>
      <c r="G344" s="46"/>
      <c r="H344" s="46"/>
      <c r="I344" s="46"/>
      <c r="J344" s="46"/>
      <c r="K344" s="46"/>
      <c r="L344" s="71"/>
      <c r="M344" s="60"/>
      <c r="N344" s="60"/>
      <c r="O344" s="60"/>
      <c r="P344" s="60"/>
      <c r="W344" s="2"/>
      <c r="X344" s="2"/>
    </row>
    <row r="345" spans="1:24" ht="15.75" customHeight="1" x14ac:dyDescent="0.2">
      <c r="A345" s="44"/>
      <c r="B345" s="47"/>
      <c r="C345" s="50"/>
      <c r="D345" s="50"/>
      <c r="E345" s="50"/>
      <c r="F345" s="50"/>
      <c r="G345" s="46"/>
      <c r="H345" s="46"/>
      <c r="I345" s="46"/>
      <c r="J345" s="46"/>
      <c r="K345" s="46"/>
      <c r="L345" s="71"/>
      <c r="M345" s="60"/>
      <c r="N345" s="60"/>
      <c r="O345" s="60"/>
      <c r="P345" s="60"/>
      <c r="W345" s="2"/>
      <c r="X345" s="2"/>
    </row>
    <row r="346" spans="1:24" ht="15.75" customHeight="1" x14ac:dyDescent="0.2">
      <c r="A346" s="44"/>
      <c r="B346" s="47"/>
      <c r="C346" s="50"/>
      <c r="D346" s="50"/>
      <c r="E346" s="50"/>
      <c r="F346" s="50"/>
      <c r="G346" s="46"/>
      <c r="H346" s="46"/>
      <c r="I346" s="46"/>
      <c r="J346" s="46"/>
      <c r="K346" s="46"/>
      <c r="L346" s="71"/>
      <c r="M346" s="60"/>
      <c r="N346" s="60"/>
      <c r="O346" s="60"/>
      <c r="P346" s="60"/>
      <c r="W346" s="2"/>
      <c r="X346" s="2"/>
    </row>
    <row r="347" spans="1:24" ht="15.75" customHeight="1" x14ac:dyDescent="0.2">
      <c r="A347" s="44"/>
      <c r="B347" s="47"/>
      <c r="C347" s="50"/>
      <c r="D347" s="50"/>
      <c r="E347" s="50"/>
      <c r="F347" s="50"/>
      <c r="G347" s="46"/>
      <c r="H347" s="46"/>
      <c r="I347" s="46"/>
      <c r="J347" s="46"/>
      <c r="K347" s="46"/>
      <c r="L347" s="71"/>
      <c r="M347" s="60"/>
      <c r="N347" s="60"/>
      <c r="O347" s="60"/>
      <c r="P347" s="60"/>
      <c r="W347" s="2"/>
      <c r="X347" s="2"/>
    </row>
    <row r="348" spans="1:24" ht="15.75" customHeight="1" x14ac:dyDescent="0.2">
      <c r="A348" s="44"/>
      <c r="B348" s="47"/>
      <c r="C348" s="50"/>
      <c r="D348" s="50"/>
      <c r="E348" s="50"/>
      <c r="F348" s="50"/>
      <c r="G348" s="46"/>
      <c r="H348" s="46"/>
      <c r="I348" s="46"/>
      <c r="J348" s="46"/>
      <c r="K348" s="46"/>
      <c r="L348" s="71"/>
      <c r="M348" s="60"/>
      <c r="N348" s="60"/>
      <c r="O348" s="60"/>
      <c r="P348" s="60"/>
      <c r="W348" s="2"/>
      <c r="X348" s="2"/>
    </row>
    <row r="349" spans="1:24" ht="15.75" customHeight="1" x14ac:dyDescent="0.2">
      <c r="A349" s="44"/>
      <c r="B349" s="47"/>
      <c r="C349" s="50"/>
      <c r="D349" s="50"/>
      <c r="E349" s="50"/>
      <c r="F349" s="50"/>
      <c r="G349" s="46"/>
      <c r="H349" s="46"/>
      <c r="I349" s="46"/>
      <c r="J349" s="46"/>
      <c r="K349" s="46"/>
      <c r="L349" s="71"/>
      <c r="M349" s="60"/>
      <c r="N349" s="60"/>
      <c r="O349" s="60"/>
      <c r="P349" s="60"/>
      <c r="W349" s="2"/>
      <c r="X349" s="2"/>
    </row>
    <row r="350" spans="1:24" ht="15.75" customHeight="1" x14ac:dyDescent="0.2">
      <c r="A350" s="44"/>
      <c r="B350" s="47"/>
      <c r="C350" s="50"/>
      <c r="D350" s="50"/>
      <c r="E350" s="50"/>
      <c r="F350" s="50"/>
      <c r="G350" s="46"/>
      <c r="H350" s="46"/>
      <c r="I350" s="46"/>
      <c r="J350" s="46"/>
      <c r="K350" s="46"/>
      <c r="L350" s="71"/>
      <c r="M350" s="60"/>
      <c r="N350" s="60"/>
      <c r="O350" s="60"/>
      <c r="P350" s="60"/>
      <c r="W350" s="2"/>
      <c r="X350" s="2"/>
    </row>
    <row r="351" spans="1:24" ht="15.75" customHeight="1" x14ac:dyDescent="0.2">
      <c r="A351" s="44"/>
      <c r="B351" s="47"/>
      <c r="C351" s="50"/>
      <c r="D351" s="50"/>
      <c r="E351" s="50"/>
      <c r="F351" s="50"/>
      <c r="G351" s="46"/>
      <c r="H351" s="46"/>
      <c r="I351" s="46"/>
      <c r="J351" s="46"/>
      <c r="K351" s="46"/>
      <c r="L351" s="71"/>
      <c r="M351" s="60"/>
      <c r="N351" s="60"/>
      <c r="O351" s="60"/>
      <c r="P351" s="60"/>
      <c r="W351" s="2"/>
      <c r="X351" s="2"/>
    </row>
    <row r="352" spans="1:24" ht="15.75" customHeight="1" x14ac:dyDescent="0.2">
      <c r="A352" s="44"/>
      <c r="B352" s="47"/>
      <c r="C352" s="50"/>
      <c r="D352" s="50"/>
      <c r="E352" s="50"/>
      <c r="F352" s="50"/>
      <c r="G352" s="46"/>
      <c r="H352" s="46"/>
      <c r="I352" s="46"/>
      <c r="J352" s="46"/>
      <c r="K352" s="46"/>
      <c r="L352" s="71"/>
      <c r="M352" s="60"/>
      <c r="N352" s="60"/>
      <c r="O352" s="60"/>
      <c r="P352" s="60"/>
      <c r="W352" s="2"/>
      <c r="X352" s="2"/>
    </row>
    <row r="353" spans="1:24" ht="15.75" customHeight="1" x14ac:dyDescent="0.2">
      <c r="A353" s="44"/>
      <c r="B353" s="47"/>
      <c r="C353" s="50"/>
      <c r="D353" s="50"/>
      <c r="E353" s="50"/>
      <c r="F353" s="50"/>
      <c r="G353" s="46"/>
      <c r="H353" s="46"/>
      <c r="I353" s="46"/>
      <c r="J353" s="46"/>
      <c r="K353" s="46"/>
      <c r="L353" s="71"/>
      <c r="M353" s="60"/>
      <c r="N353" s="60"/>
      <c r="O353" s="60"/>
      <c r="P353" s="60"/>
      <c r="W353" s="2"/>
      <c r="X353" s="2"/>
    </row>
    <row r="354" spans="1:24" ht="15.75" customHeight="1" x14ac:dyDescent="0.2">
      <c r="A354" s="44"/>
      <c r="B354" s="47"/>
      <c r="C354" s="50"/>
      <c r="D354" s="50"/>
      <c r="E354" s="50"/>
      <c r="F354" s="50"/>
      <c r="G354" s="46"/>
      <c r="H354" s="46"/>
      <c r="I354" s="46"/>
      <c r="J354" s="46"/>
      <c r="K354" s="46"/>
      <c r="L354" s="71"/>
      <c r="M354" s="60"/>
      <c r="N354" s="60"/>
      <c r="O354" s="60"/>
      <c r="P354" s="60"/>
      <c r="W354" s="2"/>
      <c r="X354" s="2"/>
    </row>
    <row r="355" spans="1:24" ht="15.75" customHeight="1" x14ac:dyDescent="0.2">
      <c r="A355" s="44"/>
      <c r="B355" s="47"/>
      <c r="C355" s="50"/>
      <c r="D355" s="50"/>
      <c r="E355" s="50"/>
      <c r="F355" s="50"/>
      <c r="G355" s="46"/>
      <c r="H355" s="46"/>
      <c r="I355" s="46"/>
      <c r="J355" s="46"/>
      <c r="K355" s="46"/>
      <c r="L355" s="71"/>
      <c r="M355" s="60"/>
      <c r="N355" s="60"/>
      <c r="O355" s="60"/>
      <c r="P355" s="60"/>
      <c r="W355" s="2"/>
      <c r="X355" s="2"/>
    </row>
    <row r="356" spans="1:24" ht="15.75" customHeight="1" x14ac:dyDescent="0.2">
      <c r="A356" s="44"/>
      <c r="B356" s="47"/>
      <c r="C356" s="50"/>
      <c r="D356" s="50"/>
      <c r="E356" s="50"/>
      <c r="F356" s="50"/>
      <c r="G356" s="46"/>
      <c r="H356" s="46"/>
      <c r="I356" s="46"/>
      <c r="J356" s="46"/>
      <c r="K356" s="46"/>
      <c r="L356" s="71"/>
      <c r="M356" s="60"/>
      <c r="N356" s="60"/>
      <c r="O356" s="60"/>
      <c r="P356" s="60"/>
      <c r="W356" s="2"/>
      <c r="X356" s="2"/>
    </row>
    <row r="357" spans="1:24" ht="15.75" customHeight="1" x14ac:dyDescent="0.2">
      <c r="A357" s="44"/>
      <c r="B357" s="47"/>
      <c r="C357" s="50"/>
      <c r="D357" s="50"/>
      <c r="E357" s="50"/>
      <c r="F357" s="50"/>
      <c r="G357" s="46"/>
      <c r="H357" s="46"/>
      <c r="I357" s="46"/>
      <c r="J357" s="46"/>
      <c r="K357" s="46"/>
      <c r="L357" s="71"/>
      <c r="M357" s="60"/>
      <c r="N357" s="60"/>
      <c r="O357" s="60"/>
      <c r="P357" s="60"/>
      <c r="W357" s="2"/>
      <c r="X357" s="2"/>
    </row>
    <row r="358" spans="1:24" ht="15.75" customHeight="1" x14ac:dyDescent="0.2">
      <c r="A358" s="44"/>
      <c r="B358" s="47"/>
      <c r="C358" s="50"/>
      <c r="D358" s="50"/>
      <c r="E358" s="50"/>
      <c r="F358" s="50"/>
      <c r="G358" s="46"/>
      <c r="H358" s="46"/>
      <c r="I358" s="46"/>
      <c r="J358" s="46"/>
      <c r="K358" s="46"/>
      <c r="L358" s="71"/>
      <c r="M358" s="60"/>
      <c r="N358" s="60"/>
      <c r="O358" s="60"/>
      <c r="P358" s="60"/>
      <c r="W358" s="2"/>
      <c r="X358" s="2"/>
    </row>
    <row r="359" spans="1:24" ht="15.75" customHeight="1" x14ac:dyDescent="0.2">
      <c r="A359" s="44"/>
      <c r="B359" s="47"/>
      <c r="C359" s="50"/>
      <c r="D359" s="50"/>
      <c r="E359" s="50"/>
      <c r="F359" s="50"/>
      <c r="G359" s="46"/>
      <c r="H359" s="46"/>
      <c r="I359" s="46"/>
      <c r="J359" s="46"/>
      <c r="K359" s="46"/>
      <c r="L359" s="71"/>
      <c r="M359" s="60"/>
      <c r="N359" s="60"/>
      <c r="O359" s="60"/>
      <c r="P359" s="60"/>
      <c r="W359" s="2"/>
      <c r="X359" s="2"/>
    </row>
    <row r="360" spans="1:24" ht="15.75" customHeight="1" x14ac:dyDescent="0.2">
      <c r="A360" s="44"/>
      <c r="B360" s="47"/>
      <c r="C360" s="50"/>
      <c r="D360" s="50"/>
      <c r="E360" s="50"/>
      <c r="F360" s="50"/>
      <c r="G360" s="46"/>
      <c r="H360" s="46"/>
      <c r="I360" s="46"/>
      <c r="J360" s="46"/>
      <c r="K360" s="46"/>
      <c r="L360" s="71"/>
      <c r="M360" s="60"/>
      <c r="N360" s="60"/>
      <c r="O360" s="60"/>
      <c r="P360" s="60"/>
      <c r="W360" s="2"/>
      <c r="X360" s="2"/>
    </row>
    <row r="361" spans="1:24" ht="15.75" customHeight="1" x14ac:dyDescent="0.2">
      <c r="A361" s="44"/>
      <c r="B361" s="47"/>
      <c r="C361" s="50"/>
      <c r="D361" s="50"/>
      <c r="E361" s="50"/>
      <c r="F361" s="50"/>
      <c r="G361" s="46"/>
      <c r="H361" s="46"/>
      <c r="I361" s="46"/>
      <c r="J361" s="46"/>
      <c r="K361" s="46"/>
      <c r="L361" s="71"/>
      <c r="M361" s="60"/>
      <c r="N361" s="60"/>
      <c r="O361" s="60"/>
      <c r="P361" s="60"/>
      <c r="W361" s="2"/>
      <c r="X361" s="2"/>
    </row>
    <row r="362" spans="1:24" ht="15.75" customHeight="1" x14ac:dyDescent="0.2">
      <c r="A362" s="44"/>
      <c r="B362" s="47"/>
      <c r="C362" s="50"/>
      <c r="D362" s="50"/>
      <c r="E362" s="50"/>
      <c r="F362" s="50"/>
      <c r="G362" s="46"/>
      <c r="H362" s="46"/>
      <c r="I362" s="46"/>
      <c r="J362" s="46"/>
      <c r="K362" s="46"/>
      <c r="L362" s="71"/>
      <c r="M362" s="60"/>
      <c r="N362" s="60"/>
      <c r="O362" s="60"/>
      <c r="P362" s="60"/>
      <c r="W362" s="2"/>
      <c r="X362" s="2"/>
    </row>
    <row r="363" spans="1:24" ht="15.75" customHeight="1" x14ac:dyDescent="0.2">
      <c r="A363" s="44"/>
      <c r="B363" s="47"/>
      <c r="C363" s="50"/>
      <c r="D363" s="50"/>
      <c r="E363" s="50"/>
      <c r="F363" s="50"/>
      <c r="G363" s="46"/>
      <c r="H363" s="46"/>
      <c r="I363" s="46"/>
      <c r="J363" s="46"/>
      <c r="K363" s="46"/>
      <c r="L363" s="71"/>
      <c r="M363" s="60"/>
      <c r="N363" s="60"/>
      <c r="O363" s="60"/>
      <c r="P363" s="60"/>
      <c r="W363" s="2"/>
      <c r="X363" s="2"/>
    </row>
    <row r="364" spans="1:24" ht="15.75" customHeight="1" x14ac:dyDescent="0.2">
      <c r="A364" s="44"/>
      <c r="B364" s="47"/>
      <c r="C364" s="50"/>
      <c r="D364" s="50"/>
      <c r="E364" s="50"/>
      <c r="F364" s="50"/>
      <c r="G364" s="46"/>
      <c r="H364" s="46"/>
      <c r="I364" s="46"/>
      <c r="J364" s="46"/>
      <c r="K364" s="46"/>
      <c r="L364" s="71"/>
      <c r="M364" s="60"/>
      <c r="N364" s="60"/>
      <c r="O364" s="60"/>
      <c r="P364" s="60"/>
      <c r="W364" s="2"/>
      <c r="X364" s="2"/>
    </row>
    <row r="365" spans="1:24" ht="15.75" customHeight="1" x14ac:dyDescent="0.2">
      <c r="A365" s="44"/>
      <c r="B365" s="47"/>
      <c r="C365" s="50"/>
      <c r="D365" s="50"/>
      <c r="E365" s="50"/>
      <c r="F365" s="50"/>
      <c r="G365" s="46"/>
      <c r="H365" s="46"/>
      <c r="I365" s="46"/>
      <c r="J365" s="46"/>
      <c r="K365" s="46"/>
      <c r="L365" s="71"/>
      <c r="M365" s="60"/>
      <c r="N365" s="60"/>
      <c r="O365" s="60"/>
      <c r="P365" s="60"/>
      <c r="W365" s="2"/>
      <c r="X365" s="2"/>
    </row>
    <row r="366" spans="1:24" ht="15.75" customHeight="1" x14ac:dyDescent="0.2">
      <c r="A366" s="44"/>
      <c r="B366" s="47"/>
      <c r="C366" s="50"/>
      <c r="D366" s="50"/>
      <c r="E366" s="50"/>
      <c r="F366" s="50"/>
      <c r="G366" s="46"/>
      <c r="H366" s="46"/>
      <c r="I366" s="46"/>
      <c r="J366" s="46"/>
      <c r="K366" s="46"/>
      <c r="L366" s="71"/>
      <c r="M366" s="60"/>
      <c r="N366" s="60"/>
      <c r="O366" s="60"/>
      <c r="P366" s="60"/>
      <c r="W366" s="2"/>
      <c r="X366" s="2"/>
    </row>
    <row r="367" spans="1:24" ht="15.75" customHeight="1" x14ac:dyDescent="0.2">
      <c r="A367" s="44"/>
      <c r="B367" s="47"/>
      <c r="C367" s="50"/>
      <c r="D367" s="50"/>
      <c r="E367" s="50"/>
      <c r="F367" s="50"/>
      <c r="G367" s="46"/>
      <c r="H367" s="46"/>
      <c r="I367" s="46"/>
      <c r="J367" s="46"/>
      <c r="K367" s="46"/>
      <c r="L367" s="71"/>
      <c r="M367" s="60"/>
      <c r="N367" s="60"/>
      <c r="O367" s="60"/>
      <c r="P367" s="60"/>
      <c r="W367" s="2"/>
      <c r="X367" s="2"/>
    </row>
    <row r="368" spans="1:24" ht="15.75" customHeight="1" x14ac:dyDescent="0.2">
      <c r="A368" s="44"/>
      <c r="B368" s="47"/>
      <c r="C368" s="50"/>
      <c r="D368" s="50"/>
      <c r="E368" s="50"/>
      <c r="F368" s="50"/>
      <c r="G368" s="46"/>
      <c r="H368" s="46"/>
      <c r="I368" s="46"/>
      <c r="J368" s="46"/>
      <c r="K368" s="46"/>
      <c r="L368" s="71"/>
      <c r="M368" s="60"/>
      <c r="N368" s="60"/>
      <c r="O368" s="60"/>
      <c r="P368" s="60"/>
      <c r="W368" s="2"/>
      <c r="X368" s="2"/>
    </row>
    <row r="369" spans="1:24" ht="15.75" customHeight="1" x14ac:dyDescent="0.2">
      <c r="A369" s="44"/>
      <c r="B369" s="47"/>
      <c r="C369" s="50"/>
      <c r="D369" s="50"/>
      <c r="E369" s="50"/>
      <c r="F369" s="50"/>
      <c r="G369" s="46"/>
      <c r="H369" s="46"/>
      <c r="I369" s="46"/>
      <c r="J369" s="46"/>
      <c r="K369" s="46"/>
      <c r="L369" s="71"/>
      <c r="M369" s="60"/>
      <c r="N369" s="60"/>
      <c r="O369" s="60"/>
      <c r="P369" s="60"/>
      <c r="W369" s="2"/>
      <c r="X369" s="2"/>
    </row>
    <row r="370" spans="1:24" ht="15.75" customHeight="1" x14ac:dyDescent="0.2">
      <c r="A370" s="44"/>
      <c r="B370" s="47"/>
      <c r="C370" s="50"/>
      <c r="D370" s="50"/>
      <c r="E370" s="50"/>
      <c r="F370" s="50"/>
      <c r="G370" s="46"/>
      <c r="H370" s="46"/>
      <c r="I370" s="46"/>
      <c r="J370" s="46"/>
      <c r="K370" s="46"/>
      <c r="L370" s="71"/>
      <c r="M370" s="60"/>
      <c r="N370" s="60"/>
      <c r="O370" s="60"/>
      <c r="P370" s="60"/>
      <c r="W370" s="2"/>
      <c r="X370" s="2"/>
    </row>
    <row r="371" spans="1:24" ht="15.75" customHeight="1" x14ac:dyDescent="0.2">
      <c r="A371" s="44"/>
      <c r="B371" s="47"/>
      <c r="C371" s="50"/>
      <c r="D371" s="50"/>
      <c r="E371" s="50"/>
      <c r="F371" s="50"/>
      <c r="G371" s="46"/>
      <c r="H371" s="46"/>
      <c r="I371" s="46"/>
      <c r="J371" s="46"/>
      <c r="K371" s="46"/>
      <c r="L371" s="71"/>
      <c r="M371" s="60"/>
      <c r="N371" s="60"/>
      <c r="O371" s="60"/>
      <c r="P371" s="60"/>
      <c r="W371" s="2"/>
      <c r="X371" s="2"/>
    </row>
    <row r="372" spans="1:24" ht="15.75" customHeight="1" x14ac:dyDescent="0.2">
      <c r="A372" s="44"/>
      <c r="B372" s="47"/>
      <c r="C372" s="50"/>
      <c r="D372" s="50"/>
      <c r="E372" s="50"/>
      <c r="F372" s="50"/>
      <c r="G372" s="46"/>
      <c r="H372" s="46"/>
      <c r="I372" s="46"/>
      <c r="J372" s="46"/>
      <c r="K372" s="46"/>
      <c r="L372" s="71"/>
      <c r="M372" s="60"/>
      <c r="N372" s="60"/>
      <c r="O372" s="60"/>
      <c r="P372" s="60"/>
      <c r="W372" s="2"/>
      <c r="X372" s="2"/>
    </row>
    <row r="373" spans="1:24" ht="15.75" customHeight="1" x14ac:dyDescent="0.2">
      <c r="A373" s="44"/>
      <c r="B373" s="47"/>
      <c r="C373" s="50"/>
      <c r="D373" s="50"/>
      <c r="E373" s="50"/>
      <c r="F373" s="50"/>
      <c r="G373" s="46"/>
      <c r="H373" s="46"/>
      <c r="I373" s="46"/>
      <c r="J373" s="46"/>
      <c r="K373" s="46"/>
      <c r="L373" s="71"/>
      <c r="M373" s="60"/>
      <c r="N373" s="60"/>
      <c r="O373" s="60"/>
      <c r="P373" s="60"/>
      <c r="W373" s="2"/>
      <c r="X373" s="2"/>
    </row>
    <row r="374" spans="1:24" ht="15.75" customHeight="1" x14ac:dyDescent="0.2">
      <c r="A374" s="44"/>
      <c r="B374" s="47"/>
      <c r="C374" s="50"/>
      <c r="D374" s="50"/>
      <c r="E374" s="50"/>
      <c r="F374" s="50"/>
      <c r="G374" s="46"/>
      <c r="H374" s="46"/>
      <c r="I374" s="46"/>
      <c r="J374" s="46"/>
      <c r="K374" s="46"/>
      <c r="L374" s="71"/>
      <c r="M374" s="60"/>
      <c r="N374" s="60"/>
      <c r="O374" s="60"/>
      <c r="P374" s="60"/>
      <c r="W374" s="2"/>
      <c r="X374" s="2"/>
    </row>
    <row r="375" spans="1:24" ht="15.75" customHeight="1" x14ac:dyDescent="0.2">
      <c r="A375" s="44"/>
      <c r="B375" s="47"/>
      <c r="C375" s="50"/>
      <c r="D375" s="50"/>
      <c r="E375" s="50"/>
      <c r="F375" s="50"/>
      <c r="G375" s="46"/>
      <c r="H375" s="46"/>
      <c r="I375" s="46"/>
      <c r="J375" s="46"/>
      <c r="K375" s="46"/>
      <c r="L375" s="71"/>
      <c r="M375" s="60"/>
      <c r="N375" s="60"/>
      <c r="O375" s="60"/>
      <c r="P375" s="60"/>
      <c r="W375" s="2"/>
      <c r="X375" s="2"/>
    </row>
    <row r="376" spans="1:24" ht="15.75" customHeight="1" x14ac:dyDescent="0.2">
      <c r="A376" s="44"/>
      <c r="B376" s="47"/>
      <c r="C376" s="50"/>
      <c r="D376" s="50"/>
      <c r="E376" s="50"/>
      <c r="F376" s="50"/>
      <c r="G376" s="46"/>
      <c r="H376" s="46"/>
      <c r="I376" s="46"/>
      <c r="J376" s="46"/>
      <c r="K376" s="46"/>
      <c r="L376" s="71"/>
      <c r="M376" s="60"/>
      <c r="N376" s="60"/>
      <c r="O376" s="60"/>
      <c r="P376" s="60"/>
      <c r="W376" s="2"/>
      <c r="X376" s="2"/>
    </row>
    <row r="377" spans="1:24" ht="15.75" customHeight="1" x14ac:dyDescent="0.2">
      <c r="A377" s="44"/>
      <c r="B377" s="47"/>
      <c r="C377" s="50"/>
      <c r="D377" s="50"/>
      <c r="E377" s="50"/>
      <c r="F377" s="50"/>
      <c r="G377" s="46"/>
      <c r="H377" s="46"/>
      <c r="I377" s="46"/>
      <c r="J377" s="46"/>
      <c r="K377" s="46"/>
      <c r="L377" s="71"/>
      <c r="M377" s="60"/>
      <c r="N377" s="60"/>
      <c r="O377" s="60"/>
      <c r="P377" s="60"/>
      <c r="W377" s="2"/>
      <c r="X377" s="2"/>
    </row>
    <row r="378" spans="1:24" ht="15.75" customHeight="1" x14ac:dyDescent="0.2">
      <c r="A378" s="44"/>
      <c r="B378" s="47"/>
      <c r="C378" s="50"/>
      <c r="D378" s="50"/>
      <c r="E378" s="50"/>
      <c r="F378" s="50"/>
      <c r="G378" s="46"/>
      <c r="H378" s="46"/>
      <c r="I378" s="46"/>
      <c r="J378" s="46"/>
      <c r="K378" s="46"/>
      <c r="L378" s="71"/>
      <c r="M378" s="60"/>
      <c r="N378" s="60"/>
      <c r="O378" s="60"/>
      <c r="P378" s="60"/>
      <c r="W378" s="2"/>
      <c r="X378" s="2"/>
    </row>
    <row r="379" spans="1:24" ht="15.75" customHeight="1" x14ac:dyDescent="0.2">
      <c r="A379" s="44"/>
      <c r="B379" s="47"/>
      <c r="C379" s="50"/>
      <c r="D379" s="50"/>
      <c r="E379" s="50"/>
      <c r="F379" s="50"/>
      <c r="G379" s="46"/>
      <c r="H379" s="46"/>
      <c r="I379" s="46"/>
      <c r="J379" s="46"/>
      <c r="K379" s="46"/>
      <c r="L379" s="71"/>
      <c r="M379" s="60"/>
      <c r="N379" s="60"/>
      <c r="O379" s="60"/>
      <c r="P379" s="60"/>
      <c r="W379" s="2"/>
      <c r="X379" s="2"/>
    </row>
    <row r="380" spans="1:24" ht="15.75" customHeight="1" x14ac:dyDescent="0.2">
      <c r="A380" s="44"/>
      <c r="B380" s="47"/>
      <c r="C380" s="50"/>
      <c r="D380" s="50"/>
      <c r="E380" s="50"/>
      <c r="F380" s="50"/>
      <c r="G380" s="46"/>
      <c r="H380" s="46"/>
      <c r="I380" s="46"/>
      <c r="J380" s="46"/>
      <c r="K380" s="46"/>
      <c r="L380" s="71"/>
      <c r="M380" s="60"/>
      <c r="N380" s="60"/>
      <c r="O380" s="60"/>
      <c r="P380" s="60"/>
      <c r="W380" s="2"/>
      <c r="X380" s="2"/>
    </row>
    <row r="381" spans="1:24" ht="15.75" customHeight="1" x14ac:dyDescent="0.2">
      <c r="A381" s="44"/>
      <c r="B381" s="47"/>
      <c r="C381" s="50"/>
      <c r="D381" s="50"/>
      <c r="E381" s="50"/>
      <c r="F381" s="50"/>
      <c r="G381" s="46"/>
      <c r="H381" s="46"/>
      <c r="I381" s="46"/>
      <c r="J381" s="46"/>
      <c r="K381" s="46"/>
      <c r="L381" s="71"/>
      <c r="M381" s="60"/>
      <c r="N381" s="60"/>
      <c r="O381" s="60"/>
      <c r="P381" s="60"/>
      <c r="W381" s="2"/>
      <c r="X381" s="2"/>
    </row>
    <row r="382" spans="1:24" ht="15.75" customHeight="1" x14ac:dyDescent="0.2">
      <c r="A382" s="44"/>
      <c r="B382" s="47"/>
      <c r="C382" s="50"/>
      <c r="D382" s="50"/>
      <c r="E382" s="50"/>
      <c r="F382" s="50"/>
      <c r="G382" s="46"/>
      <c r="H382" s="46"/>
      <c r="I382" s="46"/>
      <c r="J382" s="46"/>
      <c r="K382" s="46"/>
      <c r="L382" s="71"/>
      <c r="M382" s="60"/>
      <c r="N382" s="60"/>
      <c r="O382" s="60"/>
      <c r="P382" s="60"/>
      <c r="W382" s="2"/>
      <c r="X382" s="2"/>
    </row>
    <row r="383" spans="1:24" ht="15.75" customHeight="1" x14ac:dyDescent="0.2">
      <c r="A383" s="44"/>
      <c r="B383" s="47"/>
      <c r="C383" s="50"/>
      <c r="D383" s="50"/>
      <c r="E383" s="50"/>
      <c r="F383" s="50"/>
      <c r="G383" s="46"/>
      <c r="H383" s="46"/>
      <c r="I383" s="46"/>
      <c r="J383" s="46"/>
      <c r="K383" s="46"/>
      <c r="L383" s="71"/>
      <c r="M383" s="60"/>
      <c r="N383" s="60"/>
      <c r="O383" s="60"/>
      <c r="P383" s="60"/>
      <c r="W383" s="2"/>
      <c r="X383" s="2"/>
    </row>
    <row r="384" spans="1:24" ht="15.75" customHeight="1" x14ac:dyDescent="0.2">
      <c r="A384" s="44"/>
      <c r="B384" s="47"/>
      <c r="C384" s="50"/>
      <c r="D384" s="50"/>
      <c r="E384" s="50"/>
      <c r="F384" s="50"/>
      <c r="G384" s="46"/>
      <c r="H384" s="46"/>
      <c r="I384" s="46"/>
      <c r="J384" s="46"/>
      <c r="K384" s="46"/>
      <c r="L384" s="71"/>
      <c r="M384" s="60"/>
      <c r="N384" s="60"/>
      <c r="O384" s="60"/>
      <c r="P384" s="60"/>
      <c r="W384" s="2"/>
      <c r="X384" s="2"/>
    </row>
    <row r="385" spans="1:24" ht="15.75" customHeight="1" x14ac:dyDescent="0.2">
      <c r="A385" s="44"/>
      <c r="B385" s="47"/>
      <c r="C385" s="50"/>
      <c r="D385" s="50"/>
      <c r="E385" s="50"/>
      <c r="F385" s="50"/>
      <c r="G385" s="46"/>
      <c r="H385" s="46"/>
      <c r="I385" s="46"/>
      <c r="J385" s="46"/>
      <c r="K385" s="46"/>
      <c r="L385" s="71"/>
      <c r="M385" s="60"/>
      <c r="N385" s="60"/>
      <c r="O385" s="60"/>
      <c r="P385" s="60"/>
      <c r="W385" s="2"/>
      <c r="X385" s="2"/>
    </row>
    <row r="386" spans="1:24" ht="15.75" customHeight="1" x14ac:dyDescent="0.2">
      <c r="A386" s="44"/>
      <c r="B386" s="47"/>
      <c r="C386" s="50"/>
      <c r="D386" s="50"/>
      <c r="E386" s="50"/>
      <c r="F386" s="50"/>
      <c r="G386" s="46"/>
      <c r="H386" s="46"/>
      <c r="I386" s="46"/>
      <c r="J386" s="46"/>
      <c r="K386" s="46"/>
      <c r="L386" s="71"/>
      <c r="M386" s="60"/>
      <c r="N386" s="60"/>
      <c r="O386" s="60"/>
      <c r="P386" s="60"/>
      <c r="W386" s="2"/>
      <c r="X386" s="2"/>
    </row>
    <row r="387" spans="1:24" ht="15.75" customHeight="1" x14ac:dyDescent="0.2">
      <c r="A387" s="44"/>
      <c r="B387" s="47"/>
      <c r="C387" s="50"/>
      <c r="D387" s="50"/>
      <c r="E387" s="50"/>
      <c r="F387" s="50"/>
      <c r="G387" s="46"/>
      <c r="H387" s="46"/>
      <c r="I387" s="46"/>
      <c r="J387" s="46"/>
      <c r="K387" s="46"/>
      <c r="L387" s="71"/>
      <c r="M387" s="60"/>
      <c r="N387" s="60"/>
      <c r="O387" s="60"/>
      <c r="P387" s="60"/>
      <c r="W387" s="2"/>
      <c r="X387" s="2"/>
    </row>
    <row r="388" spans="1:24" ht="15.75" customHeight="1" x14ac:dyDescent="0.2">
      <c r="A388" s="44"/>
      <c r="B388" s="47"/>
      <c r="C388" s="50"/>
      <c r="D388" s="50"/>
      <c r="E388" s="50"/>
      <c r="F388" s="50"/>
      <c r="G388" s="46"/>
      <c r="H388" s="46"/>
      <c r="I388" s="46"/>
      <c r="J388" s="46"/>
      <c r="K388" s="46"/>
      <c r="L388" s="71"/>
      <c r="M388" s="60"/>
      <c r="N388" s="60"/>
      <c r="O388" s="60"/>
      <c r="P388" s="60"/>
      <c r="W388" s="2"/>
      <c r="X388" s="2"/>
    </row>
    <row r="389" spans="1:24" ht="15.75" customHeight="1" x14ac:dyDescent="0.2">
      <c r="A389" s="44"/>
      <c r="B389" s="47"/>
      <c r="C389" s="50"/>
      <c r="D389" s="50"/>
      <c r="E389" s="50"/>
      <c r="F389" s="50"/>
      <c r="G389" s="46"/>
      <c r="H389" s="46"/>
      <c r="I389" s="46"/>
      <c r="J389" s="46"/>
      <c r="K389" s="46"/>
      <c r="L389" s="71"/>
      <c r="M389" s="60"/>
      <c r="N389" s="60"/>
      <c r="O389" s="60"/>
      <c r="P389" s="60"/>
      <c r="W389" s="2"/>
      <c r="X389" s="2"/>
    </row>
    <row r="390" spans="1:24" ht="15.75" customHeight="1" x14ac:dyDescent="0.2">
      <c r="A390" s="44"/>
      <c r="B390" s="47"/>
      <c r="C390" s="50"/>
      <c r="D390" s="50"/>
      <c r="E390" s="50"/>
      <c r="F390" s="50"/>
      <c r="G390" s="46"/>
      <c r="H390" s="46"/>
      <c r="I390" s="46"/>
      <c r="J390" s="46"/>
      <c r="K390" s="46"/>
      <c r="L390" s="71"/>
      <c r="M390" s="60"/>
      <c r="N390" s="60"/>
      <c r="O390" s="60"/>
      <c r="P390" s="60"/>
      <c r="W390" s="2"/>
      <c r="X390" s="2"/>
    </row>
    <row r="391" spans="1:24" ht="15.75" customHeight="1" x14ac:dyDescent="0.2">
      <c r="A391" s="44"/>
      <c r="B391" s="47"/>
      <c r="C391" s="50"/>
      <c r="D391" s="50"/>
      <c r="E391" s="50"/>
      <c r="F391" s="50"/>
      <c r="G391" s="46"/>
      <c r="H391" s="46"/>
      <c r="I391" s="46"/>
      <c r="J391" s="46"/>
      <c r="K391" s="46"/>
      <c r="L391" s="71"/>
      <c r="M391" s="60"/>
      <c r="N391" s="60"/>
      <c r="O391" s="60"/>
      <c r="P391" s="60"/>
      <c r="W391" s="2"/>
      <c r="X391" s="2"/>
    </row>
    <row r="392" spans="1:24" ht="15.75" customHeight="1" x14ac:dyDescent="0.2">
      <c r="A392" s="44"/>
      <c r="B392" s="47"/>
      <c r="C392" s="50"/>
      <c r="D392" s="50"/>
      <c r="E392" s="50"/>
      <c r="F392" s="50"/>
      <c r="G392" s="46"/>
      <c r="H392" s="46"/>
      <c r="I392" s="46"/>
      <c r="J392" s="46"/>
      <c r="K392" s="46"/>
      <c r="L392" s="71"/>
      <c r="M392" s="60"/>
      <c r="N392" s="60"/>
      <c r="O392" s="60"/>
      <c r="P392" s="60"/>
      <c r="W392" s="2"/>
      <c r="X392" s="2"/>
    </row>
    <row r="393" spans="1:24" ht="15.75" customHeight="1" x14ac:dyDescent="0.2">
      <c r="A393" s="44"/>
      <c r="B393" s="47"/>
      <c r="C393" s="50"/>
      <c r="D393" s="50"/>
      <c r="E393" s="50"/>
      <c r="F393" s="50"/>
      <c r="G393" s="46"/>
      <c r="H393" s="46"/>
      <c r="I393" s="46"/>
      <c r="J393" s="46"/>
      <c r="K393" s="46"/>
      <c r="L393" s="71"/>
      <c r="M393" s="60"/>
      <c r="N393" s="60"/>
      <c r="O393" s="60"/>
      <c r="P393" s="60"/>
      <c r="W393" s="2"/>
      <c r="X393" s="2"/>
    </row>
    <row r="394" spans="1:24" ht="15.75" customHeight="1" x14ac:dyDescent="0.2">
      <c r="A394" s="44"/>
      <c r="B394" s="47"/>
      <c r="C394" s="50"/>
      <c r="D394" s="50"/>
      <c r="E394" s="50"/>
      <c r="F394" s="50"/>
      <c r="G394" s="46"/>
      <c r="H394" s="46"/>
      <c r="I394" s="46"/>
      <c r="J394" s="46"/>
      <c r="K394" s="46"/>
      <c r="L394" s="71"/>
      <c r="M394" s="60"/>
      <c r="N394" s="60"/>
      <c r="O394" s="60"/>
      <c r="P394" s="60"/>
      <c r="W394" s="2"/>
      <c r="X394" s="2"/>
    </row>
    <row r="395" spans="1:24" ht="15.75" customHeight="1" x14ac:dyDescent="0.2">
      <c r="A395" s="44"/>
      <c r="B395" s="47"/>
      <c r="C395" s="50"/>
      <c r="D395" s="50"/>
      <c r="E395" s="50"/>
      <c r="F395" s="50"/>
      <c r="G395" s="46"/>
      <c r="H395" s="46"/>
      <c r="I395" s="46"/>
      <c r="J395" s="46"/>
      <c r="K395" s="46"/>
      <c r="L395" s="71"/>
      <c r="M395" s="60"/>
      <c r="N395" s="60"/>
      <c r="O395" s="60"/>
      <c r="P395" s="60"/>
      <c r="W395" s="2"/>
      <c r="X395" s="2"/>
    </row>
    <row r="396" spans="1:24" ht="15.75" customHeight="1" x14ac:dyDescent="0.2">
      <c r="A396" s="44"/>
      <c r="B396" s="47"/>
      <c r="C396" s="50"/>
      <c r="D396" s="50"/>
      <c r="E396" s="50"/>
      <c r="F396" s="50"/>
      <c r="G396" s="46"/>
      <c r="H396" s="46"/>
      <c r="I396" s="46"/>
      <c r="J396" s="46"/>
      <c r="K396" s="46"/>
      <c r="L396" s="71"/>
      <c r="M396" s="60"/>
      <c r="N396" s="60"/>
      <c r="O396" s="60"/>
      <c r="P396" s="60"/>
      <c r="W396" s="2"/>
      <c r="X396" s="2"/>
    </row>
    <row r="397" spans="1:24" ht="15.75" customHeight="1" x14ac:dyDescent="0.2">
      <c r="A397" s="44"/>
      <c r="B397" s="47"/>
      <c r="C397" s="50"/>
      <c r="D397" s="50"/>
      <c r="E397" s="50"/>
      <c r="F397" s="50"/>
      <c r="G397" s="46"/>
      <c r="H397" s="46"/>
      <c r="I397" s="46"/>
      <c r="J397" s="46"/>
      <c r="K397" s="46"/>
      <c r="L397" s="71"/>
      <c r="M397" s="60"/>
      <c r="N397" s="60"/>
      <c r="O397" s="60"/>
      <c r="P397" s="60"/>
      <c r="W397" s="2"/>
      <c r="X397" s="2"/>
    </row>
    <row r="398" spans="1:24" ht="15.75" customHeight="1" x14ac:dyDescent="0.2">
      <c r="A398" s="44"/>
      <c r="B398" s="47"/>
      <c r="C398" s="50"/>
      <c r="D398" s="50"/>
      <c r="E398" s="50"/>
      <c r="F398" s="50"/>
      <c r="G398" s="46"/>
      <c r="H398" s="46"/>
      <c r="I398" s="46"/>
      <c r="J398" s="46"/>
      <c r="K398" s="46"/>
      <c r="L398" s="71"/>
      <c r="M398" s="60"/>
      <c r="N398" s="60"/>
      <c r="O398" s="60"/>
      <c r="P398" s="60"/>
      <c r="W398" s="2"/>
      <c r="X398" s="2"/>
    </row>
    <row r="399" spans="1:24" ht="15.75" customHeight="1" x14ac:dyDescent="0.2">
      <c r="A399" s="44"/>
      <c r="B399" s="47"/>
      <c r="C399" s="50"/>
      <c r="D399" s="50"/>
      <c r="E399" s="50"/>
      <c r="F399" s="50"/>
      <c r="G399" s="46"/>
      <c r="H399" s="46"/>
      <c r="I399" s="46"/>
      <c r="J399" s="46"/>
      <c r="K399" s="46"/>
      <c r="L399" s="71"/>
      <c r="M399" s="60"/>
      <c r="N399" s="60"/>
      <c r="O399" s="60"/>
      <c r="P399" s="60"/>
      <c r="W399" s="2"/>
      <c r="X399" s="2"/>
    </row>
    <row r="400" spans="1:24" ht="15.75" customHeight="1" x14ac:dyDescent="0.2">
      <c r="A400" s="44"/>
      <c r="B400" s="47"/>
      <c r="C400" s="50"/>
      <c r="D400" s="50"/>
      <c r="E400" s="50"/>
      <c r="F400" s="50"/>
      <c r="G400" s="46"/>
      <c r="H400" s="46"/>
      <c r="I400" s="46"/>
      <c r="J400" s="46"/>
      <c r="K400" s="46"/>
      <c r="L400" s="71"/>
      <c r="M400" s="60"/>
      <c r="N400" s="60"/>
      <c r="O400" s="60"/>
      <c r="P400" s="60"/>
      <c r="W400" s="2"/>
      <c r="X400" s="2"/>
    </row>
    <row r="401" spans="1:24" ht="15.75" customHeight="1" x14ac:dyDescent="0.2">
      <c r="A401" s="44"/>
      <c r="B401" s="47"/>
      <c r="C401" s="50"/>
      <c r="D401" s="50"/>
      <c r="E401" s="50"/>
      <c r="F401" s="50"/>
      <c r="G401" s="46"/>
      <c r="H401" s="46"/>
      <c r="I401" s="46"/>
      <c r="J401" s="46"/>
      <c r="K401" s="46"/>
      <c r="L401" s="71"/>
      <c r="M401" s="60"/>
      <c r="N401" s="60"/>
      <c r="O401" s="60"/>
      <c r="P401" s="60"/>
      <c r="W401" s="2"/>
      <c r="X401" s="2"/>
    </row>
    <row r="402" spans="1:24" ht="15.75" customHeight="1" x14ac:dyDescent="0.2">
      <c r="A402" s="44"/>
      <c r="B402" s="47"/>
      <c r="C402" s="50"/>
      <c r="D402" s="50"/>
      <c r="E402" s="50"/>
      <c r="F402" s="50"/>
      <c r="G402" s="46"/>
      <c r="H402" s="46"/>
      <c r="I402" s="46"/>
      <c r="J402" s="46"/>
      <c r="K402" s="46"/>
      <c r="L402" s="71"/>
      <c r="M402" s="60"/>
      <c r="N402" s="60"/>
      <c r="O402" s="60"/>
      <c r="P402" s="60"/>
      <c r="W402" s="2"/>
      <c r="X402" s="2"/>
    </row>
    <row r="403" spans="1:24" ht="15.75" customHeight="1" x14ac:dyDescent="0.2">
      <c r="A403" s="44"/>
      <c r="B403" s="47"/>
      <c r="C403" s="50"/>
      <c r="D403" s="50"/>
      <c r="E403" s="50"/>
      <c r="F403" s="50"/>
      <c r="G403" s="46"/>
      <c r="H403" s="46"/>
      <c r="I403" s="46"/>
      <c r="J403" s="46"/>
      <c r="K403" s="46"/>
      <c r="L403" s="71"/>
      <c r="M403" s="60"/>
      <c r="N403" s="60"/>
      <c r="O403" s="60"/>
      <c r="P403" s="60"/>
      <c r="W403" s="2"/>
      <c r="X403" s="2"/>
    </row>
    <row r="404" spans="1:24" ht="15.75" customHeight="1" x14ac:dyDescent="0.2">
      <c r="A404" s="44"/>
      <c r="B404" s="47"/>
      <c r="C404" s="50"/>
      <c r="D404" s="50"/>
      <c r="E404" s="50"/>
      <c r="F404" s="50"/>
      <c r="G404" s="46"/>
      <c r="H404" s="46"/>
      <c r="I404" s="46"/>
      <c r="J404" s="46"/>
      <c r="K404" s="46"/>
      <c r="L404" s="71"/>
      <c r="M404" s="60"/>
      <c r="N404" s="60"/>
      <c r="O404" s="60"/>
      <c r="P404" s="60"/>
      <c r="W404" s="2"/>
      <c r="X404" s="2"/>
    </row>
    <row r="405" spans="1:24" ht="15.75" customHeight="1" x14ac:dyDescent="0.2">
      <c r="A405" s="44"/>
      <c r="B405" s="47"/>
      <c r="C405" s="50"/>
      <c r="D405" s="50"/>
      <c r="E405" s="50"/>
      <c r="F405" s="50"/>
      <c r="G405" s="46"/>
      <c r="H405" s="46"/>
      <c r="I405" s="46"/>
      <c r="J405" s="46"/>
      <c r="K405" s="46"/>
      <c r="L405" s="71"/>
      <c r="M405" s="60"/>
      <c r="N405" s="60"/>
      <c r="O405" s="60"/>
      <c r="P405" s="60"/>
      <c r="W405" s="2"/>
      <c r="X405" s="2"/>
    </row>
    <row r="406" spans="1:24" ht="15.75" customHeight="1" x14ac:dyDescent="0.2">
      <c r="A406" s="44"/>
      <c r="B406" s="47"/>
      <c r="C406" s="50"/>
      <c r="D406" s="50"/>
      <c r="E406" s="50"/>
      <c r="F406" s="50"/>
      <c r="G406" s="46"/>
      <c r="H406" s="46"/>
      <c r="I406" s="46"/>
      <c r="J406" s="46"/>
      <c r="K406" s="46"/>
      <c r="L406" s="71"/>
      <c r="M406" s="60"/>
      <c r="N406" s="60"/>
      <c r="O406" s="60"/>
      <c r="P406" s="60"/>
      <c r="W406" s="2"/>
      <c r="X406" s="2"/>
    </row>
    <row r="407" spans="1:24" ht="15.75" customHeight="1" x14ac:dyDescent="0.2">
      <c r="A407" s="44"/>
      <c r="B407" s="47"/>
      <c r="C407" s="50"/>
      <c r="D407" s="50"/>
      <c r="E407" s="50"/>
      <c r="F407" s="50"/>
      <c r="G407" s="46"/>
      <c r="H407" s="46"/>
      <c r="I407" s="46"/>
      <c r="J407" s="46"/>
      <c r="K407" s="46"/>
      <c r="L407" s="71"/>
      <c r="M407" s="60"/>
      <c r="N407" s="60"/>
      <c r="O407" s="60"/>
      <c r="P407" s="60"/>
      <c r="W407" s="2"/>
      <c r="X407" s="2"/>
    </row>
    <row r="408" spans="1:24" ht="15.75" customHeight="1" x14ac:dyDescent="0.2">
      <c r="A408" s="44"/>
      <c r="B408" s="47"/>
      <c r="C408" s="50"/>
      <c r="D408" s="50"/>
      <c r="E408" s="50"/>
      <c r="F408" s="50"/>
      <c r="G408" s="46"/>
      <c r="H408" s="46"/>
      <c r="I408" s="46"/>
      <c r="J408" s="46"/>
      <c r="K408" s="46"/>
      <c r="L408" s="71"/>
      <c r="M408" s="60"/>
      <c r="N408" s="60"/>
      <c r="O408" s="60"/>
      <c r="P408" s="60"/>
      <c r="W408" s="2"/>
      <c r="X408" s="2"/>
    </row>
    <row r="409" spans="1:24" ht="15.75" customHeight="1" x14ac:dyDescent="0.2">
      <c r="A409" s="44"/>
      <c r="B409" s="47"/>
      <c r="C409" s="50"/>
      <c r="D409" s="50"/>
      <c r="E409" s="50"/>
      <c r="F409" s="50"/>
      <c r="G409" s="46"/>
      <c r="H409" s="46"/>
      <c r="I409" s="46"/>
      <c r="J409" s="46"/>
      <c r="K409" s="46"/>
      <c r="L409" s="71"/>
      <c r="M409" s="60"/>
      <c r="N409" s="60"/>
      <c r="O409" s="60"/>
      <c r="P409" s="60"/>
      <c r="W409" s="2"/>
      <c r="X409" s="2"/>
    </row>
    <row r="410" spans="1:24" ht="15.75" customHeight="1" x14ac:dyDescent="0.2">
      <c r="A410" s="44"/>
      <c r="B410" s="47"/>
      <c r="C410" s="50"/>
      <c r="D410" s="50"/>
      <c r="E410" s="50"/>
      <c r="F410" s="50"/>
      <c r="G410" s="46"/>
      <c r="H410" s="46"/>
      <c r="I410" s="46"/>
      <c r="J410" s="46"/>
      <c r="K410" s="46"/>
      <c r="L410" s="71"/>
      <c r="M410" s="60"/>
      <c r="N410" s="60"/>
      <c r="O410" s="60"/>
      <c r="P410" s="60"/>
      <c r="W410" s="2"/>
      <c r="X410" s="2"/>
    </row>
    <row r="411" spans="1:24" ht="15.75" customHeight="1" x14ac:dyDescent="0.2">
      <c r="A411" s="44"/>
      <c r="B411" s="47"/>
      <c r="C411" s="50"/>
      <c r="D411" s="50"/>
      <c r="E411" s="50"/>
      <c r="F411" s="50"/>
      <c r="G411" s="46"/>
      <c r="H411" s="46"/>
      <c r="I411" s="46"/>
      <c r="J411" s="46"/>
      <c r="K411" s="46"/>
      <c r="L411" s="71"/>
      <c r="M411" s="60"/>
      <c r="N411" s="60"/>
      <c r="O411" s="60"/>
      <c r="P411" s="60"/>
      <c r="W411" s="2"/>
      <c r="X411" s="2"/>
    </row>
    <row r="412" spans="1:24" ht="15.75" customHeight="1" x14ac:dyDescent="0.2">
      <c r="A412" s="44"/>
      <c r="B412" s="47"/>
      <c r="C412" s="50"/>
      <c r="D412" s="50"/>
      <c r="E412" s="50"/>
      <c r="F412" s="50"/>
      <c r="G412" s="46"/>
      <c r="H412" s="46"/>
      <c r="I412" s="46"/>
      <c r="J412" s="46"/>
      <c r="K412" s="46"/>
      <c r="L412" s="71"/>
      <c r="M412" s="60"/>
      <c r="N412" s="60"/>
      <c r="O412" s="60"/>
      <c r="P412" s="60"/>
      <c r="W412" s="2"/>
      <c r="X412" s="2"/>
    </row>
    <row r="413" spans="1:24" ht="15.75" customHeight="1" x14ac:dyDescent="0.2">
      <c r="A413" s="44"/>
      <c r="B413" s="47"/>
      <c r="C413" s="50"/>
      <c r="D413" s="50"/>
      <c r="E413" s="50"/>
      <c r="F413" s="50"/>
      <c r="G413" s="46"/>
      <c r="H413" s="46"/>
      <c r="I413" s="46"/>
      <c r="J413" s="46"/>
      <c r="K413" s="46"/>
      <c r="L413" s="71"/>
      <c r="M413" s="60"/>
      <c r="N413" s="60"/>
      <c r="O413" s="60"/>
      <c r="P413" s="60"/>
      <c r="W413" s="2"/>
      <c r="X413" s="2"/>
    </row>
    <row r="414" spans="1:24" ht="15.75" customHeight="1" x14ac:dyDescent="0.2">
      <c r="A414" s="44"/>
      <c r="B414" s="47"/>
      <c r="C414" s="50"/>
      <c r="D414" s="50"/>
      <c r="E414" s="50"/>
      <c r="F414" s="50"/>
      <c r="G414" s="46"/>
      <c r="H414" s="46"/>
      <c r="I414" s="46"/>
      <c r="J414" s="46"/>
      <c r="K414" s="46"/>
      <c r="L414" s="71"/>
      <c r="M414" s="60"/>
      <c r="N414" s="60"/>
      <c r="O414" s="60"/>
      <c r="P414" s="60"/>
      <c r="W414" s="2"/>
      <c r="X414" s="2"/>
    </row>
    <row r="415" spans="1:24" ht="15.75" customHeight="1" x14ac:dyDescent="0.2">
      <c r="A415" s="44"/>
      <c r="B415" s="47"/>
      <c r="C415" s="50"/>
      <c r="D415" s="50"/>
      <c r="E415" s="50"/>
      <c r="F415" s="50"/>
      <c r="G415" s="46"/>
      <c r="H415" s="46"/>
      <c r="I415" s="46"/>
      <c r="J415" s="46"/>
      <c r="K415" s="46"/>
      <c r="L415" s="71"/>
      <c r="M415" s="60"/>
      <c r="N415" s="60"/>
      <c r="O415" s="60"/>
      <c r="P415" s="60"/>
      <c r="W415" s="2"/>
      <c r="X415" s="2"/>
    </row>
    <row r="416" spans="1:24" ht="15.75" customHeight="1" x14ac:dyDescent="0.2">
      <c r="A416" s="44"/>
      <c r="B416" s="47"/>
      <c r="C416" s="50"/>
      <c r="D416" s="50"/>
      <c r="E416" s="50"/>
      <c r="F416" s="50"/>
      <c r="G416" s="46"/>
      <c r="H416" s="46"/>
      <c r="I416" s="46"/>
      <c r="J416" s="46"/>
      <c r="K416" s="46"/>
      <c r="L416" s="71"/>
      <c r="M416" s="60"/>
      <c r="N416" s="60"/>
      <c r="O416" s="60"/>
      <c r="P416" s="60"/>
      <c r="W416" s="2"/>
      <c r="X416" s="2"/>
    </row>
    <row r="417" spans="1:24" ht="15.75" customHeight="1" x14ac:dyDescent="0.2">
      <c r="A417" s="44"/>
      <c r="B417" s="47"/>
      <c r="C417" s="50"/>
      <c r="D417" s="50"/>
      <c r="E417" s="50"/>
      <c r="F417" s="50"/>
      <c r="G417" s="46"/>
      <c r="H417" s="46"/>
      <c r="I417" s="46"/>
      <c r="J417" s="46"/>
      <c r="K417" s="46"/>
      <c r="L417" s="71"/>
      <c r="M417" s="60"/>
      <c r="N417" s="60"/>
      <c r="O417" s="60"/>
      <c r="P417" s="60"/>
      <c r="W417" s="2"/>
      <c r="X417" s="2"/>
    </row>
    <row r="418" spans="1:24" ht="15.75" customHeight="1" x14ac:dyDescent="0.2">
      <c r="A418" s="44"/>
      <c r="B418" s="47"/>
      <c r="C418" s="50"/>
      <c r="D418" s="50"/>
      <c r="E418" s="50"/>
      <c r="F418" s="50"/>
      <c r="G418" s="46"/>
      <c r="H418" s="46"/>
      <c r="I418" s="46"/>
      <c r="J418" s="46"/>
      <c r="K418" s="46"/>
      <c r="L418" s="71"/>
      <c r="M418" s="60"/>
      <c r="N418" s="60"/>
      <c r="O418" s="60"/>
      <c r="P418" s="60"/>
      <c r="W418" s="2"/>
      <c r="X418" s="2"/>
    </row>
    <row r="419" spans="1:24" ht="15.75" customHeight="1" x14ac:dyDescent="0.2">
      <c r="A419" s="44"/>
      <c r="B419" s="47"/>
      <c r="C419" s="50"/>
      <c r="D419" s="50"/>
      <c r="E419" s="50"/>
      <c r="F419" s="50"/>
      <c r="G419" s="46"/>
      <c r="H419" s="46"/>
      <c r="I419" s="46"/>
      <c r="J419" s="46"/>
      <c r="K419" s="46"/>
      <c r="L419" s="71"/>
      <c r="M419" s="60"/>
      <c r="N419" s="60"/>
      <c r="O419" s="60"/>
      <c r="P419" s="60"/>
      <c r="W419" s="2"/>
      <c r="X419" s="2"/>
    </row>
    <row r="420" spans="1:24" ht="15.75" customHeight="1" x14ac:dyDescent="0.2">
      <c r="A420" s="44"/>
      <c r="B420" s="47"/>
      <c r="C420" s="50"/>
      <c r="D420" s="50"/>
      <c r="E420" s="50"/>
      <c r="F420" s="50"/>
      <c r="G420" s="46"/>
      <c r="H420" s="46"/>
      <c r="I420" s="46"/>
      <c r="J420" s="46"/>
      <c r="K420" s="46"/>
      <c r="L420" s="71"/>
      <c r="M420" s="60"/>
      <c r="N420" s="60"/>
      <c r="O420" s="60"/>
      <c r="P420" s="60"/>
      <c r="W420" s="2"/>
      <c r="X420" s="2"/>
    </row>
    <row r="421" spans="1:24" ht="15.75" customHeight="1" x14ac:dyDescent="0.2">
      <c r="A421" s="44"/>
      <c r="B421" s="47"/>
      <c r="C421" s="50"/>
      <c r="D421" s="50"/>
      <c r="E421" s="50"/>
      <c r="F421" s="50"/>
      <c r="G421" s="46"/>
      <c r="H421" s="46"/>
      <c r="I421" s="46"/>
      <c r="J421" s="46"/>
      <c r="K421" s="46"/>
      <c r="L421" s="71"/>
      <c r="M421" s="60"/>
      <c r="N421" s="60"/>
      <c r="O421" s="60"/>
      <c r="P421" s="60"/>
      <c r="W421" s="2"/>
      <c r="X421" s="2"/>
    </row>
    <row r="422" spans="1:24" ht="15.75" customHeight="1" x14ac:dyDescent="0.2">
      <c r="A422" s="44"/>
      <c r="B422" s="47"/>
      <c r="C422" s="50"/>
      <c r="D422" s="50"/>
      <c r="E422" s="50"/>
      <c r="F422" s="50"/>
      <c r="G422" s="46"/>
      <c r="H422" s="46"/>
      <c r="I422" s="46"/>
      <c r="J422" s="46"/>
      <c r="K422" s="46"/>
      <c r="L422" s="71"/>
      <c r="M422" s="60"/>
      <c r="N422" s="60"/>
      <c r="O422" s="60"/>
      <c r="P422" s="60"/>
      <c r="W422" s="2"/>
      <c r="X422" s="2"/>
    </row>
    <row r="423" spans="1:24" ht="15.75" customHeight="1" x14ac:dyDescent="0.2">
      <c r="A423" s="44"/>
      <c r="B423" s="47"/>
      <c r="C423" s="50"/>
      <c r="D423" s="50"/>
      <c r="E423" s="50"/>
      <c r="F423" s="50"/>
      <c r="G423" s="46"/>
      <c r="H423" s="46"/>
      <c r="I423" s="46"/>
      <c r="J423" s="46"/>
      <c r="K423" s="46"/>
      <c r="L423" s="71"/>
      <c r="M423" s="60"/>
      <c r="N423" s="60"/>
      <c r="O423" s="60"/>
      <c r="P423" s="60"/>
      <c r="W423" s="2"/>
      <c r="X423" s="2"/>
    </row>
    <row r="424" spans="1:24" ht="15.75" customHeight="1" x14ac:dyDescent="0.2">
      <c r="A424" s="44"/>
      <c r="B424" s="47"/>
      <c r="C424" s="50"/>
      <c r="D424" s="50"/>
      <c r="E424" s="50"/>
      <c r="F424" s="50"/>
      <c r="G424" s="46"/>
      <c r="H424" s="46"/>
      <c r="I424" s="46"/>
      <c r="J424" s="46"/>
      <c r="K424" s="46"/>
      <c r="L424" s="71"/>
      <c r="M424" s="60"/>
      <c r="N424" s="60"/>
      <c r="O424" s="60"/>
      <c r="P424" s="60"/>
      <c r="W424" s="2"/>
      <c r="X424" s="2"/>
    </row>
    <row r="425" spans="1:24" ht="15.75" customHeight="1" x14ac:dyDescent="0.2">
      <c r="A425" s="44"/>
      <c r="B425" s="47"/>
      <c r="C425" s="50"/>
      <c r="D425" s="50"/>
      <c r="E425" s="50"/>
      <c r="F425" s="50"/>
      <c r="G425" s="46"/>
      <c r="H425" s="46"/>
      <c r="I425" s="46"/>
      <c r="J425" s="46"/>
      <c r="K425" s="46"/>
      <c r="L425" s="71"/>
      <c r="M425" s="60"/>
      <c r="N425" s="60"/>
      <c r="O425" s="60"/>
      <c r="P425" s="60"/>
      <c r="W425" s="2"/>
      <c r="X425" s="2"/>
    </row>
    <row r="426" spans="1:24" ht="15.75" customHeight="1" x14ac:dyDescent="0.2">
      <c r="A426" s="44"/>
      <c r="B426" s="47"/>
      <c r="C426" s="50"/>
      <c r="D426" s="50"/>
      <c r="E426" s="50"/>
      <c r="F426" s="50"/>
      <c r="G426" s="46"/>
      <c r="H426" s="46"/>
      <c r="I426" s="46"/>
      <c r="J426" s="46"/>
      <c r="K426" s="46"/>
      <c r="L426" s="71"/>
      <c r="M426" s="60"/>
      <c r="N426" s="60"/>
      <c r="O426" s="60"/>
      <c r="P426" s="60"/>
      <c r="W426" s="2"/>
      <c r="X426" s="2"/>
    </row>
    <row r="427" spans="1:24" ht="15.75" customHeight="1" x14ac:dyDescent="0.2">
      <c r="A427" s="44"/>
      <c r="B427" s="47"/>
      <c r="C427" s="50"/>
      <c r="D427" s="50"/>
      <c r="E427" s="50"/>
      <c r="F427" s="50"/>
      <c r="G427" s="46"/>
      <c r="H427" s="46"/>
      <c r="I427" s="46"/>
      <c r="J427" s="46"/>
      <c r="K427" s="46"/>
      <c r="L427" s="71"/>
      <c r="M427" s="60"/>
      <c r="N427" s="60"/>
      <c r="O427" s="60"/>
      <c r="P427" s="60"/>
      <c r="W427" s="2"/>
      <c r="X427" s="2"/>
    </row>
    <row r="428" spans="1:24" ht="15.75" customHeight="1" x14ac:dyDescent="0.2">
      <c r="A428" s="44"/>
      <c r="B428" s="47"/>
      <c r="C428" s="50"/>
      <c r="D428" s="50"/>
      <c r="E428" s="50"/>
      <c r="F428" s="50"/>
      <c r="G428" s="46"/>
      <c r="H428" s="46"/>
      <c r="I428" s="46"/>
      <c r="J428" s="46"/>
      <c r="K428" s="46"/>
      <c r="L428" s="71"/>
      <c r="M428" s="60"/>
      <c r="N428" s="60"/>
      <c r="O428" s="60"/>
      <c r="P428" s="60"/>
      <c r="W428" s="2"/>
      <c r="X428" s="2"/>
    </row>
    <row r="429" spans="1:24" ht="15.75" customHeight="1" x14ac:dyDescent="0.2">
      <c r="A429" s="44"/>
      <c r="B429" s="47"/>
      <c r="C429" s="50"/>
      <c r="D429" s="50"/>
      <c r="E429" s="50"/>
      <c r="F429" s="50"/>
      <c r="G429" s="46"/>
      <c r="H429" s="46"/>
      <c r="I429" s="46"/>
      <c r="J429" s="46"/>
      <c r="K429" s="46"/>
      <c r="L429" s="71"/>
      <c r="M429" s="60"/>
      <c r="N429" s="60"/>
      <c r="O429" s="60"/>
      <c r="P429" s="60"/>
      <c r="W429" s="2"/>
      <c r="X429" s="2"/>
    </row>
    <row r="430" spans="1:24" ht="15.75" customHeight="1" x14ac:dyDescent="0.2">
      <c r="A430" s="44"/>
      <c r="B430" s="47"/>
      <c r="C430" s="50"/>
      <c r="D430" s="50"/>
      <c r="E430" s="50"/>
      <c r="F430" s="50"/>
      <c r="G430" s="46"/>
      <c r="H430" s="46"/>
      <c r="I430" s="46"/>
      <c r="J430" s="46"/>
      <c r="K430" s="46"/>
      <c r="L430" s="71"/>
      <c r="M430" s="60"/>
      <c r="N430" s="60"/>
      <c r="O430" s="60"/>
      <c r="P430" s="60"/>
      <c r="W430" s="2"/>
      <c r="X430" s="2"/>
    </row>
    <row r="431" spans="1:24" ht="15.75" customHeight="1" x14ac:dyDescent="0.2">
      <c r="A431" s="44"/>
      <c r="B431" s="47"/>
      <c r="C431" s="50"/>
      <c r="D431" s="50"/>
      <c r="E431" s="50"/>
      <c r="F431" s="50"/>
      <c r="G431" s="46"/>
      <c r="H431" s="46"/>
      <c r="I431" s="46"/>
      <c r="J431" s="46"/>
      <c r="K431" s="46"/>
      <c r="L431" s="71"/>
      <c r="M431" s="60"/>
      <c r="N431" s="60"/>
      <c r="O431" s="60"/>
      <c r="P431" s="60"/>
      <c r="W431" s="2"/>
      <c r="X431" s="2"/>
    </row>
    <row r="432" spans="1:24" ht="15.75" customHeight="1" x14ac:dyDescent="0.2">
      <c r="A432" s="44"/>
      <c r="B432" s="47"/>
      <c r="C432" s="50"/>
      <c r="D432" s="50"/>
      <c r="E432" s="50"/>
      <c r="F432" s="50"/>
      <c r="G432" s="46"/>
      <c r="H432" s="46"/>
      <c r="I432" s="46"/>
      <c r="J432" s="46"/>
      <c r="K432" s="46"/>
      <c r="L432" s="71"/>
      <c r="M432" s="60"/>
      <c r="N432" s="60"/>
      <c r="O432" s="60"/>
      <c r="P432" s="60"/>
      <c r="W432" s="2"/>
      <c r="X432" s="2"/>
    </row>
    <row r="433" spans="1:24" ht="15.75" customHeight="1" x14ac:dyDescent="0.2">
      <c r="A433" s="44"/>
      <c r="B433" s="47"/>
      <c r="C433" s="50"/>
      <c r="D433" s="50"/>
      <c r="E433" s="50"/>
      <c r="F433" s="50"/>
      <c r="G433" s="46"/>
      <c r="H433" s="46"/>
      <c r="I433" s="46"/>
      <c r="J433" s="46"/>
      <c r="K433" s="46"/>
      <c r="L433" s="71"/>
      <c r="M433" s="60"/>
      <c r="N433" s="60"/>
      <c r="O433" s="60"/>
      <c r="P433" s="60"/>
      <c r="W433" s="2"/>
      <c r="X433" s="2"/>
    </row>
    <row r="434" spans="1:24" ht="15.75" customHeight="1" x14ac:dyDescent="0.2">
      <c r="A434" s="44"/>
      <c r="B434" s="47"/>
      <c r="C434" s="50"/>
      <c r="D434" s="50"/>
      <c r="E434" s="50"/>
      <c r="F434" s="50"/>
      <c r="G434" s="46"/>
      <c r="H434" s="46"/>
      <c r="I434" s="46"/>
      <c r="J434" s="46"/>
      <c r="K434" s="46"/>
      <c r="L434" s="71"/>
      <c r="M434" s="60"/>
      <c r="N434" s="60"/>
      <c r="O434" s="60"/>
      <c r="P434" s="60"/>
      <c r="W434" s="2"/>
      <c r="X434" s="2"/>
    </row>
    <row r="435" spans="1:24" ht="15.75" customHeight="1" x14ac:dyDescent="0.2">
      <c r="A435" s="44"/>
      <c r="B435" s="47"/>
      <c r="C435" s="50"/>
      <c r="D435" s="50"/>
      <c r="E435" s="50"/>
      <c r="F435" s="50"/>
      <c r="G435" s="46"/>
      <c r="H435" s="46"/>
      <c r="I435" s="46"/>
      <c r="J435" s="46"/>
      <c r="K435" s="46"/>
      <c r="L435" s="71"/>
      <c r="M435" s="60"/>
      <c r="N435" s="60"/>
      <c r="O435" s="60"/>
      <c r="P435" s="60"/>
      <c r="W435" s="2"/>
      <c r="X435" s="2"/>
    </row>
    <row r="436" spans="1:24" ht="15.75" customHeight="1" x14ac:dyDescent="0.2">
      <c r="A436" s="44"/>
      <c r="B436" s="47"/>
      <c r="C436" s="50"/>
      <c r="D436" s="50"/>
      <c r="E436" s="50"/>
      <c r="F436" s="50"/>
      <c r="G436" s="46"/>
      <c r="H436" s="46"/>
      <c r="I436" s="46"/>
      <c r="J436" s="46"/>
      <c r="K436" s="46"/>
      <c r="L436" s="71"/>
      <c r="M436" s="60"/>
      <c r="N436" s="60"/>
      <c r="O436" s="60"/>
      <c r="P436" s="60"/>
      <c r="W436" s="2"/>
      <c r="X436" s="2"/>
    </row>
    <row r="437" spans="1:24" ht="15.75" customHeight="1" x14ac:dyDescent="0.2">
      <c r="A437" s="44"/>
      <c r="B437" s="47"/>
      <c r="C437" s="50"/>
      <c r="D437" s="50"/>
      <c r="E437" s="50"/>
      <c r="F437" s="50"/>
      <c r="G437" s="46"/>
      <c r="H437" s="46"/>
      <c r="I437" s="46"/>
      <c r="J437" s="46"/>
      <c r="K437" s="46"/>
      <c r="L437" s="71"/>
      <c r="M437" s="60"/>
      <c r="N437" s="60"/>
      <c r="O437" s="60"/>
      <c r="P437" s="60"/>
      <c r="W437" s="2"/>
      <c r="X437" s="2"/>
    </row>
    <row r="438" spans="1:24" ht="15.75" customHeight="1" x14ac:dyDescent="0.2">
      <c r="A438" s="44"/>
      <c r="B438" s="47"/>
      <c r="C438" s="50"/>
      <c r="D438" s="50"/>
      <c r="E438" s="50"/>
      <c r="F438" s="50"/>
      <c r="G438" s="46"/>
      <c r="H438" s="46"/>
      <c r="I438" s="46"/>
      <c r="J438" s="46"/>
      <c r="K438" s="46"/>
      <c r="L438" s="71"/>
      <c r="M438" s="60"/>
      <c r="N438" s="60"/>
      <c r="O438" s="60"/>
      <c r="P438" s="60"/>
      <c r="W438" s="2"/>
      <c r="X438" s="2"/>
    </row>
    <row r="439" spans="1:24" ht="15.75" customHeight="1" x14ac:dyDescent="0.2">
      <c r="A439" s="44"/>
      <c r="B439" s="47"/>
      <c r="C439" s="50"/>
      <c r="D439" s="50"/>
      <c r="E439" s="50"/>
      <c r="F439" s="50"/>
      <c r="G439" s="46"/>
      <c r="H439" s="46"/>
      <c r="I439" s="46"/>
      <c r="J439" s="46"/>
      <c r="K439" s="46"/>
      <c r="L439" s="71"/>
      <c r="M439" s="60"/>
      <c r="N439" s="60"/>
      <c r="O439" s="60"/>
      <c r="P439" s="60"/>
      <c r="W439" s="2"/>
      <c r="X439" s="2"/>
    </row>
    <row r="440" spans="1:24" ht="15.75" customHeight="1" x14ac:dyDescent="0.2">
      <c r="A440" s="44"/>
      <c r="B440" s="47"/>
      <c r="C440" s="50"/>
      <c r="D440" s="50"/>
      <c r="E440" s="50"/>
      <c r="F440" s="50"/>
      <c r="G440" s="46"/>
      <c r="H440" s="46"/>
      <c r="I440" s="46"/>
      <c r="J440" s="46"/>
      <c r="K440" s="46"/>
      <c r="L440" s="71"/>
      <c r="M440" s="60"/>
      <c r="N440" s="60"/>
      <c r="O440" s="60"/>
      <c r="P440" s="60"/>
      <c r="W440" s="2"/>
      <c r="X440" s="2"/>
    </row>
    <row r="441" spans="1:24" ht="15.75" customHeight="1" x14ac:dyDescent="0.2">
      <c r="A441" s="44"/>
      <c r="B441" s="47"/>
      <c r="C441" s="50"/>
      <c r="D441" s="50"/>
      <c r="E441" s="50"/>
      <c r="F441" s="50"/>
      <c r="G441" s="46"/>
      <c r="H441" s="46"/>
      <c r="I441" s="46"/>
      <c r="J441" s="46"/>
      <c r="K441" s="46"/>
      <c r="L441" s="71"/>
      <c r="M441" s="60"/>
      <c r="N441" s="60"/>
      <c r="O441" s="60"/>
      <c r="P441" s="60"/>
      <c r="W441" s="2"/>
      <c r="X441" s="2"/>
    </row>
    <row r="442" spans="1:24" ht="15.75" customHeight="1" x14ac:dyDescent="0.2">
      <c r="A442" s="44"/>
      <c r="B442" s="47"/>
      <c r="C442" s="50"/>
      <c r="D442" s="50"/>
      <c r="E442" s="50"/>
      <c r="F442" s="50"/>
      <c r="G442" s="46"/>
      <c r="H442" s="46"/>
      <c r="I442" s="46"/>
      <c r="J442" s="46"/>
      <c r="K442" s="46"/>
      <c r="L442" s="71"/>
      <c r="M442" s="60"/>
      <c r="N442" s="60"/>
      <c r="O442" s="60"/>
      <c r="P442" s="60"/>
      <c r="W442" s="2"/>
      <c r="X442" s="2"/>
    </row>
    <row r="443" spans="1:24" ht="15.75" customHeight="1" x14ac:dyDescent="0.2">
      <c r="A443" s="44"/>
      <c r="B443" s="47"/>
      <c r="C443" s="50"/>
      <c r="D443" s="50"/>
      <c r="E443" s="50"/>
      <c r="F443" s="50"/>
      <c r="G443" s="46"/>
      <c r="H443" s="46"/>
      <c r="I443" s="46"/>
      <c r="J443" s="46"/>
      <c r="K443" s="46"/>
      <c r="L443" s="71"/>
      <c r="M443" s="60"/>
      <c r="N443" s="60"/>
      <c r="O443" s="60"/>
      <c r="P443" s="60"/>
      <c r="W443" s="2"/>
      <c r="X443" s="2"/>
    </row>
    <row r="444" spans="1:24" ht="15.75" customHeight="1" x14ac:dyDescent="0.2">
      <c r="A444" s="44"/>
      <c r="B444" s="47"/>
      <c r="C444" s="50"/>
      <c r="D444" s="50"/>
      <c r="E444" s="50"/>
      <c r="F444" s="50"/>
      <c r="G444" s="46"/>
      <c r="H444" s="46"/>
      <c r="I444" s="46"/>
      <c r="J444" s="46"/>
      <c r="K444" s="46"/>
      <c r="L444" s="71"/>
      <c r="M444" s="60"/>
      <c r="N444" s="60"/>
      <c r="O444" s="60"/>
      <c r="P444" s="60"/>
      <c r="W444" s="2"/>
      <c r="X444" s="2"/>
    </row>
    <row r="445" spans="1:24" ht="15.75" customHeight="1" x14ac:dyDescent="0.2">
      <c r="A445" s="44"/>
      <c r="B445" s="47"/>
      <c r="C445" s="50"/>
      <c r="D445" s="50"/>
      <c r="E445" s="50"/>
      <c r="F445" s="50"/>
      <c r="G445" s="46"/>
      <c r="H445" s="46"/>
      <c r="I445" s="46"/>
      <c r="J445" s="46"/>
      <c r="K445" s="46"/>
      <c r="L445" s="71"/>
      <c r="M445" s="60"/>
      <c r="N445" s="60"/>
      <c r="O445" s="60"/>
      <c r="P445" s="60"/>
      <c r="W445" s="2"/>
      <c r="X445" s="2"/>
    </row>
    <row r="446" spans="1:24" ht="15.75" customHeight="1" x14ac:dyDescent="0.2">
      <c r="A446" s="44"/>
      <c r="B446" s="47"/>
      <c r="C446" s="50"/>
      <c r="D446" s="50"/>
      <c r="E446" s="50"/>
      <c r="F446" s="50"/>
      <c r="G446" s="46"/>
      <c r="H446" s="46"/>
      <c r="I446" s="46"/>
      <c r="J446" s="46"/>
      <c r="K446" s="46"/>
      <c r="L446" s="71"/>
      <c r="M446" s="60"/>
      <c r="N446" s="60"/>
      <c r="O446" s="60"/>
      <c r="P446" s="60"/>
      <c r="W446" s="2"/>
      <c r="X446" s="2"/>
    </row>
    <row r="447" spans="1:24" ht="15.75" customHeight="1" x14ac:dyDescent="0.2">
      <c r="A447" s="44"/>
      <c r="B447" s="47"/>
      <c r="C447" s="50"/>
      <c r="D447" s="50"/>
      <c r="E447" s="50"/>
      <c r="F447" s="50"/>
      <c r="G447" s="46"/>
      <c r="H447" s="46"/>
      <c r="I447" s="46"/>
      <c r="J447" s="46"/>
      <c r="K447" s="46"/>
      <c r="L447" s="71"/>
      <c r="M447" s="60"/>
      <c r="N447" s="60"/>
      <c r="O447" s="60"/>
      <c r="P447" s="60"/>
      <c r="W447" s="2"/>
      <c r="X447" s="2"/>
    </row>
    <row r="448" spans="1:24" ht="15.75" customHeight="1" x14ac:dyDescent="0.2">
      <c r="A448" s="44"/>
      <c r="B448" s="47"/>
      <c r="C448" s="50"/>
      <c r="D448" s="50"/>
      <c r="E448" s="50"/>
      <c r="F448" s="50"/>
      <c r="G448" s="46"/>
      <c r="H448" s="46"/>
      <c r="I448" s="46"/>
      <c r="J448" s="46"/>
      <c r="K448" s="46"/>
      <c r="L448" s="71"/>
      <c r="M448" s="60"/>
      <c r="N448" s="60"/>
      <c r="O448" s="60"/>
      <c r="P448" s="60"/>
      <c r="W448" s="2"/>
      <c r="X448" s="2"/>
    </row>
    <row r="449" spans="1:24" ht="15.75" customHeight="1" x14ac:dyDescent="0.2">
      <c r="A449" s="44"/>
      <c r="B449" s="47"/>
      <c r="C449" s="50"/>
      <c r="D449" s="50"/>
      <c r="E449" s="50"/>
      <c r="F449" s="50"/>
      <c r="G449" s="46"/>
      <c r="H449" s="46"/>
      <c r="I449" s="46"/>
      <c r="J449" s="46"/>
      <c r="K449" s="46"/>
      <c r="L449" s="71"/>
      <c r="M449" s="60"/>
      <c r="N449" s="60"/>
      <c r="O449" s="60"/>
      <c r="P449" s="60"/>
      <c r="W449" s="2"/>
      <c r="X449" s="2"/>
    </row>
    <row r="450" spans="1:24" ht="15.75" customHeight="1" x14ac:dyDescent="0.2">
      <c r="A450" s="44"/>
      <c r="B450" s="47"/>
      <c r="C450" s="50"/>
      <c r="D450" s="50"/>
      <c r="E450" s="50"/>
      <c r="F450" s="50"/>
      <c r="G450" s="46"/>
      <c r="H450" s="46"/>
      <c r="I450" s="46"/>
      <c r="J450" s="46"/>
      <c r="K450" s="46"/>
      <c r="L450" s="71"/>
      <c r="M450" s="60"/>
      <c r="N450" s="60"/>
      <c r="O450" s="60"/>
      <c r="P450" s="60"/>
      <c r="W450" s="2"/>
      <c r="X450" s="2"/>
    </row>
    <row r="451" spans="1:24" ht="15.75" customHeight="1" x14ac:dyDescent="0.2">
      <c r="A451" s="44"/>
      <c r="B451" s="47"/>
      <c r="C451" s="50"/>
      <c r="D451" s="50"/>
      <c r="E451" s="50"/>
      <c r="F451" s="50"/>
      <c r="G451" s="46"/>
      <c r="H451" s="46"/>
      <c r="I451" s="46"/>
      <c r="J451" s="46"/>
      <c r="K451" s="46"/>
      <c r="L451" s="71"/>
      <c r="M451" s="60"/>
      <c r="N451" s="60"/>
      <c r="O451" s="60"/>
      <c r="P451" s="60"/>
      <c r="W451" s="2"/>
      <c r="X451" s="2"/>
    </row>
    <row r="452" spans="1:24" ht="15.75" customHeight="1" x14ac:dyDescent="0.2">
      <c r="A452" s="44"/>
      <c r="B452" s="47"/>
      <c r="C452" s="50"/>
      <c r="D452" s="50"/>
      <c r="E452" s="50"/>
      <c r="F452" s="50"/>
      <c r="G452" s="46"/>
      <c r="H452" s="46"/>
      <c r="I452" s="46"/>
      <c r="J452" s="46"/>
      <c r="K452" s="46"/>
      <c r="L452" s="71"/>
      <c r="M452" s="60"/>
      <c r="N452" s="60"/>
      <c r="O452" s="60"/>
      <c r="P452" s="60"/>
      <c r="W452" s="2"/>
      <c r="X452" s="2"/>
    </row>
    <row r="453" spans="1:24" ht="15.75" customHeight="1" x14ac:dyDescent="0.2">
      <c r="A453" s="44"/>
      <c r="B453" s="47"/>
      <c r="C453" s="50"/>
      <c r="D453" s="50"/>
      <c r="E453" s="50"/>
      <c r="F453" s="50"/>
      <c r="G453" s="46"/>
      <c r="H453" s="46"/>
      <c r="I453" s="46"/>
      <c r="J453" s="46"/>
      <c r="K453" s="46"/>
      <c r="L453" s="71"/>
      <c r="M453" s="60"/>
      <c r="N453" s="60"/>
      <c r="O453" s="60"/>
      <c r="P453" s="60"/>
      <c r="W453" s="2"/>
      <c r="X453" s="2"/>
    </row>
    <row r="454" spans="1:24" ht="15.75" customHeight="1" x14ac:dyDescent="0.2">
      <c r="A454" s="44"/>
      <c r="B454" s="47"/>
      <c r="C454" s="50"/>
      <c r="D454" s="50"/>
      <c r="E454" s="50"/>
      <c r="F454" s="50"/>
      <c r="G454" s="46"/>
      <c r="H454" s="46"/>
      <c r="I454" s="46"/>
      <c r="J454" s="46"/>
      <c r="K454" s="46"/>
      <c r="L454" s="71"/>
      <c r="M454" s="60"/>
      <c r="N454" s="60"/>
      <c r="O454" s="60"/>
      <c r="P454" s="60"/>
      <c r="W454" s="2"/>
      <c r="X454" s="2"/>
    </row>
    <row r="455" spans="1:24" ht="15.75" customHeight="1" x14ac:dyDescent="0.2">
      <c r="A455" s="44"/>
      <c r="B455" s="47"/>
      <c r="C455" s="50"/>
      <c r="D455" s="50"/>
      <c r="E455" s="50"/>
      <c r="F455" s="50"/>
      <c r="G455" s="46"/>
      <c r="H455" s="46"/>
      <c r="I455" s="46"/>
      <c r="J455" s="46"/>
      <c r="K455" s="46"/>
      <c r="L455" s="71"/>
      <c r="M455" s="60"/>
      <c r="N455" s="60"/>
      <c r="O455" s="60"/>
      <c r="P455" s="60"/>
      <c r="W455" s="2"/>
      <c r="X455" s="2"/>
    </row>
    <row r="456" spans="1:24" ht="15.75" customHeight="1" x14ac:dyDescent="0.2">
      <c r="A456" s="44"/>
      <c r="B456" s="47"/>
      <c r="C456" s="50"/>
      <c r="D456" s="50"/>
      <c r="E456" s="50"/>
      <c r="F456" s="50"/>
      <c r="G456" s="46"/>
      <c r="H456" s="46"/>
      <c r="I456" s="46"/>
      <c r="J456" s="46"/>
      <c r="K456" s="46"/>
      <c r="L456" s="71"/>
      <c r="M456" s="60"/>
      <c r="N456" s="60"/>
      <c r="O456" s="60"/>
      <c r="P456" s="60"/>
      <c r="W456" s="2"/>
      <c r="X456" s="2"/>
    </row>
    <row r="457" spans="1:24" ht="15.75" customHeight="1" x14ac:dyDescent="0.2">
      <c r="A457" s="44"/>
      <c r="B457" s="47"/>
      <c r="C457" s="50"/>
      <c r="D457" s="50"/>
      <c r="E457" s="50"/>
      <c r="F457" s="50"/>
      <c r="G457" s="46"/>
      <c r="H457" s="46"/>
      <c r="I457" s="46"/>
      <c r="J457" s="46"/>
      <c r="K457" s="46"/>
      <c r="L457" s="71"/>
      <c r="M457" s="60"/>
      <c r="N457" s="60"/>
      <c r="O457" s="60"/>
      <c r="P457" s="60"/>
      <c r="W457" s="2"/>
      <c r="X457" s="2"/>
    </row>
    <row r="458" spans="1:24" ht="15.75" customHeight="1" x14ac:dyDescent="0.2">
      <c r="A458" s="44"/>
      <c r="B458" s="47"/>
      <c r="C458" s="50"/>
      <c r="D458" s="50"/>
      <c r="E458" s="50"/>
      <c r="F458" s="50"/>
      <c r="G458" s="46"/>
      <c r="H458" s="46"/>
      <c r="I458" s="46"/>
      <c r="J458" s="46"/>
      <c r="K458" s="46"/>
      <c r="L458" s="71"/>
      <c r="M458" s="60"/>
      <c r="N458" s="60"/>
      <c r="O458" s="60"/>
      <c r="P458" s="60"/>
      <c r="W458" s="2"/>
      <c r="X458" s="2"/>
    </row>
    <row r="459" spans="1:24" ht="15.75" customHeight="1" x14ac:dyDescent="0.2">
      <c r="A459" s="44"/>
      <c r="B459" s="47"/>
      <c r="C459" s="50"/>
      <c r="D459" s="50"/>
      <c r="E459" s="50"/>
      <c r="F459" s="50"/>
      <c r="G459" s="46"/>
      <c r="H459" s="46"/>
      <c r="I459" s="46"/>
      <c r="J459" s="46"/>
      <c r="K459" s="46"/>
      <c r="L459" s="71"/>
      <c r="M459" s="60"/>
      <c r="N459" s="60"/>
      <c r="O459" s="60"/>
      <c r="P459" s="60"/>
      <c r="W459" s="2"/>
      <c r="X459" s="2"/>
    </row>
    <row r="460" spans="1:24" ht="15.75" customHeight="1" x14ac:dyDescent="0.2">
      <c r="A460" s="44"/>
      <c r="B460" s="47"/>
      <c r="C460" s="50"/>
      <c r="D460" s="50"/>
      <c r="E460" s="50"/>
      <c r="F460" s="50"/>
      <c r="G460" s="46"/>
      <c r="H460" s="46"/>
      <c r="I460" s="46"/>
      <c r="J460" s="46"/>
      <c r="K460" s="46"/>
      <c r="L460" s="71"/>
      <c r="M460" s="60"/>
      <c r="N460" s="60"/>
      <c r="O460" s="60"/>
      <c r="P460" s="60"/>
      <c r="W460" s="2"/>
      <c r="X460" s="2"/>
    </row>
    <row r="461" spans="1:24" ht="15.75" customHeight="1" x14ac:dyDescent="0.2">
      <c r="A461" s="44"/>
      <c r="B461" s="47"/>
      <c r="C461" s="50"/>
      <c r="D461" s="50"/>
      <c r="E461" s="50"/>
      <c r="F461" s="50"/>
      <c r="G461" s="46"/>
      <c r="H461" s="46"/>
      <c r="I461" s="46"/>
      <c r="J461" s="46"/>
      <c r="K461" s="46"/>
      <c r="L461" s="71"/>
      <c r="M461" s="60"/>
      <c r="N461" s="60"/>
      <c r="O461" s="60"/>
      <c r="P461" s="60"/>
      <c r="W461" s="2"/>
      <c r="X461" s="2"/>
    </row>
    <row r="462" spans="1:24" ht="15.75" customHeight="1" x14ac:dyDescent="0.2">
      <c r="A462" s="44"/>
      <c r="B462" s="47"/>
      <c r="C462" s="50"/>
      <c r="D462" s="50"/>
      <c r="E462" s="50"/>
      <c r="F462" s="50"/>
      <c r="G462" s="46"/>
      <c r="H462" s="46"/>
      <c r="I462" s="46"/>
      <c r="J462" s="46"/>
      <c r="K462" s="46"/>
      <c r="L462" s="71"/>
      <c r="M462" s="60"/>
      <c r="N462" s="60"/>
      <c r="O462" s="60"/>
      <c r="P462" s="60"/>
      <c r="W462" s="2"/>
      <c r="X462" s="2"/>
    </row>
    <row r="463" spans="1:24" ht="15.75" customHeight="1" x14ac:dyDescent="0.2">
      <c r="A463" s="44"/>
      <c r="B463" s="47"/>
      <c r="C463" s="50"/>
      <c r="D463" s="50"/>
      <c r="E463" s="50"/>
      <c r="F463" s="50"/>
      <c r="G463" s="46"/>
      <c r="H463" s="46"/>
      <c r="I463" s="46"/>
      <c r="J463" s="46"/>
      <c r="K463" s="46"/>
      <c r="L463" s="71"/>
      <c r="M463" s="60"/>
      <c r="N463" s="60"/>
      <c r="O463" s="60"/>
      <c r="P463" s="60"/>
      <c r="W463" s="2"/>
      <c r="X463" s="2"/>
    </row>
    <row r="464" spans="1:24" ht="15.75" customHeight="1" x14ac:dyDescent="0.2">
      <c r="A464" s="44"/>
      <c r="B464" s="47"/>
      <c r="C464" s="50"/>
      <c r="D464" s="50"/>
      <c r="E464" s="50"/>
      <c r="F464" s="50"/>
      <c r="G464" s="46"/>
      <c r="H464" s="46"/>
      <c r="I464" s="46"/>
      <c r="J464" s="46"/>
      <c r="K464" s="46"/>
      <c r="L464" s="71"/>
      <c r="M464" s="60"/>
      <c r="N464" s="60"/>
      <c r="O464" s="60"/>
      <c r="P464" s="60"/>
      <c r="W464" s="2"/>
      <c r="X464" s="2"/>
    </row>
    <row r="465" spans="1:24" ht="15.75" customHeight="1" x14ac:dyDescent="0.2">
      <c r="A465" s="44"/>
      <c r="B465" s="47"/>
      <c r="C465" s="50"/>
      <c r="D465" s="50"/>
      <c r="E465" s="50"/>
      <c r="F465" s="50"/>
      <c r="G465" s="46"/>
      <c r="H465" s="46"/>
      <c r="I465" s="46"/>
      <c r="J465" s="46"/>
      <c r="K465" s="46"/>
      <c r="L465" s="71"/>
      <c r="M465" s="60"/>
      <c r="N465" s="60"/>
      <c r="O465" s="60"/>
      <c r="P465" s="60"/>
      <c r="W465" s="2"/>
      <c r="X465" s="2"/>
    </row>
    <row r="466" spans="1:24" ht="15.75" customHeight="1" x14ac:dyDescent="0.2">
      <c r="A466" s="44"/>
      <c r="B466" s="47"/>
      <c r="C466" s="50"/>
      <c r="D466" s="50"/>
      <c r="E466" s="50"/>
      <c r="F466" s="50"/>
      <c r="G466" s="46"/>
      <c r="H466" s="46"/>
      <c r="I466" s="46"/>
      <c r="J466" s="46"/>
      <c r="K466" s="46"/>
      <c r="L466" s="71"/>
      <c r="M466" s="60"/>
      <c r="N466" s="60"/>
      <c r="O466" s="60"/>
      <c r="P466" s="60"/>
      <c r="W466" s="2"/>
      <c r="X466" s="2"/>
    </row>
    <row r="467" spans="1:24" ht="15.75" customHeight="1" x14ac:dyDescent="0.2">
      <c r="A467" s="44"/>
      <c r="B467" s="47"/>
      <c r="C467" s="50"/>
      <c r="D467" s="50"/>
      <c r="E467" s="50"/>
      <c r="F467" s="50"/>
      <c r="G467" s="46"/>
      <c r="H467" s="46"/>
      <c r="I467" s="46"/>
      <c r="J467" s="46"/>
      <c r="K467" s="46"/>
      <c r="L467" s="71"/>
      <c r="M467" s="60"/>
      <c r="N467" s="60"/>
      <c r="O467" s="60"/>
      <c r="P467" s="60"/>
      <c r="W467" s="2"/>
      <c r="X467" s="2"/>
    </row>
    <row r="468" spans="1:24" ht="15.75" customHeight="1" x14ac:dyDescent="0.2">
      <c r="A468" s="44"/>
      <c r="B468" s="47"/>
      <c r="C468" s="50"/>
      <c r="D468" s="50"/>
      <c r="E468" s="50"/>
      <c r="F468" s="50"/>
      <c r="G468" s="46"/>
      <c r="H468" s="46"/>
      <c r="I468" s="46"/>
      <c r="J468" s="46"/>
      <c r="K468" s="46"/>
      <c r="L468" s="71"/>
      <c r="M468" s="60"/>
      <c r="N468" s="60"/>
      <c r="O468" s="60"/>
      <c r="P468" s="60"/>
      <c r="W468" s="2"/>
      <c r="X468" s="2"/>
    </row>
    <row r="469" spans="1:24" ht="15.75" customHeight="1" x14ac:dyDescent="0.2">
      <c r="A469" s="44"/>
      <c r="B469" s="47"/>
      <c r="C469" s="50"/>
      <c r="D469" s="50"/>
      <c r="E469" s="50"/>
      <c r="F469" s="50"/>
      <c r="G469" s="46"/>
      <c r="H469" s="46"/>
      <c r="I469" s="46"/>
      <c r="J469" s="46"/>
      <c r="K469" s="46"/>
      <c r="L469" s="71"/>
      <c r="M469" s="60"/>
      <c r="N469" s="60"/>
      <c r="O469" s="60"/>
      <c r="P469" s="60"/>
      <c r="W469" s="2"/>
      <c r="X469" s="2"/>
    </row>
    <row r="470" spans="1:24" ht="15.75" customHeight="1" x14ac:dyDescent="0.2">
      <c r="A470" s="44"/>
      <c r="B470" s="47"/>
      <c r="C470" s="50"/>
      <c r="D470" s="50"/>
      <c r="E470" s="50"/>
      <c r="F470" s="50"/>
      <c r="G470" s="46"/>
      <c r="H470" s="46"/>
      <c r="I470" s="46"/>
      <c r="J470" s="46"/>
      <c r="K470" s="46"/>
      <c r="L470" s="71"/>
      <c r="M470" s="60"/>
      <c r="N470" s="60"/>
      <c r="O470" s="60"/>
      <c r="P470" s="60"/>
      <c r="W470" s="2"/>
      <c r="X470" s="2"/>
    </row>
    <row r="471" spans="1:24" ht="15.75" customHeight="1" x14ac:dyDescent="0.2">
      <c r="A471" s="44"/>
      <c r="B471" s="47"/>
      <c r="C471" s="50"/>
      <c r="D471" s="50"/>
      <c r="E471" s="50"/>
      <c r="F471" s="50"/>
      <c r="G471" s="46"/>
      <c r="H471" s="46"/>
      <c r="I471" s="46"/>
      <c r="J471" s="46"/>
      <c r="K471" s="46"/>
      <c r="L471" s="71"/>
      <c r="M471" s="60"/>
      <c r="N471" s="60"/>
      <c r="O471" s="60"/>
      <c r="P471" s="60"/>
      <c r="W471" s="2"/>
      <c r="X471" s="2"/>
    </row>
    <row r="472" spans="1:24" ht="15.75" customHeight="1" x14ac:dyDescent="0.2">
      <c r="A472" s="44"/>
      <c r="B472" s="47"/>
      <c r="C472" s="50"/>
      <c r="D472" s="50"/>
      <c r="E472" s="50"/>
      <c r="F472" s="50"/>
      <c r="G472" s="46"/>
      <c r="H472" s="46"/>
      <c r="I472" s="46"/>
      <c r="J472" s="46"/>
      <c r="K472" s="46"/>
      <c r="L472" s="71"/>
      <c r="M472" s="60"/>
      <c r="N472" s="60"/>
      <c r="O472" s="60"/>
      <c r="P472" s="60"/>
      <c r="W472" s="2"/>
      <c r="X472" s="2"/>
    </row>
    <row r="473" spans="1:24" ht="15.75" customHeight="1" x14ac:dyDescent="0.2">
      <c r="A473" s="44"/>
      <c r="B473" s="47"/>
      <c r="C473" s="50"/>
      <c r="D473" s="50"/>
      <c r="E473" s="50"/>
      <c r="F473" s="50"/>
      <c r="G473" s="46"/>
      <c r="H473" s="46"/>
      <c r="I473" s="46"/>
      <c r="J473" s="46"/>
      <c r="K473" s="46"/>
      <c r="L473" s="71"/>
      <c r="M473" s="60"/>
      <c r="N473" s="60"/>
      <c r="O473" s="60"/>
      <c r="P473" s="60"/>
      <c r="W473" s="2"/>
      <c r="X473" s="2"/>
    </row>
    <row r="474" spans="1:24" ht="15.75" customHeight="1" x14ac:dyDescent="0.2">
      <c r="A474" s="44"/>
      <c r="B474" s="47"/>
      <c r="C474" s="50"/>
      <c r="D474" s="50"/>
      <c r="E474" s="50"/>
      <c r="F474" s="50"/>
      <c r="G474" s="46"/>
      <c r="H474" s="46"/>
      <c r="I474" s="46"/>
      <c r="J474" s="46"/>
      <c r="K474" s="46"/>
      <c r="L474" s="71"/>
      <c r="M474" s="60"/>
      <c r="N474" s="60"/>
      <c r="O474" s="60"/>
      <c r="P474" s="60"/>
      <c r="W474" s="2"/>
      <c r="X474" s="2"/>
    </row>
    <row r="475" spans="1:24" ht="15.75" customHeight="1" x14ac:dyDescent="0.2">
      <c r="A475" s="44"/>
      <c r="B475" s="47"/>
      <c r="C475" s="50"/>
      <c r="D475" s="50"/>
      <c r="E475" s="50"/>
      <c r="F475" s="50"/>
      <c r="G475" s="46"/>
      <c r="H475" s="46"/>
      <c r="I475" s="46"/>
      <c r="J475" s="46"/>
      <c r="K475" s="46"/>
      <c r="L475" s="71"/>
      <c r="M475" s="60"/>
      <c r="N475" s="60"/>
      <c r="O475" s="60"/>
      <c r="P475" s="60"/>
      <c r="W475" s="2"/>
      <c r="X475" s="2"/>
    </row>
    <row r="476" spans="1:24" ht="15.75" customHeight="1" x14ac:dyDescent="0.2">
      <c r="A476" s="44"/>
      <c r="B476" s="47"/>
      <c r="C476" s="50"/>
      <c r="D476" s="50"/>
      <c r="E476" s="50"/>
      <c r="F476" s="50"/>
      <c r="G476" s="46"/>
      <c r="H476" s="46"/>
      <c r="I476" s="46"/>
      <c r="J476" s="46"/>
      <c r="K476" s="46"/>
      <c r="L476" s="71"/>
      <c r="M476" s="60"/>
      <c r="N476" s="60"/>
      <c r="O476" s="60"/>
      <c r="P476" s="60"/>
      <c r="W476" s="2"/>
      <c r="X476" s="2"/>
    </row>
    <row r="477" spans="1:24" ht="15.75" customHeight="1" x14ac:dyDescent="0.2">
      <c r="A477" s="44"/>
      <c r="B477" s="47"/>
      <c r="C477" s="50"/>
      <c r="D477" s="50"/>
      <c r="E477" s="50"/>
      <c r="F477" s="50"/>
      <c r="G477" s="46"/>
      <c r="H477" s="46"/>
      <c r="I477" s="46"/>
      <c r="J477" s="46"/>
      <c r="K477" s="46"/>
      <c r="L477" s="71"/>
      <c r="M477" s="60"/>
      <c r="N477" s="60"/>
      <c r="O477" s="60"/>
      <c r="P477" s="60"/>
      <c r="W477" s="2"/>
      <c r="X477" s="2"/>
    </row>
    <row r="478" spans="1:24" ht="15.75" customHeight="1" x14ac:dyDescent="0.2">
      <c r="A478" s="44"/>
      <c r="B478" s="47"/>
      <c r="C478" s="50"/>
      <c r="D478" s="50"/>
      <c r="E478" s="50"/>
      <c r="F478" s="50"/>
      <c r="G478" s="46"/>
      <c r="H478" s="46"/>
      <c r="I478" s="46"/>
      <c r="J478" s="46"/>
      <c r="K478" s="46"/>
      <c r="L478" s="71"/>
      <c r="M478" s="60"/>
      <c r="N478" s="60"/>
      <c r="O478" s="60"/>
      <c r="P478" s="60"/>
      <c r="W478" s="2"/>
      <c r="X478" s="2"/>
    </row>
    <row r="479" spans="1:24" ht="15.75" customHeight="1" x14ac:dyDescent="0.2">
      <c r="A479" s="44"/>
      <c r="B479" s="47"/>
      <c r="C479" s="50"/>
      <c r="D479" s="50"/>
      <c r="E479" s="50"/>
      <c r="F479" s="50"/>
      <c r="G479" s="46"/>
      <c r="H479" s="46"/>
      <c r="I479" s="46"/>
      <c r="J479" s="46"/>
      <c r="K479" s="46"/>
      <c r="L479" s="71"/>
      <c r="M479" s="60"/>
      <c r="N479" s="60"/>
      <c r="O479" s="60"/>
      <c r="P479" s="60"/>
      <c r="W479" s="2"/>
      <c r="X479" s="2"/>
    </row>
    <row r="480" spans="1:24" ht="15.75" customHeight="1" x14ac:dyDescent="0.2">
      <c r="A480" s="44"/>
      <c r="B480" s="47"/>
      <c r="C480" s="50"/>
      <c r="D480" s="50"/>
      <c r="E480" s="50"/>
      <c r="F480" s="50"/>
      <c r="G480" s="46"/>
      <c r="H480" s="46"/>
      <c r="I480" s="46"/>
      <c r="J480" s="46"/>
      <c r="K480" s="46"/>
      <c r="L480" s="71"/>
      <c r="M480" s="60"/>
      <c r="N480" s="60"/>
      <c r="O480" s="60"/>
      <c r="P480" s="60"/>
      <c r="W480" s="2"/>
      <c r="X480" s="2"/>
    </row>
    <row r="481" spans="1:24" ht="15.75" customHeight="1" x14ac:dyDescent="0.2">
      <c r="A481" s="44"/>
      <c r="B481" s="47"/>
      <c r="C481" s="50"/>
      <c r="D481" s="50"/>
      <c r="E481" s="50"/>
      <c r="F481" s="50"/>
      <c r="G481" s="46"/>
      <c r="H481" s="46"/>
      <c r="I481" s="46"/>
      <c r="J481" s="46"/>
      <c r="K481" s="46"/>
      <c r="L481" s="71"/>
      <c r="M481" s="60"/>
      <c r="N481" s="60"/>
      <c r="O481" s="60"/>
      <c r="P481" s="60"/>
      <c r="W481" s="2"/>
      <c r="X481" s="2"/>
    </row>
    <row r="482" spans="1:24" ht="15.75" customHeight="1" x14ac:dyDescent="0.2">
      <c r="A482" s="44"/>
      <c r="B482" s="47"/>
      <c r="C482" s="50"/>
      <c r="D482" s="50"/>
      <c r="E482" s="50"/>
      <c r="F482" s="50"/>
      <c r="G482" s="46"/>
      <c r="H482" s="46"/>
      <c r="I482" s="46"/>
      <c r="J482" s="46"/>
      <c r="K482" s="46"/>
      <c r="L482" s="71"/>
      <c r="M482" s="60"/>
      <c r="N482" s="60"/>
      <c r="O482" s="60"/>
      <c r="P482" s="60"/>
      <c r="W482" s="2"/>
      <c r="X482" s="2"/>
    </row>
    <row r="483" spans="1:24" ht="15.75" customHeight="1" x14ac:dyDescent="0.2">
      <c r="A483" s="44"/>
      <c r="B483" s="47"/>
      <c r="C483" s="50"/>
      <c r="D483" s="50"/>
      <c r="E483" s="50"/>
      <c r="F483" s="50"/>
      <c r="G483" s="46"/>
      <c r="H483" s="46"/>
      <c r="I483" s="46"/>
      <c r="J483" s="46"/>
      <c r="K483" s="46"/>
      <c r="L483" s="71"/>
      <c r="M483" s="60"/>
      <c r="N483" s="60"/>
      <c r="O483" s="60"/>
      <c r="P483" s="60"/>
      <c r="W483" s="2"/>
      <c r="X483" s="2"/>
    </row>
    <row r="484" spans="1:24" ht="15.75" customHeight="1" x14ac:dyDescent="0.2">
      <c r="A484" s="44"/>
      <c r="B484" s="47"/>
      <c r="C484" s="50"/>
      <c r="D484" s="50"/>
      <c r="E484" s="50"/>
      <c r="F484" s="50"/>
      <c r="G484" s="46"/>
      <c r="H484" s="46"/>
      <c r="I484" s="46"/>
      <c r="J484" s="46"/>
      <c r="K484" s="46"/>
      <c r="L484" s="71"/>
      <c r="M484" s="60"/>
      <c r="N484" s="60"/>
      <c r="O484" s="60"/>
      <c r="P484" s="60"/>
      <c r="W484" s="2"/>
      <c r="X484" s="2"/>
    </row>
    <row r="485" spans="1:24" ht="15.75" customHeight="1" x14ac:dyDescent="0.2">
      <c r="A485" s="44"/>
      <c r="B485" s="47"/>
      <c r="C485" s="50"/>
      <c r="D485" s="50"/>
      <c r="E485" s="50"/>
      <c r="F485" s="50"/>
      <c r="G485" s="46"/>
      <c r="H485" s="46"/>
      <c r="I485" s="46"/>
      <c r="J485" s="46"/>
      <c r="K485" s="46"/>
      <c r="L485" s="71"/>
      <c r="M485" s="60"/>
      <c r="N485" s="60"/>
      <c r="O485" s="60"/>
      <c r="P485" s="60"/>
      <c r="W485" s="2"/>
      <c r="X485" s="2"/>
    </row>
    <row r="486" spans="1:24" ht="15.75" customHeight="1" x14ac:dyDescent="0.2">
      <c r="A486" s="44"/>
      <c r="B486" s="47"/>
      <c r="C486" s="50"/>
      <c r="D486" s="50"/>
      <c r="E486" s="50"/>
      <c r="F486" s="50"/>
      <c r="G486" s="46"/>
      <c r="H486" s="46"/>
      <c r="I486" s="46"/>
      <c r="J486" s="46"/>
      <c r="K486" s="46"/>
      <c r="L486" s="71"/>
      <c r="M486" s="60"/>
      <c r="N486" s="60"/>
      <c r="O486" s="60"/>
      <c r="P486" s="60"/>
      <c r="W486" s="2"/>
      <c r="X486" s="2"/>
    </row>
    <row r="487" spans="1:24" ht="15.75" customHeight="1" x14ac:dyDescent="0.2">
      <c r="A487" s="44"/>
      <c r="B487" s="47"/>
      <c r="C487" s="50"/>
      <c r="D487" s="50"/>
      <c r="E487" s="50"/>
      <c r="F487" s="50"/>
      <c r="G487" s="46"/>
      <c r="H487" s="46"/>
      <c r="I487" s="46"/>
      <c r="J487" s="46"/>
      <c r="K487" s="46"/>
      <c r="L487" s="71"/>
      <c r="M487" s="60"/>
      <c r="N487" s="60"/>
      <c r="O487" s="60"/>
      <c r="P487" s="60"/>
      <c r="W487" s="2"/>
      <c r="X487" s="2"/>
    </row>
    <row r="488" spans="1:24" ht="15.75" customHeight="1" x14ac:dyDescent="0.2">
      <c r="A488" s="44"/>
      <c r="B488" s="47"/>
      <c r="C488" s="50"/>
      <c r="D488" s="50"/>
      <c r="E488" s="50"/>
      <c r="F488" s="50"/>
      <c r="G488" s="46"/>
      <c r="H488" s="46"/>
      <c r="I488" s="46"/>
      <c r="J488" s="46"/>
      <c r="K488" s="46"/>
      <c r="L488" s="71"/>
      <c r="M488" s="60"/>
      <c r="N488" s="60"/>
      <c r="O488" s="60"/>
      <c r="P488" s="60"/>
      <c r="W488" s="2"/>
      <c r="X488" s="2"/>
    </row>
    <row r="489" spans="1:24" ht="15.75" customHeight="1" x14ac:dyDescent="0.2">
      <c r="A489" s="44"/>
      <c r="B489" s="47"/>
      <c r="C489" s="50"/>
      <c r="D489" s="50"/>
      <c r="E489" s="50"/>
      <c r="F489" s="50"/>
      <c r="G489" s="46"/>
      <c r="H489" s="46"/>
      <c r="I489" s="46"/>
      <c r="J489" s="46"/>
      <c r="K489" s="46"/>
      <c r="L489" s="71"/>
      <c r="M489" s="60"/>
      <c r="N489" s="60"/>
      <c r="O489" s="60"/>
      <c r="P489" s="60"/>
      <c r="W489" s="2"/>
      <c r="X489" s="2"/>
    </row>
    <row r="490" spans="1:24" ht="15.75" customHeight="1" x14ac:dyDescent="0.2">
      <c r="A490" s="44"/>
      <c r="B490" s="47"/>
      <c r="C490" s="50"/>
      <c r="D490" s="50"/>
      <c r="E490" s="50"/>
      <c r="F490" s="50"/>
      <c r="G490" s="46"/>
      <c r="H490" s="46"/>
      <c r="I490" s="46"/>
      <c r="J490" s="46"/>
      <c r="K490" s="46"/>
      <c r="L490" s="71"/>
      <c r="M490" s="60"/>
      <c r="N490" s="60"/>
      <c r="O490" s="60"/>
      <c r="P490" s="60"/>
      <c r="W490" s="2"/>
      <c r="X490" s="2"/>
    </row>
    <row r="491" spans="1:24" ht="15.75" customHeight="1" x14ac:dyDescent="0.2">
      <c r="A491" s="44"/>
      <c r="B491" s="47"/>
      <c r="C491" s="50"/>
      <c r="D491" s="50"/>
      <c r="E491" s="50"/>
      <c r="F491" s="50"/>
      <c r="G491" s="46"/>
      <c r="H491" s="46"/>
      <c r="I491" s="46"/>
      <c r="J491" s="46"/>
      <c r="K491" s="46"/>
      <c r="L491" s="71"/>
      <c r="M491" s="60"/>
      <c r="N491" s="60"/>
      <c r="O491" s="60"/>
      <c r="P491" s="60"/>
      <c r="W491" s="2"/>
      <c r="X491" s="2"/>
    </row>
    <row r="492" spans="1:24" ht="15.75" customHeight="1" x14ac:dyDescent="0.2">
      <c r="A492" s="44"/>
      <c r="B492" s="47"/>
      <c r="C492" s="50"/>
      <c r="D492" s="50"/>
      <c r="E492" s="50"/>
      <c r="F492" s="50"/>
      <c r="G492" s="46"/>
      <c r="H492" s="46"/>
      <c r="I492" s="46"/>
      <c r="J492" s="46"/>
      <c r="K492" s="46"/>
      <c r="L492" s="71"/>
      <c r="M492" s="60"/>
      <c r="N492" s="60"/>
      <c r="O492" s="60"/>
      <c r="P492" s="60"/>
      <c r="W492" s="2"/>
      <c r="X492" s="2"/>
    </row>
    <row r="493" spans="1:24" ht="15.75" customHeight="1" x14ac:dyDescent="0.2">
      <c r="A493" s="44"/>
      <c r="B493" s="47"/>
      <c r="C493" s="50"/>
      <c r="D493" s="50"/>
      <c r="E493" s="50"/>
      <c r="F493" s="50"/>
      <c r="G493" s="46"/>
      <c r="H493" s="46"/>
      <c r="I493" s="46"/>
      <c r="J493" s="46"/>
      <c r="K493" s="46"/>
      <c r="L493" s="71"/>
      <c r="M493" s="60"/>
      <c r="N493" s="60"/>
      <c r="O493" s="60"/>
      <c r="P493" s="60"/>
      <c r="W493" s="2"/>
      <c r="X493" s="2"/>
    </row>
    <row r="494" spans="1:24" ht="15.75" customHeight="1" x14ac:dyDescent="0.2">
      <c r="A494" s="44"/>
      <c r="B494" s="47"/>
      <c r="C494" s="50"/>
      <c r="D494" s="50"/>
      <c r="E494" s="50"/>
      <c r="F494" s="50"/>
      <c r="G494" s="46"/>
      <c r="H494" s="46"/>
      <c r="I494" s="46"/>
      <c r="J494" s="46"/>
      <c r="K494" s="46"/>
      <c r="L494" s="71"/>
      <c r="M494" s="60"/>
      <c r="N494" s="60"/>
      <c r="O494" s="60"/>
      <c r="P494" s="60"/>
      <c r="W494" s="2"/>
      <c r="X494" s="2"/>
    </row>
    <row r="495" spans="1:24" ht="15.75" customHeight="1" x14ac:dyDescent="0.2">
      <c r="A495" s="44"/>
      <c r="B495" s="47"/>
      <c r="C495" s="50"/>
      <c r="D495" s="50"/>
      <c r="E495" s="50"/>
      <c r="F495" s="50"/>
      <c r="G495" s="46"/>
      <c r="H495" s="46"/>
      <c r="I495" s="46"/>
      <c r="J495" s="46"/>
      <c r="K495" s="46"/>
      <c r="L495" s="71"/>
      <c r="M495" s="60"/>
      <c r="N495" s="60"/>
      <c r="O495" s="60"/>
      <c r="P495" s="60"/>
      <c r="W495" s="2"/>
      <c r="X495" s="2"/>
    </row>
    <row r="496" spans="1:24" ht="15.75" customHeight="1" x14ac:dyDescent="0.2">
      <c r="A496" s="44"/>
      <c r="B496" s="47"/>
      <c r="C496" s="50"/>
      <c r="D496" s="50"/>
      <c r="E496" s="50"/>
      <c r="F496" s="50"/>
      <c r="G496" s="46"/>
      <c r="H496" s="46"/>
      <c r="I496" s="46"/>
      <c r="J496" s="46"/>
      <c r="K496" s="46"/>
      <c r="L496" s="71"/>
      <c r="M496" s="60"/>
      <c r="N496" s="60"/>
      <c r="O496" s="60"/>
      <c r="P496" s="60"/>
      <c r="W496" s="2"/>
      <c r="X496" s="2"/>
    </row>
    <row r="497" spans="1:24" ht="15.75" customHeight="1" x14ac:dyDescent="0.2">
      <c r="A497" s="44"/>
      <c r="B497" s="47"/>
      <c r="C497" s="50"/>
      <c r="D497" s="50"/>
      <c r="E497" s="50"/>
      <c r="F497" s="50"/>
      <c r="G497" s="46"/>
      <c r="H497" s="46"/>
      <c r="I497" s="46"/>
      <c r="J497" s="46"/>
      <c r="K497" s="46"/>
      <c r="L497" s="71"/>
      <c r="M497" s="60"/>
      <c r="N497" s="60"/>
      <c r="O497" s="60"/>
      <c r="P497" s="60"/>
      <c r="W497" s="2"/>
      <c r="X497" s="2"/>
    </row>
    <row r="498" spans="1:24" ht="15.75" customHeight="1" x14ac:dyDescent="0.2">
      <c r="A498" s="44"/>
      <c r="B498" s="47"/>
      <c r="C498" s="50"/>
      <c r="D498" s="50"/>
      <c r="E498" s="50"/>
      <c r="F498" s="50"/>
      <c r="G498" s="46"/>
      <c r="H498" s="46"/>
      <c r="I498" s="46"/>
      <c r="J498" s="46"/>
      <c r="K498" s="46"/>
      <c r="L498" s="71"/>
      <c r="M498" s="60"/>
      <c r="N498" s="60"/>
      <c r="O498" s="60"/>
      <c r="P498" s="60"/>
      <c r="W498" s="2"/>
      <c r="X498" s="2"/>
    </row>
    <row r="499" spans="1:24" ht="15.75" customHeight="1" x14ac:dyDescent="0.2">
      <c r="A499" s="44"/>
      <c r="B499" s="47"/>
      <c r="C499" s="50"/>
      <c r="D499" s="50"/>
      <c r="E499" s="50"/>
      <c r="F499" s="50"/>
      <c r="G499" s="46"/>
      <c r="H499" s="46"/>
      <c r="I499" s="46"/>
      <c r="J499" s="46"/>
      <c r="K499" s="46"/>
      <c r="L499" s="71"/>
      <c r="M499" s="60"/>
      <c r="N499" s="60"/>
      <c r="O499" s="60"/>
      <c r="P499" s="60"/>
      <c r="W499" s="2"/>
      <c r="X499" s="2"/>
    </row>
    <row r="500" spans="1:24" ht="15.75" customHeight="1" x14ac:dyDescent="0.2">
      <c r="A500" s="44"/>
      <c r="B500" s="47"/>
      <c r="C500" s="50"/>
      <c r="D500" s="50"/>
      <c r="E500" s="50"/>
      <c r="F500" s="50"/>
      <c r="G500" s="46"/>
      <c r="H500" s="46"/>
      <c r="I500" s="46"/>
      <c r="J500" s="46"/>
      <c r="K500" s="46"/>
      <c r="L500" s="71"/>
      <c r="M500" s="60"/>
      <c r="N500" s="60"/>
      <c r="O500" s="60"/>
      <c r="P500" s="60"/>
      <c r="W500" s="2"/>
      <c r="X500" s="2"/>
    </row>
    <row r="501" spans="1:24" ht="15.75" customHeight="1" x14ac:dyDescent="0.2">
      <c r="A501" s="44"/>
      <c r="B501" s="47"/>
      <c r="C501" s="50"/>
      <c r="D501" s="50"/>
      <c r="E501" s="50"/>
      <c r="F501" s="50"/>
      <c r="G501" s="46"/>
      <c r="H501" s="46"/>
      <c r="I501" s="46"/>
      <c r="J501" s="46"/>
      <c r="K501" s="46"/>
      <c r="L501" s="71"/>
      <c r="M501" s="60"/>
      <c r="N501" s="60"/>
      <c r="O501" s="60"/>
      <c r="P501" s="60"/>
      <c r="W501" s="2"/>
      <c r="X501" s="2"/>
    </row>
    <row r="502" spans="1:24" ht="15.75" customHeight="1" x14ac:dyDescent="0.2">
      <c r="A502" s="44"/>
      <c r="B502" s="47"/>
      <c r="C502" s="50"/>
      <c r="D502" s="50"/>
      <c r="E502" s="50"/>
      <c r="F502" s="50"/>
      <c r="G502" s="46"/>
      <c r="H502" s="46"/>
      <c r="I502" s="46"/>
      <c r="J502" s="46"/>
      <c r="K502" s="46"/>
      <c r="L502" s="71"/>
      <c r="M502" s="60"/>
      <c r="N502" s="60"/>
      <c r="O502" s="60"/>
      <c r="P502" s="60"/>
      <c r="W502" s="2"/>
      <c r="X502" s="2"/>
    </row>
    <row r="503" spans="1:24" ht="15.75" customHeight="1" x14ac:dyDescent="0.2">
      <c r="A503" s="44"/>
      <c r="B503" s="47"/>
      <c r="C503" s="50"/>
      <c r="D503" s="50"/>
      <c r="E503" s="50"/>
      <c r="F503" s="50"/>
      <c r="G503" s="46"/>
      <c r="H503" s="46"/>
      <c r="I503" s="46"/>
      <c r="J503" s="46"/>
      <c r="K503" s="46"/>
      <c r="L503" s="71"/>
      <c r="M503" s="60"/>
      <c r="N503" s="60"/>
      <c r="O503" s="60"/>
      <c r="P503" s="60"/>
      <c r="W503" s="2"/>
      <c r="X503" s="2"/>
    </row>
    <row r="504" spans="1:24" ht="15.75" customHeight="1" x14ac:dyDescent="0.2">
      <c r="A504" s="44"/>
      <c r="B504" s="47"/>
      <c r="C504" s="50"/>
      <c r="D504" s="50"/>
      <c r="E504" s="50"/>
      <c r="F504" s="50"/>
      <c r="G504" s="46"/>
      <c r="H504" s="46"/>
      <c r="I504" s="46"/>
      <c r="J504" s="46"/>
      <c r="K504" s="46"/>
      <c r="L504" s="71"/>
      <c r="M504" s="60"/>
      <c r="N504" s="60"/>
      <c r="O504" s="60"/>
      <c r="P504" s="60"/>
      <c r="W504" s="2"/>
      <c r="X504" s="2"/>
    </row>
    <row r="505" spans="1:24" ht="15.75" customHeight="1" x14ac:dyDescent="0.2">
      <c r="A505" s="44"/>
      <c r="B505" s="47"/>
      <c r="C505" s="50"/>
      <c r="D505" s="50"/>
      <c r="E505" s="50"/>
      <c r="F505" s="50"/>
      <c r="G505" s="46"/>
      <c r="H505" s="46"/>
      <c r="I505" s="46"/>
      <c r="J505" s="46"/>
      <c r="K505" s="46"/>
      <c r="L505" s="71"/>
      <c r="M505" s="60"/>
      <c r="N505" s="60"/>
      <c r="O505" s="60"/>
      <c r="P505" s="60"/>
      <c r="W505" s="2"/>
      <c r="X505" s="2"/>
    </row>
    <row r="506" spans="1:24" ht="15.75" customHeight="1" x14ac:dyDescent="0.2">
      <c r="A506" s="44"/>
      <c r="B506" s="47"/>
      <c r="C506" s="50"/>
      <c r="D506" s="50"/>
      <c r="E506" s="50"/>
      <c r="F506" s="50"/>
      <c r="G506" s="46"/>
      <c r="H506" s="46"/>
      <c r="I506" s="46"/>
      <c r="J506" s="46"/>
      <c r="K506" s="46"/>
      <c r="L506" s="71"/>
      <c r="M506" s="60"/>
      <c r="N506" s="60"/>
      <c r="O506" s="60"/>
      <c r="P506" s="60"/>
      <c r="W506" s="2"/>
      <c r="X506" s="2"/>
    </row>
    <row r="507" spans="1:24" ht="15.75" customHeight="1" x14ac:dyDescent="0.2">
      <c r="A507" s="44"/>
      <c r="B507" s="47"/>
      <c r="C507" s="50"/>
      <c r="D507" s="50"/>
      <c r="E507" s="50"/>
      <c r="F507" s="50"/>
      <c r="G507" s="46"/>
      <c r="H507" s="46"/>
      <c r="I507" s="46"/>
      <c r="J507" s="46"/>
      <c r="K507" s="46"/>
      <c r="L507" s="71"/>
      <c r="M507" s="60"/>
      <c r="N507" s="60"/>
      <c r="O507" s="60"/>
      <c r="P507" s="60"/>
      <c r="W507" s="2"/>
      <c r="X507" s="2"/>
    </row>
    <row r="508" spans="1:24" ht="15.75" customHeight="1" x14ac:dyDescent="0.2">
      <c r="A508" s="44"/>
      <c r="B508" s="47"/>
      <c r="C508" s="50"/>
      <c r="D508" s="50"/>
      <c r="E508" s="50"/>
      <c r="F508" s="50"/>
      <c r="G508" s="46"/>
      <c r="H508" s="46"/>
      <c r="I508" s="46"/>
      <c r="J508" s="46"/>
      <c r="K508" s="46"/>
      <c r="L508" s="71"/>
      <c r="M508" s="60"/>
      <c r="N508" s="60"/>
      <c r="O508" s="60"/>
      <c r="P508" s="60"/>
      <c r="W508" s="2"/>
      <c r="X508" s="2"/>
    </row>
    <row r="509" spans="1:24" ht="15.75" customHeight="1" x14ac:dyDescent="0.2">
      <c r="A509" s="44"/>
      <c r="B509" s="47"/>
      <c r="C509" s="50"/>
      <c r="D509" s="50"/>
      <c r="E509" s="50"/>
      <c r="F509" s="50"/>
      <c r="G509" s="46"/>
      <c r="H509" s="46"/>
      <c r="I509" s="46"/>
      <c r="J509" s="46"/>
      <c r="K509" s="46"/>
      <c r="L509" s="71"/>
      <c r="M509" s="60"/>
      <c r="N509" s="60"/>
      <c r="O509" s="60"/>
      <c r="P509" s="60"/>
      <c r="W509" s="2"/>
      <c r="X509" s="2"/>
    </row>
    <row r="510" spans="1:24" ht="15.75" customHeight="1" x14ac:dyDescent="0.2">
      <c r="A510" s="44"/>
      <c r="B510" s="47"/>
      <c r="C510" s="50"/>
      <c r="D510" s="50"/>
      <c r="E510" s="50"/>
      <c r="F510" s="50"/>
      <c r="G510" s="46"/>
      <c r="H510" s="46"/>
      <c r="I510" s="46"/>
      <c r="J510" s="46"/>
      <c r="K510" s="46"/>
      <c r="L510" s="71"/>
      <c r="M510" s="60"/>
      <c r="N510" s="60"/>
      <c r="O510" s="60"/>
      <c r="P510" s="60"/>
      <c r="W510" s="2"/>
      <c r="X510" s="2"/>
    </row>
    <row r="511" spans="1:24" ht="15.75" customHeight="1" x14ac:dyDescent="0.2">
      <c r="A511" s="44"/>
      <c r="B511" s="47"/>
      <c r="C511" s="50"/>
      <c r="D511" s="50"/>
      <c r="E511" s="50"/>
      <c r="F511" s="50"/>
      <c r="G511" s="46"/>
      <c r="H511" s="46"/>
      <c r="I511" s="46"/>
      <c r="J511" s="46"/>
      <c r="K511" s="46"/>
      <c r="L511" s="71"/>
      <c r="M511" s="60"/>
      <c r="N511" s="60"/>
      <c r="O511" s="60"/>
      <c r="P511" s="60"/>
      <c r="W511" s="2"/>
      <c r="X511" s="2"/>
    </row>
    <row r="512" spans="1:24" ht="15.75" customHeight="1" x14ac:dyDescent="0.2">
      <c r="A512" s="44"/>
      <c r="B512" s="47"/>
      <c r="C512" s="50"/>
      <c r="D512" s="50"/>
      <c r="E512" s="50"/>
      <c r="F512" s="50"/>
      <c r="G512" s="46"/>
      <c r="H512" s="46"/>
      <c r="I512" s="46"/>
      <c r="J512" s="46"/>
      <c r="K512" s="46"/>
      <c r="L512" s="71"/>
      <c r="M512" s="60"/>
      <c r="N512" s="60"/>
      <c r="O512" s="60"/>
      <c r="P512" s="60"/>
      <c r="W512" s="2"/>
      <c r="X512" s="2"/>
    </row>
    <row r="513" spans="1:24" ht="15.75" customHeight="1" x14ac:dyDescent="0.2">
      <c r="A513" s="44"/>
      <c r="B513" s="47"/>
      <c r="C513" s="50"/>
      <c r="D513" s="50"/>
      <c r="E513" s="50"/>
      <c r="F513" s="50"/>
      <c r="G513" s="46"/>
      <c r="H513" s="46"/>
      <c r="I513" s="46"/>
      <c r="J513" s="46"/>
      <c r="K513" s="46"/>
      <c r="L513" s="71"/>
      <c r="M513" s="60"/>
      <c r="N513" s="60"/>
      <c r="O513" s="60"/>
      <c r="P513" s="60"/>
      <c r="W513" s="2"/>
      <c r="X513" s="2"/>
    </row>
    <row r="514" spans="1:24" ht="15.75" customHeight="1" x14ac:dyDescent="0.2">
      <c r="A514" s="44"/>
      <c r="B514" s="47"/>
      <c r="C514" s="50"/>
      <c r="D514" s="50"/>
      <c r="E514" s="50"/>
      <c r="F514" s="50"/>
      <c r="G514" s="46"/>
      <c r="H514" s="46"/>
      <c r="I514" s="46"/>
      <c r="J514" s="46"/>
      <c r="K514" s="46"/>
      <c r="L514" s="71"/>
      <c r="M514" s="60"/>
      <c r="N514" s="60"/>
      <c r="O514" s="60"/>
      <c r="P514" s="60"/>
      <c r="W514" s="2"/>
      <c r="X514" s="2"/>
    </row>
    <row r="515" spans="1:24" ht="15.75" customHeight="1" x14ac:dyDescent="0.2">
      <c r="A515" s="44"/>
      <c r="B515" s="47"/>
      <c r="C515" s="50"/>
      <c r="D515" s="50"/>
      <c r="E515" s="50"/>
      <c r="F515" s="50"/>
      <c r="G515" s="46"/>
      <c r="H515" s="46"/>
      <c r="I515" s="46"/>
      <c r="J515" s="46"/>
      <c r="K515" s="46"/>
      <c r="L515" s="71"/>
      <c r="M515" s="60"/>
      <c r="N515" s="60"/>
      <c r="O515" s="60"/>
      <c r="P515" s="60"/>
      <c r="W515" s="2"/>
      <c r="X515" s="2"/>
    </row>
    <row r="516" spans="1:24" ht="15.75" customHeight="1" x14ac:dyDescent="0.2">
      <c r="A516" s="44"/>
      <c r="B516" s="47"/>
      <c r="C516" s="50"/>
      <c r="D516" s="50"/>
      <c r="E516" s="50"/>
      <c r="F516" s="50"/>
      <c r="G516" s="46"/>
      <c r="H516" s="46"/>
      <c r="I516" s="46"/>
      <c r="J516" s="46"/>
      <c r="K516" s="46"/>
      <c r="L516" s="71"/>
      <c r="M516" s="60"/>
      <c r="N516" s="60"/>
      <c r="O516" s="60"/>
      <c r="P516" s="60"/>
      <c r="W516" s="2"/>
      <c r="X516" s="2"/>
    </row>
    <row r="517" spans="1:24" ht="15.75" customHeight="1" x14ac:dyDescent="0.2">
      <c r="A517" s="44"/>
      <c r="B517" s="47"/>
      <c r="C517" s="50"/>
      <c r="D517" s="50"/>
      <c r="E517" s="50"/>
      <c r="F517" s="50"/>
      <c r="G517" s="46"/>
      <c r="H517" s="46"/>
      <c r="I517" s="46"/>
      <c r="J517" s="46"/>
      <c r="K517" s="46"/>
      <c r="L517" s="71"/>
      <c r="M517" s="60"/>
      <c r="N517" s="60"/>
      <c r="O517" s="60"/>
      <c r="P517" s="60"/>
      <c r="W517" s="2"/>
      <c r="X517" s="2"/>
    </row>
    <row r="518" spans="1:24" ht="15.75" customHeight="1" x14ac:dyDescent="0.2">
      <c r="A518" s="44"/>
      <c r="B518" s="47"/>
      <c r="C518" s="50"/>
      <c r="D518" s="50"/>
      <c r="E518" s="50"/>
      <c r="F518" s="50"/>
      <c r="G518" s="46"/>
      <c r="H518" s="46"/>
      <c r="I518" s="46"/>
      <c r="J518" s="46"/>
      <c r="K518" s="46"/>
      <c r="L518" s="71"/>
      <c r="M518" s="60"/>
      <c r="N518" s="60"/>
      <c r="O518" s="60"/>
      <c r="P518" s="60"/>
      <c r="W518" s="2"/>
      <c r="X518" s="2"/>
    </row>
    <row r="519" spans="1:24" ht="15.75" customHeight="1" x14ac:dyDescent="0.2">
      <c r="A519" s="44"/>
      <c r="B519" s="47"/>
      <c r="C519" s="50"/>
      <c r="D519" s="50"/>
      <c r="E519" s="50"/>
      <c r="F519" s="50"/>
      <c r="G519" s="46"/>
      <c r="H519" s="46"/>
      <c r="I519" s="46"/>
      <c r="J519" s="46"/>
      <c r="K519" s="46"/>
      <c r="L519" s="71"/>
      <c r="M519" s="60"/>
      <c r="N519" s="60"/>
      <c r="O519" s="60"/>
      <c r="P519" s="60"/>
      <c r="W519" s="2"/>
      <c r="X519" s="2"/>
    </row>
    <row r="520" spans="1:24" ht="15.75" customHeight="1" x14ac:dyDescent="0.2">
      <c r="A520" s="44"/>
      <c r="B520" s="47"/>
      <c r="C520" s="50"/>
      <c r="D520" s="50"/>
      <c r="E520" s="50"/>
      <c r="F520" s="50"/>
      <c r="G520" s="46"/>
      <c r="H520" s="46"/>
      <c r="I520" s="46"/>
      <c r="J520" s="46"/>
      <c r="K520" s="46"/>
      <c r="L520" s="71"/>
      <c r="M520" s="60"/>
      <c r="N520" s="60"/>
      <c r="O520" s="60"/>
      <c r="P520" s="60"/>
      <c r="W520" s="2"/>
      <c r="X520" s="2"/>
    </row>
    <row r="521" spans="1:24" ht="15.75" customHeight="1" x14ac:dyDescent="0.2">
      <c r="A521" s="44"/>
      <c r="B521" s="47"/>
      <c r="C521" s="50"/>
      <c r="D521" s="50"/>
      <c r="E521" s="50"/>
      <c r="F521" s="50"/>
      <c r="G521" s="46"/>
      <c r="H521" s="46"/>
      <c r="I521" s="46"/>
      <c r="J521" s="46"/>
      <c r="K521" s="46"/>
      <c r="L521" s="71"/>
      <c r="M521" s="60"/>
      <c r="N521" s="60"/>
      <c r="O521" s="60"/>
      <c r="P521" s="60"/>
      <c r="W521" s="2"/>
      <c r="X521" s="2"/>
    </row>
    <row r="522" spans="1:24" ht="15.75" customHeight="1" x14ac:dyDescent="0.2">
      <c r="A522" s="44"/>
      <c r="B522" s="47"/>
      <c r="C522" s="50"/>
      <c r="D522" s="50"/>
      <c r="E522" s="50"/>
      <c r="F522" s="50"/>
      <c r="G522" s="46"/>
      <c r="H522" s="46"/>
      <c r="I522" s="46"/>
      <c r="J522" s="46"/>
      <c r="K522" s="46"/>
      <c r="L522" s="71"/>
      <c r="M522" s="60"/>
      <c r="N522" s="60"/>
      <c r="O522" s="60"/>
      <c r="P522" s="60"/>
      <c r="W522" s="2"/>
      <c r="X522" s="2"/>
    </row>
    <row r="523" spans="1:24" ht="15.75" customHeight="1" x14ac:dyDescent="0.2">
      <c r="A523" s="44"/>
      <c r="B523" s="47"/>
      <c r="C523" s="50"/>
      <c r="D523" s="50"/>
      <c r="E523" s="50"/>
      <c r="F523" s="50"/>
      <c r="G523" s="46"/>
      <c r="H523" s="46"/>
      <c r="I523" s="46"/>
      <c r="J523" s="46"/>
      <c r="K523" s="46"/>
      <c r="L523" s="71"/>
      <c r="M523" s="60"/>
      <c r="N523" s="60"/>
      <c r="O523" s="60"/>
      <c r="P523" s="60"/>
      <c r="W523" s="2"/>
      <c r="X523" s="2"/>
    </row>
    <row r="524" spans="1:24" ht="15.75" customHeight="1" x14ac:dyDescent="0.2">
      <c r="A524" s="44"/>
      <c r="B524" s="47"/>
      <c r="C524" s="50"/>
      <c r="D524" s="50"/>
      <c r="E524" s="50"/>
      <c r="F524" s="50"/>
      <c r="G524" s="46"/>
      <c r="H524" s="46"/>
      <c r="I524" s="46"/>
      <c r="J524" s="46"/>
      <c r="K524" s="46"/>
      <c r="L524" s="71"/>
      <c r="M524" s="60"/>
      <c r="N524" s="60"/>
      <c r="O524" s="60"/>
      <c r="P524" s="60"/>
      <c r="W524" s="2"/>
      <c r="X524" s="2"/>
    </row>
    <row r="525" spans="1:24" ht="15.75" customHeight="1" x14ac:dyDescent="0.2">
      <c r="A525" s="44"/>
      <c r="B525" s="47"/>
      <c r="C525" s="50"/>
      <c r="D525" s="50"/>
      <c r="E525" s="50"/>
      <c r="F525" s="50"/>
      <c r="G525" s="46"/>
      <c r="H525" s="46"/>
      <c r="I525" s="46"/>
      <c r="J525" s="46"/>
      <c r="K525" s="46"/>
      <c r="L525" s="71"/>
      <c r="M525" s="60"/>
      <c r="N525" s="60"/>
      <c r="O525" s="60"/>
      <c r="P525" s="60"/>
      <c r="W525" s="2"/>
      <c r="X525" s="2"/>
    </row>
    <row r="526" spans="1:24" ht="15.75" customHeight="1" x14ac:dyDescent="0.2">
      <c r="A526" s="44"/>
      <c r="B526" s="47"/>
      <c r="C526" s="50"/>
      <c r="D526" s="50"/>
      <c r="E526" s="50"/>
      <c r="F526" s="50"/>
      <c r="G526" s="46"/>
      <c r="H526" s="46"/>
      <c r="I526" s="46"/>
      <c r="J526" s="46"/>
      <c r="K526" s="46"/>
      <c r="L526" s="71"/>
      <c r="M526" s="60"/>
      <c r="N526" s="60"/>
      <c r="O526" s="60"/>
      <c r="P526" s="60"/>
      <c r="W526" s="2"/>
      <c r="X526" s="2"/>
    </row>
    <row r="527" spans="1:24" ht="15.75" customHeight="1" x14ac:dyDescent="0.2">
      <c r="A527" s="44"/>
      <c r="B527" s="47"/>
      <c r="C527" s="50"/>
      <c r="D527" s="50"/>
      <c r="E527" s="50"/>
      <c r="F527" s="50"/>
      <c r="G527" s="46"/>
      <c r="H527" s="46"/>
      <c r="I527" s="46"/>
      <c r="J527" s="46"/>
      <c r="K527" s="46"/>
      <c r="L527" s="71"/>
      <c r="M527" s="60"/>
      <c r="N527" s="60"/>
      <c r="O527" s="60"/>
      <c r="P527" s="60"/>
      <c r="W527" s="2"/>
      <c r="X527" s="2"/>
    </row>
    <row r="528" spans="1:24" ht="15.75" customHeight="1" x14ac:dyDescent="0.2">
      <c r="A528" s="44"/>
      <c r="B528" s="47"/>
      <c r="C528" s="50"/>
      <c r="D528" s="50"/>
      <c r="E528" s="50"/>
      <c r="F528" s="50"/>
      <c r="G528" s="46"/>
      <c r="H528" s="46"/>
      <c r="I528" s="46"/>
      <c r="J528" s="46"/>
      <c r="K528" s="46"/>
      <c r="L528" s="71"/>
      <c r="M528" s="60"/>
      <c r="N528" s="60"/>
      <c r="O528" s="60"/>
      <c r="P528" s="60"/>
      <c r="W528" s="2"/>
      <c r="X528" s="2"/>
    </row>
    <row r="529" spans="1:24" ht="15.75" customHeight="1" x14ac:dyDescent="0.2">
      <c r="A529" s="44"/>
      <c r="B529" s="47"/>
      <c r="C529" s="50"/>
      <c r="D529" s="50"/>
      <c r="E529" s="50"/>
      <c r="F529" s="50"/>
      <c r="G529" s="46"/>
      <c r="H529" s="46"/>
      <c r="I529" s="46"/>
      <c r="J529" s="46"/>
      <c r="K529" s="46"/>
      <c r="L529" s="71"/>
      <c r="M529" s="60"/>
      <c r="N529" s="60"/>
      <c r="O529" s="60"/>
      <c r="P529" s="60"/>
      <c r="W529" s="2"/>
      <c r="X529" s="2"/>
    </row>
    <row r="530" spans="1:24" ht="15.75" customHeight="1" x14ac:dyDescent="0.2">
      <c r="A530" s="44"/>
      <c r="B530" s="47"/>
      <c r="C530" s="50"/>
      <c r="D530" s="50"/>
      <c r="E530" s="50"/>
      <c r="F530" s="50"/>
      <c r="G530" s="46"/>
      <c r="H530" s="46"/>
      <c r="I530" s="46"/>
      <c r="J530" s="46"/>
      <c r="K530" s="46"/>
      <c r="L530" s="71"/>
      <c r="M530" s="60"/>
      <c r="N530" s="60"/>
      <c r="O530" s="60"/>
      <c r="P530" s="60"/>
      <c r="W530" s="2"/>
      <c r="X530" s="2"/>
    </row>
    <row r="531" spans="1:24" ht="15.75" customHeight="1" x14ac:dyDescent="0.2">
      <c r="A531" s="44"/>
      <c r="B531" s="47"/>
      <c r="C531" s="50"/>
      <c r="D531" s="50"/>
      <c r="E531" s="50"/>
      <c r="F531" s="50"/>
      <c r="G531" s="46"/>
      <c r="H531" s="46"/>
      <c r="I531" s="46"/>
      <c r="J531" s="46"/>
      <c r="K531" s="46"/>
      <c r="L531" s="71"/>
      <c r="M531" s="60"/>
      <c r="N531" s="60"/>
      <c r="O531" s="60"/>
      <c r="P531" s="60"/>
      <c r="W531" s="2"/>
      <c r="X531" s="2"/>
    </row>
    <row r="532" spans="1:24" ht="15.75" customHeight="1" x14ac:dyDescent="0.2">
      <c r="A532" s="44"/>
      <c r="B532" s="47"/>
      <c r="C532" s="50"/>
      <c r="D532" s="50"/>
      <c r="E532" s="50"/>
      <c r="F532" s="50"/>
      <c r="G532" s="46"/>
      <c r="H532" s="46"/>
      <c r="I532" s="46"/>
      <c r="J532" s="46"/>
      <c r="K532" s="46"/>
      <c r="L532" s="71"/>
      <c r="M532" s="60"/>
      <c r="N532" s="60"/>
      <c r="O532" s="60"/>
      <c r="P532" s="60"/>
      <c r="W532" s="2"/>
      <c r="X532" s="2"/>
    </row>
    <row r="533" spans="1:24" ht="15.75" customHeight="1" x14ac:dyDescent="0.2">
      <c r="A533" s="44"/>
      <c r="B533" s="47"/>
      <c r="C533" s="50"/>
      <c r="D533" s="50"/>
      <c r="E533" s="50"/>
      <c r="F533" s="50"/>
      <c r="G533" s="46"/>
      <c r="H533" s="46"/>
      <c r="I533" s="46"/>
      <c r="J533" s="46"/>
      <c r="K533" s="46"/>
      <c r="L533" s="71"/>
      <c r="M533" s="60"/>
      <c r="N533" s="60"/>
      <c r="O533" s="60"/>
      <c r="P533" s="60"/>
      <c r="W533" s="2"/>
      <c r="X533" s="2"/>
    </row>
    <row r="534" spans="1:24" ht="15.75" customHeight="1" x14ac:dyDescent="0.2">
      <c r="A534" s="44"/>
      <c r="B534" s="47"/>
      <c r="C534" s="50"/>
      <c r="D534" s="50"/>
      <c r="E534" s="50"/>
      <c r="F534" s="50"/>
      <c r="G534" s="46"/>
      <c r="H534" s="46"/>
      <c r="I534" s="46"/>
      <c r="J534" s="46"/>
      <c r="K534" s="46"/>
      <c r="L534" s="71"/>
      <c r="M534" s="60"/>
      <c r="N534" s="60"/>
      <c r="O534" s="60"/>
      <c r="P534" s="60"/>
      <c r="W534" s="2"/>
      <c r="X534" s="2"/>
    </row>
    <row r="535" spans="1:24" ht="15.75" customHeight="1" x14ac:dyDescent="0.2">
      <c r="A535" s="44"/>
      <c r="B535" s="47"/>
      <c r="C535" s="50"/>
      <c r="D535" s="50"/>
      <c r="E535" s="50"/>
      <c r="F535" s="50"/>
      <c r="G535" s="46"/>
      <c r="H535" s="46"/>
      <c r="I535" s="46"/>
      <c r="J535" s="46"/>
      <c r="K535" s="46"/>
      <c r="L535" s="71"/>
      <c r="M535" s="60"/>
      <c r="N535" s="60"/>
      <c r="O535" s="60"/>
      <c r="P535" s="60"/>
      <c r="W535" s="2"/>
      <c r="X535" s="2"/>
    </row>
    <row r="536" spans="1:24" ht="15.75" customHeight="1" x14ac:dyDescent="0.2">
      <c r="A536" s="44"/>
      <c r="B536" s="47"/>
      <c r="C536" s="50"/>
      <c r="D536" s="50"/>
      <c r="E536" s="50"/>
      <c r="F536" s="50"/>
      <c r="G536" s="46"/>
      <c r="H536" s="46"/>
      <c r="I536" s="46"/>
      <c r="J536" s="46"/>
      <c r="K536" s="46"/>
      <c r="L536" s="71"/>
      <c r="M536" s="60"/>
      <c r="N536" s="60"/>
      <c r="O536" s="60"/>
      <c r="P536" s="60"/>
      <c r="W536" s="2"/>
      <c r="X536" s="2"/>
    </row>
    <row r="537" spans="1:24" ht="15.75" customHeight="1" x14ac:dyDescent="0.2">
      <c r="A537" s="44"/>
      <c r="B537" s="47"/>
      <c r="C537" s="50"/>
      <c r="D537" s="50"/>
      <c r="E537" s="50"/>
      <c r="F537" s="50"/>
      <c r="G537" s="46"/>
      <c r="H537" s="46"/>
      <c r="I537" s="46"/>
      <c r="J537" s="46"/>
      <c r="K537" s="46"/>
      <c r="L537" s="71"/>
      <c r="M537" s="60"/>
      <c r="N537" s="60"/>
      <c r="O537" s="60"/>
      <c r="P537" s="60"/>
      <c r="W537" s="2"/>
      <c r="X537" s="2"/>
    </row>
    <row r="538" spans="1:24" ht="15.75" customHeight="1" x14ac:dyDescent="0.2">
      <c r="A538" s="44"/>
      <c r="B538" s="47"/>
      <c r="C538" s="50"/>
      <c r="D538" s="50"/>
      <c r="E538" s="50"/>
      <c r="F538" s="50"/>
      <c r="G538" s="46"/>
      <c r="H538" s="46"/>
      <c r="I538" s="46"/>
      <c r="J538" s="46"/>
      <c r="K538" s="46"/>
      <c r="L538" s="71"/>
      <c r="M538" s="60"/>
      <c r="N538" s="60"/>
      <c r="O538" s="60"/>
      <c r="P538" s="60"/>
      <c r="W538" s="2"/>
      <c r="X538" s="2"/>
    </row>
    <row r="539" spans="1:24" ht="15.75" customHeight="1" x14ac:dyDescent="0.2">
      <c r="A539" s="44"/>
      <c r="B539" s="47"/>
      <c r="C539" s="50"/>
      <c r="D539" s="50"/>
      <c r="E539" s="50"/>
      <c r="F539" s="50"/>
      <c r="G539" s="46"/>
      <c r="H539" s="46"/>
      <c r="I539" s="46"/>
      <c r="J539" s="46"/>
      <c r="K539" s="46"/>
      <c r="L539" s="71"/>
      <c r="M539" s="60"/>
      <c r="N539" s="60"/>
      <c r="O539" s="60"/>
      <c r="P539" s="60"/>
      <c r="W539" s="2"/>
      <c r="X539" s="2"/>
    </row>
    <row r="540" spans="1:24" ht="15.75" customHeight="1" x14ac:dyDescent="0.2">
      <c r="A540" s="44"/>
      <c r="B540" s="47"/>
      <c r="C540" s="50"/>
      <c r="D540" s="50"/>
      <c r="E540" s="50"/>
      <c r="F540" s="50"/>
      <c r="G540" s="46"/>
      <c r="H540" s="46"/>
      <c r="I540" s="46"/>
      <c r="J540" s="46"/>
      <c r="K540" s="46"/>
      <c r="L540" s="71"/>
      <c r="M540" s="60"/>
      <c r="N540" s="60"/>
      <c r="O540" s="60"/>
      <c r="P540" s="60"/>
      <c r="W540" s="2"/>
      <c r="X540" s="2"/>
    </row>
    <row r="541" spans="1:24" ht="15.75" customHeight="1" x14ac:dyDescent="0.2">
      <c r="A541" s="44"/>
      <c r="B541" s="47"/>
      <c r="C541" s="50"/>
      <c r="D541" s="50"/>
      <c r="E541" s="50"/>
      <c r="F541" s="50"/>
      <c r="G541" s="46"/>
      <c r="H541" s="46"/>
      <c r="I541" s="46"/>
      <c r="J541" s="46"/>
      <c r="K541" s="46"/>
      <c r="L541" s="71"/>
      <c r="M541" s="60"/>
      <c r="N541" s="60"/>
      <c r="O541" s="60"/>
      <c r="P541" s="60"/>
      <c r="W541" s="2"/>
      <c r="X541" s="2"/>
    </row>
    <row r="542" spans="1:24" ht="15.75" customHeight="1" x14ac:dyDescent="0.2">
      <c r="A542" s="44"/>
      <c r="B542" s="47"/>
      <c r="C542" s="50"/>
      <c r="D542" s="50"/>
      <c r="E542" s="50"/>
      <c r="F542" s="50"/>
      <c r="G542" s="46"/>
      <c r="H542" s="46"/>
      <c r="I542" s="46"/>
      <c r="J542" s="46"/>
      <c r="K542" s="46"/>
      <c r="L542" s="71"/>
      <c r="M542" s="60"/>
      <c r="N542" s="60"/>
      <c r="O542" s="60"/>
      <c r="P542" s="60"/>
      <c r="W542" s="2"/>
      <c r="X542" s="2"/>
    </row>
    <row r="543" spans="1:24" ht="15.75" customHeight="1" x14ac:dyDescent="0.2">
      <c r="A543" s="44"/>
      <c r="B543" s="47"/>
      <c r="C543" s="50"/>
      <c r="D543" s="50"/>
      <c r="E543" s="50"/>
      <c r="F543" s="50"/>
      <c r="G543" s="46"/>
      <c r="H543" s="46"/>
      <c r="I543" s="46"/>
      <c r="J543" s="46"/>
      <c r="K543" s="46"/>
      <c r="L543" s="71"/>
      <c r="M543" s="60"/>
      <c r="N543" s="60"/>
      <c r="O543" s="60"/>
      <c r="P543" s="60"/>
      <c r="W543" s="2"/>
      <c r="X543" s="2"/>
    </row>
    <row r="544" spans="1:24" ht="15.75" customHeight="1" x14ac:dyDescent="0.2">
      <c r="A544" s="44"/>
      <c r="B544" s="47"/>
      <c r="C544" s="50"/>
      <c r="D544" s="50"/>
      <c r="E544" s="50"/>
      <c r="F544" s="50"/>
      <c r="G544" s="46"/>
      <c r="H544" s="46"/>
      <c r="I544" s="46"/>
      <c r="J544" s="46"/>
      <c r="K544" s="46"/>
      <c r="L544" s="71"/>
      <c r="M544" s="60"/>
      <c r="N544" s="60"/>
      <c r="O544" s="60"/>
      <c r="P544" s="60"/>
      <c r="W544" s="2"/>
      <c r="X544" s="2"/>
    </row>
    <row r="545" spans="1:24" ht="15.75" customHeight="1" x14ac:dyDescent="0.2">
      <c r="A545" s="44"/>
      <c r="B545" s="47"/>
      <c r="C545" s="50"/>
      <c r="D545" s="50"/>
      <c r="E545" s="50"/>
      <c r="F545" s="50"/>
      <c r="G545" s="46"/>
      <c r="H545" s="46"/>
      <c r="I545" s="46"/>
      <c r="J545" s="46"/>
      <c r="K545" s="46"/>
      <c r="L545" s="71"/>
      <c r="M545" s="60"/>
      <c r="N545" s="60"/>
      <c r="O545" s="60"/>
      <c r="P545" s="60"/>
      <c r="W545" s="2"/>
      <c r="X545" s="2"/>
    </row>
    <row r="546" spans="1:24" ht="15.75" customHeight="1" x14ac:dyDescent="0.2">
      <c r="A546" s="44"/>
      <c r="B546" s="47"/>
      <c r="C546" s="50"/>
      <c r="D546" s="50"/>
      <c r="E546" s="50"/>
      <c r="F546" s="50"/>
      <c r="G546" s="46"/>
      <c r="H546" s="46"/>
      <c r="I546" s="46"/>
      <c r="J546" s="46"/>
      <c r="K546" s="46"/>
      <c r="L546" s="71"/>
      <c r="M546" s="60"/>
      <c r="N546" s="60"/>
      <c r="O546" s="60"/>
      <c r="P546" s="60"/>
      <c r="W546" s="2"/>
      <c r="X546" s="2"/>
    </row>
    <row r="547" spans="1:24" ht="15.75" customHeight="1" x14ac:dyDescent="0.2">
      <c r="A547" s="44"/>
      <c r="B547" s="47"/>
      <c r="C547" s="50"/>
      <c r="D547" s="50"/>
      <c r="E547" s="50"/>
      <c r="F547" s="50"/>
      <c r="G547" s="46"/>
      <c r="H547" s="46"/>
      <c r="I547" s="46"/>
      <c r="J547" s="46"/>
      <c r="K547" s="46"/>
      <c r="L547" s="71"/>
      <c r="M547" s="60"/>
      <c r="N547" s="60"/>
      <c r="O547" s="60"/>
      <c r="P547" s="60"/>
      <c r="W547" s="2"/>
      <c r="X547" s="2"/>
    </row>
    <row r="548" spans="1:24" ht="15.75" customHeight="1" x14ac:dyDescent="0.2">
      <c r="A548" s="44"/>
      <c r="B548" s="47"/>
      <c r="C548" s="50"/>
      <c r="D548" s="50"/>
      <c r="E548" s="50"/>
      <c r="F548" s="50"/>
      <c r="G548" s="46"/>
      <c r="H548" s="46"/>
      <c r="I548" s="46"/>
      <c r="J548" s="46"/>
      <c r="K548" s="46"/>
      <c r="L548" s="71"/>
      <c r="M548" s="60"/>
      <c r="N548" s="60"/>
      <c r="O548" s="60"/>
      <c r="P548" s="60"/>
      <c r="W548" s="2"/>
      <c r="X548" s="2"/>
    </row>
    <row r="549" spans="1:24" ht="15.75" customHeight="1" x14ac:dyDescent="0.2">
      <c r="A549" s="44"/>
      <c r="B549" s="47"/>
      <c r="C549" s="50"/>
      <c r="D549" s="50"/>
      <c r="E549" s="50"/>
      <c r="F549" s="50"/>
      <c r="G549" s="46"/>
      <c r="H549" s="46"/>
      <c r="I549" s="46"/>
      <c r="J549" s="46"/>
      <c r="K549" s="46"/>
      <c r="L549" s="71"/>
      <c r="M549" s="60"/>
      <c r="N549" s="60"/>
      <c r="O549" s="60"/>
      <c r="P549" s="60"/>
      <c r="W549" s="2"/>
      <c r="X549" s="2"/>
    </row>
    <row r="550" spans="1:24" ht="15.75" customHeight="1" x14ac:dyDescent="0.2">
      <c r="A550" s="44"/>
      <c r="B550" s="47"/>
      <c r="C550" s="50"/>
      <c r="D550" s="50"/>
      <c r="E550" s="50"/>
      <c r="F550" s="50"/>
      <c r="G550" s="46"/>
      <c r="H550" s="46"/>
      <c r="I550" s="46"/>
      <c r="J550" s="46"/>
      <c r="K550" s="46"/>
      <c r="L550" s="71"/>
      <c r="M550" s="60"/>
      <c r="N550" s="60"/>
      <c r="O550" s="60"/>
      <c r="P550" s="60"/>
      <c r="W550" s="2"/>
      <c r="X550" s="2"/>
    </row>
    <row r="551" spans="1:24" ht="15.75" customHeight="1" x14ac:dyDescent="0.2">
      <c r="A551" s="44"/>
      <c r="B551" s="47"/>
      <c r="C551" s="50"/>
      <c r="D551" s="50"/>
      <c r="E551" s="50"/>
      <c r="F551" s="50"/>
      <c r="G551" s="46"/>
      <c r="H551" s="46"/>
      <c r="I551" s="46"/>
      <c r="J551" s="46"/>
      <c r="K551" s="46"/>
      <c r="L551" s="71"/>
      <c r="M551" s="60"/>
      <c r="N551" s="60"/>
      <c r="O551" s="60"/>
      <c r="P551" s="60"/>
      <c r="W551" s="2"/>
      <c r="X551" s="2"/>
    </row>
    <row r="552" spans="1:24" ht="15.75" customHeight="1" x14ac:dyDescent="0.2">
      <c r="A552" s="44"/>
      <c r="B552" s="47"/>
      <c r="C552" s="50"/>
      <c r="D552" s="50"/>
      <c r="E552" s="50"/>
      <c r="F552" s="50"/>
      <c r="G552" s="46"/>
      <c r="H552" s="46"/>
      <c r="I552" s="46"/>
      <c r="J552" s="46"/>
      <c r="K552" s="46"/>
      <c r="L552" s="71"/>
      <c r="M552" s="60"/>
      <c r="N552" s="60"/>
      <c r="O552" s="60"/>
      <c r="P552" s="60"/>
      <c r="W552" s="2"/>
      <c r="X552" s="2"/>
    </row>
    <row r="553" spans="1:24" ht="15.75" customHeight="1" x14ac:dyDescent="0.2">
      <c r="A553" s="44"/>
      <c r="B553" s="47"/>
      <c r="C553" s="50"/>
      <c r="D553" s="50"/>
      <c r="E553" s="50"/>
      <c r="F553" s="50"/>
      <c r="G553" s="46"/>
      <c r="H553" s="46"/>
      <c r="I553" s="46"/>
      <c r="J553" s="46"/>
      <c r="K553" s="46"/>
      <c r="L553" s="71"/>
      <c r="M553" s="60"/>
      <c r="N553" s="60"/>
      <c r="O553" s="60"/>
      <c r="P553" s="60"/>
      <c r="W553" s="2"/>
      <c r="X553" s="2"/>
    </row>
    <row r="554" spans="1:24" ht="15.75" customHeight="1" x14ac:dyDescent="0.2">
      <c r="A554" s="44"/>
      <c r="B554" s="47"/>
      <c r="C554" s="50"/>
      <c r="D554" s="50"/>
      <c r="E554" s="50"/>
      <c r="F554" s="50"/>
      <c r="G554" s="46"/>
      <c r="H554" s="46"/>
      <c r="I554" s="46"/>
      <c r="J554" s="46"/>
      <c r="K554" s="46"/>
      <c r="L554" s="71"/>
      <c r="M554" s="60"/>
      <c r="N554" s="60"/>
      <c r="O554" s="60"/>
      <c r="P554" s="60"/>
      <c r="W554" s="2"/>
      <c r="X554" s="2"/>
    </row>
    <row r="555" spans="1:24" ht="15.75" customHeight="1" x14ac:dyDescent="0.2">
      <c r="A555" s="44"/>
      <c r="B555" s="47"/>
      <c r="C555" s="50"/>
      <c r="D555" s="50"/>
      <c r="E555" s="50"/>
      <c r="F555" s="50"/>
      <c r="G555" s="46"/>
      <c r="H555" s="46"/>
      <c r="I555" s="46"/>
      <c r="J555" s="46"/>
      <c r="K555" s="46"/>
      <c r="L555" s="71"/>
      <c r="M555" s="60"/>
      <c r="N555" s="60"/>
      <c r="O555" s="60"/>
      <c r="P555" s="60"/>
      <c r="W555" s="2"/>
      <c r="X555" s="2"/>
    </row>
    <row r="556" spans="1:24" ht="15.75" customHeight="1" x14ac:dyDescent="0.2">
      <c r="A556" s="44"/>
      <c r="B556" s="47"/>
      <c r="C556" s="50"/>
      <c r="D556" s="50"/>
      <c r="E556" s="50"/>
      <c r="F556" s="50"/>
      <c r="G556" s="46"/>
      <c r="H556" s="46"/>
      <c r="I556" s="46"/>
      <c r="J556" s="46"/>
      <c r="K556" s="46"/>
      <c r="L556" s="71"/>
      <c r="M556" s="60"/>
      <c r="N556" s="60"/>
      <c r="O556" s="60"/>
      <c r="P556" s="60"/>
      <c r="W556" s="2"/>
      <c r="X556" s="2"/>
    </row>
    <row r="557" spans="1:24" ht="15.75" customHeight="1" x14ac:dyDescent="0.2">
      <c r="A557" s="44"/>
      <c r="B557" s="47"/>
      <c r="C557" s="50"/>
      <c r="D557" s="50"/>
      <c r="E557" s="50"/>
      <c r="F557" s="50"/>
      <c r="G557" s="46"/>
      <c r="H557" s="46"/>
      <c r="I557" s="46"/>
      <c r="J557" s="46"/>
      <c r="K557" s="46"/>
      <c r="L557" s="71"/>
      <c r="M557" s="60"/>
      <c r="N557" s="60"/>
      <c r="O557" s="60"/>
      <c r="P557" s="60"/>
      <c r="W557" s="2"/>
      <c r="X557" s="2"/>
    </row>
    <row r="558" spans="1:24" ht="15.75" customHeight="1" x14ac:dyDescent="0.2">
      <c r="A558" s="44"/>
      <c r="B558" s="47"/>
      <c r="C558" s="50"/>
      <c r="D558" s="50"/>
      <c r="E558" s="50"/>
      <c r="F558" s="50"/>
      <c r="G558" s="46"/>
      <c r="H558" s="46"/>
      <c r="I558" s="46"/>
      <c r="J558" s="46"/>
      <c r="K558" s="46"/>
      <c r="L558" s="71"/>
      <c r="M558" s="60"/>
      <c r="N558" s="60"/>
      <c r="O558" s="60"/>
      <c r="P558" s="60"/>
      <c r="W558" s="2"/>
      <c r="X558" s="2"/>
    </row>
    <row r="559" spans="1:24" ht="15.75" customHeight="1" x14ac:dyDescent="0.2">
      <c r="A559" s="44"/>
      <c r="B559" s="47"/>
      <c r="C559" s="50"/>
      <c r="D559" s="50"/>
      <c r="E559" s="50"/>
      <c r="F559" s="50"/>
      <c r="G559" s="46"/>
      <c r="H559" s="46"/>
      <c r="I559" s="46"/>
      <c r="J559" s="46"/>
      <c r="K559" s="46"/>
      <c r="L559" s="71"/>
      <c r="M559" s="60"/>
      <c r="N559" s="60"/>
      <c r="O559" s="60"/>
      <c r="P559" s="60"/>
      <c r="W559" s="2"/>
      <c r="X559" s="2"/>
    </row>
    <row r="560" spans="1:24" ht="15.75" customHeight="1" x14ac:dyDescent="0.2">
      <c r="A560" s="44"/>
      <c r="B560" s="47"/>
      <c r="C560" s="50"/>
      <c r="D560" s="50"/>
      <c r="E560" s="50"/>
      <c r="F560" s="50"/>
      <c r="G560" s="46"/>
      <c r="H560" s="46"/>
      <c r="I560" s="46"/>
      <c r="J560" s="46"/>
      <c r="K560" s="46"/>
      <c r="L560" s="71"/>
      <c r="M560" s="60"/>
      <c r="N560" s="60"/>
      <c r="O560" s="60"/>
      <c r="P560" s="60"/>
      <c r="W560" s="2"/>
      <c r="X560" s="2"/>
    </row>
    <row r="561" spans="1:24" ht="15.75" customHeight="1" x14ac:dyDescent="0.2">
      <c r="A561" s="44"/>
      <c r="B561" s="47"/>
      <c r="C561" s="50"/>
      <c r="D561" s="50"/>
      <c r="E561" s="50"/>
      <c r="F561" s="50"/>
      <c r="G561" s="46"/>
      <c r="H561" s="46"/>
      <c r="I561" s="46"/>
      <c r="J561" s="46"/>
      <c r="K561" s="46"/>
      <c r="L561" s="71"/>
      <c r="M561" s="60"/>
      <c r="N561" s="60"/>
      <c r="O561" s="60"/>
      <c r="P561" s="60"/>
      <c r="W561" s="2"/>
      <c r="X561" s="2"/>
    </row>
    <row r="562" spans="1:24" ht="15.75" customHeight="1" x14ac:dyDescent="0.2">
      <c r="A562" s="44"/>
      <c r="B562" s="47"/>
      <c r="C562" s="50"/>
      <c r="D562" s="50"/>
      <c r="E562" s="50"/>
      <c r="F562" s="50"/>
      <c r="G562" s="46"/>
      <c r="H562" s="46"/>
      <c r="I562" s="46"/>
      <c r="J562" s="46"/>
      <c r="K562" s="46"/>
      <c r="L562" s="71"/>
      <c r="M562" s="60"/>
      <c r="N562" s="60"/>
      <c r="O562" s="60"/>
      <c r="P562" s="60"/>
      <c r="W562" s="2"/>
      <c r="X562" s="2"/>
    </row>
    <row r="563" spans="1:24" ht="15.75" customHeight="1" x14ac:dyDescent="0.2">
      <c r="A563" s="44"/>
      <c r="B563" s="47"/>
      <c r="C563" s="50"/>
      <c r="D563" s="50"/>
      <c r="E563" s="50"/>
      <c r="F563" s="50"/>
      <c r="G563" s="46"/>
      <c r="H563" s="46"/>
      <c r="I563" s="46"/>
      <c r="J563" s="46"/>
      <c r="K563" s="46"/>
      <c r="L563" s="71"/>
      <c r="M563" s="60"/>
      <c r="N563" s="60"/>
      <c r="O563" s="60"/>
      <c r="P563" s="60"/>
      <c r="W563" s="2"/>
      <c r="X563" s="2"/>
    </row>
    <row r="564" spans="1:24" ht="15.75" customHeight="1" x14ac:dyDescent="0.2">
      <c r="A564" s="44"/>
      <c r="B564" s="47"/>
      <c r="C564" s="50"/>
      <c r="D564" s="50"/>
      <c r="E564" s="50"/>
      <c r="F564" s="50"/>
      <c r="G564" s="46"/>
      <c r="H564" s="46"/>
      <c r="I564" s="46"/>
      <c r="J564" s="46"/>
      <c r="K564" s="46"/>
      <c r="L564" s="71"/>
      <c r="M564" s="60"/>
      <c r="N564" s="60"/>
      <c r="O564" s="60"/>
      <c r="P564" s="60"/>
      <c r="W564" s="2"/>
      <c r="X564" s="2"/>
    </row>
    <row r="565" spans="1:24" ht="15.75" customHeight="1" x14ac:dyDescent="0.2">
      <c r="A565" s="44"/>
      <c r="B565" s="47"/>
      <c r="C565" s="50"/>
      <c r="D565" s="50"/>
      <c r="E565" s="50"/>
      <c r="F565" s="50"/>
      <c r="G565" s="46"/>
      <c r="H565" s="46"/>
      <c r="I565" s="46"/>
      <c r="J565" s="46"/>
      <c r="K565" s="46"/>
      <c r="L565" s="71"/>
      <c r="M565" s="60"/>
      <c r="N565" s="60"/>
      <c r="O565" s="60"/>
      <c r="P565" s="60"/>
      <c r="W565" s="2"/>
      <c r="X565" s="2"/>
    </row>
    <row r="566" spans="1:24" ht="15.75" customHeight="1" x14ac:dyDescent="0.2">
      <c r="A566" s="44"/>
      <c r="B566" s="47"/>
      <c r="C566" s="50"/>
      <c r="D566" s="50"/>
      <c r="E566" s="50"/>
      <c r="F566" s="50"/>
      <c r="G566" s="46"/>
      <c r="H566" s="46"/>
      <c r="I566" s="46"/>
      <c r="J566" s="46"/>
      <c r="K566" s="46"/>
      <c r="L566" s="71"/>
      <c r="M566" s="60"/>
      <c r="N566" s="60"/>
      <c r="O566" s="60"/>
      <c r="P566" s="60"/>
      <c r="W566" s="2"/>
      <c r="X566" s="2"/>
    </row>
    <row r="567" spans="1:24" ht="15.75" customHeight="1" x14ac:dyDescent="0.2">
      <c r="A567" s="44"/>
      <c r="B567" s="47"/>
      <c r="C567" s="50"/>
      <c r="D567" s="50"/>
      <c r="E567" s="50"/>
      <c r="F567" s="50"/>
      <c r="G567" s="46"/>
      <c r="H567" s="46"/>
      <c r="I567" s="46"/>
      <c r="J567" s="46"/>
      <c r="K567" s="46"/>
      <c r="L567" s="71"/>
      <c r="M567" s="60"/>
      <c r="N567" s="60"/>
      <c r="O567" s="60"/>
      <c r="P567" s="60"/>
      <c r="W567" s="2"/>
      <c r="X567" s="2"/>
    </row>
    <row r="568" spans="1:24" ht="15.75" customHeight="1" x14ac:dyDescent="0.2">
      <c r="A568" s="44"/>
      <c r="B568" s="47"/>
      <c r="C568" s="50"/>
      <c r="D568" s="50"/>
      <c r="E568" s="50"/>
      <c r="F568" s="50"/>
      <c r="G568" s="46"/>
      <c r="H568" s="46"/>
      <c r="I568" s="46"/>
      <c r="J568" s="46"/>
      <c r="K568" s="46"/>
      <c r="L568" s="71"/>
      <c r="M568" s="60"/>
      <c r="N568" s="60"/>
      <c r="O568" s="60"/>
      <c r="P568" s="60"/>
      <c r="W568" s="2"/>
      <c r="X568" s="2"/>
    </row>
    <row r="569" spans="1:24" ht="15.75" customHeight="1" x14ac:dyDescent="0.2">
      <c r="A569" s="44"/>
      <c r="B569" s="47"/>
      <c r="C569" s="50"/>
      <c r="D569" s="50"/>
      <c r="E569" s="50"/>
      <c r="F569" s="50"/>
      <c r="G569" s="46"/>
      <c r="H569" s="46"/>
      <c r="I569" s="46"/>
      <c r="J569" s="46"/>
      <c r="K569" s="46"/>
      <c r="L569" s="71"/>
      <c r="M569" s="60"/>
      <c r="N569" s="60"/>
      <c r="O569" s="60"/>
      <c r="P569" s="60"/>
      <c r="W569" s="2"/>
      <c r="X569" s="2"/>
    </row>
    <row r="570" spans="1:24" ht="15.75" customHeight="1" x14ac:dyDescent="0.2">
      <c r="A570" s="44"/>
      <c r="B570" s="47"/>
      <c r="C570" s="50"/>
      <c r="D570" s="50"/>
      <c r="E570" s="50"/>
      <c r="F570" s="50"/>
      <c r="G570" s="46"/>
      <c r="H570" s="46"/>
      <c r="I570" s="46"/>
      <c r="J570" s="46"/>
      <c r="K570" s="46"/>
      <c r="L570" s="71"/>
      <c r="M570" s="60"/>
      <c r="N570" s="60"/>
      <c r="O570" s="60"/>
      <c r="P570" s="60"/>
      <c r="W570" s="2"/>
      <c r="X570" s="2"/>
    </row>
    <row r="571" spans="1:24" ht="15.75" customHeight="1" x14ac:dyDescent="0.2">
      <c r="A571" s="44"/>
      <c r="B571" s="47"/>
      <c r="C571" s="50"/>
      <c r="D571" s="50"/>
      <c r="E571" s="50"/>
      <c r="F571" s="50"/>
      <c r="G571" s="46"/>
      <c r="H571" s="46"/>
      <c r="I571" s="46"/>
      <c r="J571" s="46"/>
      <c r="K571" s="46"/>
      <c r="L571" s="71"/>
      <c r="M571" s="60"/>
      <c r="N571" s="60"/>
      <c r="O571" s="60"/>
      <c r="P571" s="60"/>
      <c r="W571" s="2"/>
      <c r="X571" s="2"/>
    </row>
    <row r="572" spans="1:24" ht="15.75" customHeight="1" x14ac:dyDescent="0.2">
      <c r="A572" s="44"/>
      <c r="B572" s="47"/>
      <c r="C572" s="50"/>
      <c r="D572" s="50"/>
      <c r="E572" s="50"/>
      <c r="F572" s="50"/>
      <c r="G572" s="46"/>
      <c r="H572" s="46"/>
      <c r="I572" s="46"/>
      <c r="J572" s="46"/>
      <c r="K572" s="46"/>
      <c r="L572" s="71"/>
      <c r="M572" s="60"/>
      <c r="N572" s="60"/>
      <c r="O572" s="60"/>
      <c r="P572" s="60"/>
      <c r="W572" s="2"/>
      <c r="X572" s="2"/>
    </row>
    <row r="573" spans="1:24" ht="15.75" customHeight="1" x14ac:dyDescent="0.2">
      <c r="A573" s="44"/>
      <c r="B573" s="47"/>
      <c r="C573" s="50"/>
      <c r="D573" s="50"/>
      <c r="E573" s="50"/>
      <c r="F573" s="50"/>
      <c r="G573" s="46"/>
      <c r="H573" s="46"/>
      <c r="I573" s="46"/>
      <c r="J573" s="46"/>
      <c r="K573" s="46"/>
      <c r="L573" s="71"/>
      <c r="M573" s="60"/>
      <c r="N573" s="60"/>
      <c r="O573" s="60"/>
      <c r="P573" s="60"/>
      <c r="W573" s="2"/>
      <c r="X573" s="2"/>
    </row>
    <row r="574" spans="1:24" ht="15.75" customHeight="1" x14ac:dyDescent="0.2">
      <c r="A574" s="44"/>
      <c r="B574" s="47"/>
      <c r="C574" s="50"/>
      <c r="D574" s="50"/>
      <c r="E574" s="50"/>
      <c r="F574" s="50"/>
      <c r="G574" s="46"/>
      <c r="H574" s="46"/>
      <c r="I574" s="46"/>
      <c r="J574" s="46"/>
      <c r="K574" s="46"/>
      <c r="L574" s="71"/>
      <c r="M574" s="60"/>
      <c r="N574" s="60"/>
      <c r="O574" s="60"/>
      <c r="P574" s="60"/>
      <c r="W574" s="2"/>
      <c r="X574" s="2"/>
    </row>
    <row r="575" spans="1:24" ht="15.75" customHeight="1" x14ac:dyDescent="0.2">
      <c r="A575" s="44"/>
      <c r="B575" s="47"/>
      <c r="C575" s="50"/>
      <c r="D575" s="50"/>
      <c r="E575" s="50"/>
      <c r="F575" s="50"/>
      <c r="G575" s="46"/>
      <c r="H575" s="46"/>
      <c r="I575" s="46"/>
      <c r="J575" s="46"/>
      <c r="K575" s="46"/>
      <c r="L575" s="71"/>
      <c r="M575" s="60"/>
      <c r="N575" s="60"/>
      <c r="O575" s="60"/>
      <c r="P575" s="60"/>
      <c r="W575" s="2"/>
      <c r="X575" s="2"/>
    </row>
    <row r="576" spans="1:24" ht="15.75" customHeight="1" x14ac:dyDescent="0.2">
      <c r="A576" s="44"/>
      <c r="B576" s="47"/>
      <c r="C576" s="50"/>
      <c r="D576" s="50"/>
      <c r="E576" s="50"/>
      <c r="F576" s="50"/>
      <c r="G576" s="46"/>
      <c r="H576" s="46"/>
      <c r="I576" s="46"/>
      <c r="J576" s="46"/>
      <c r="K576" s="46"/>
      <c r="L576" s="71"/>
      <c r="M576" s="60"/>
      <c r="N576" s="60"/>
      <c r="O576" s="60"/>
      <c r="P576" s="60"/>
      <c r="W576" s="2"/>
      <c r="X576" s="2"/>
    </row>
    <row r="577" spans="1:24" ht="15.75" customHeight="1" x14ac:dyDescent="0.2">
      <c r="A577" s="44"/>
      <c r="B577" s="47"/>
      <c r="C577" s="50"/>
      <c r="D577" s="50"/>
      <c r="E577" s="50"/>
      <c r="F577" s="50"/>
      <c r="G577" s="46"/>
      <c r="H577" s="46"/>
      <c r="I577" s="46"/>
      <c r="J577" s="46"/>
      <c r="K577" s="46"/>
      <c r="L577" s="71"/>
      <c r="M577" s="60"/>
      <c r="N577" s="60"/>
      <c r="O577" s="60"/>
      <c r="P577" s="60"/>
      <c r="W577" s="2"/>
      <c r="X577" s="2"/>
    </row>
    <row r="578" spans="1:24" ht="15.75" customHeight="1" x14ac:dyDescent="0.2">
      <c r="A578" s="44"/>
      <c r="B578" s="47"/>
      <c r="C578" s="50"/>
      <c r="D578" s="50"/>
      <c r="E578" s="50"/>
      <c r="F578" s="50"/>
      <c r="G578" s="46"/>
      <c r="H578" s="46"/>
      <c r="I578" s="46"/>
      <c r="J578" s="46"/>
      <c r="K578" s="46"/>
      <c r="L578" s="71"/>
      <c r="M578" s="60"/>
      <c r="N578" s="60"/>
      <c r="O578" s="60"/>
      <c r="P578" s="60"/>
      <c r="W578" s="2"/>
      <c r="X578" s="2"/>
    </row>
    <row r="579" spans="1:24" ht="15.75" customHeight="1" x14ac:dyDescent="0.2">
      <c r="A579" s="44"/>
      <c r="B579" s="47"/>
      <c r="C579" s="50"/>
      <c r="D579" s="50"/>
      <c r="E579" s="50"/>
      <c r="F579" s="50"/>
      <c r="G579" s="46"/>
      <c r="H579" s="46"/>
      <c r="I579" s="46"/>
      <c r="J579" s="46"/>
      <c r="K579" s="46"/>
      <c r="L579" s="71"/>
      <c r="M579" s="60"/>
      <c r="N579" s="60"/>
      <c r="O579" s="60"/>
      <c r="P579" s="60"/>
      <c r="W579" s="2"/>
      <c r="X579" s="2"/>
    </row>
    <row r="580" spans="1:24" ht="15.75" customHeight="1" x14ac:dyDescent="0.2">
      <c r="A580" s="44"/>
      <c r="B580" s="47"/>
      <c r="C580" s="50"/>
      <c r="D580" s="50"/>
      <c r="E580" s="50"/>
      <c r="F580" s="50"/>
      <c r="G580" s="46"/>
      <c r="H580" s="46"/>
      <c r="I580" s="46"/>
      <c r="J580" s="46"/>
      <c r="K580" s="46"/>
      <c r="L580" s="71"/>
      <c r="M580" s="60"/>
      <c r="N580" s="60"/>
      <c r="O580" s="60"/>
      <c r="P580" s="60"/>
      <c r="W580" s="2"/>
      <c r="X580" s="2"/>
    </row>
    <row r="581" spans="1:24" ht="15.75" customHeight="1" x14ac:dyDescent="0.2">
      <c r="A581" s="44"/>
      <c r="B581" s="47"/>
      <c r="C581" s="50"/>
      <c r="D581" s="50"/>
      <c r="E581" s="50"/>
      <c r="F581" s="50"/>
      <c r="G581" s="46"/>
      <c r="H581" s="46"/>
      <c r="I581" s="46"/>
      <c r="J581" s="46"/>
      <c r="K581" s="46"/>
      <c r="L581" s="71"/>
      <c r="M581" s="60"/>
      <c r="N581" s="60"/>
      <c r="O581" s="60"/>
      <c r="P581" s="60"/>
      <c r="W581" s="2"/>
      <c r="X581" s="2"/>
    </row>
    <row r="582" spans="1:24" ht="15.75" customHeight="1" x14ac:dyDescent="0.2">
      <c r="A582" s="44"/>
      <c r="B582" s="47"/>
      <c r="C582" s="50"/>
      <c r="D582" s="50"/>
      <c r="E582" s="50"/>
      <c r="F582" s="50"/>
      <c r="G582" s="46"/>
      <c r="H582" s="46"/>
      <c r="I582" s="46"/>
      <c r="J582" s="46"/>
      <c r="K582" s="46"/>
      <c r="L582" s="71"/>
      <c r="M582" s="60"/>
      <c r="N582" s="60"/>
      <c r="O582" s="60"/>
      <c r="P582" s="60"/>
      <c r="W582" s="2"/>
      <c r="X582" s="2"/>
    </row>
    <row r="583" spans="1:24" ht="15.75" customHeight="1" x14ac:dyDescent="0.2">
      <c r="A583" s="44"/>
      <c r="B583" s="47"/>
      <c r="C583" s="50"/>
      <c r="D583" s="50"/>
      <c r="E583" s="50"/>
      <c r="F583" s="50"/>
      <c r="G583" s="46"/>
      <c r="H583" s="46"/>
      <c r="I583" s="46"/>
      <c r="J583" s="46"/>
      <c r="K583" s="46"/>
      <c r="L583" s="71"/>
      <c r="M583" s="60"/>
      <c r="N583" s="60"/>
      <c r="O583" s="60"/>
      <c r="P583" s="60"/>
      <c r="W583" s="2"/>
      <c r="X583" s="2"/>
    </row>
    <row r="584" spans="1:24" ht="15.75" customHeight="1" x14ac:dyDescent="0.2">
      <c r="A584" s="44"/>
      <c r="B584" s="47"/>
      <c r="C584" s="50"/>
      <c r="D584" s="50"/>
      <c r="E584" s="50"/>
      <c r="F584" s="50"/>
      <c r="G584" s="46"/>
      <c r="H584" s="46"/>
      <c r="I584" s="46"/>
      <c r="J584" s="46"/>
      <c r="K584" s="46"/>
      <c r="L584" s="71"/>
      <c r="M584" s="60"/>
      <c r="N584" s="60"/>
      <c r="O584" s="60"/>
      <c r="P584" s="60"/>
      <c r="W584" s="2"/>
      <c r="X584" s="2"/>
    </row>
    <row r="585" spans="1:24" ht="15.75" customHeight="1" x14ac:dyDescent="0.2">
      <c r="A585" s="44"/>
      <c r="B585" s="47"/>
      <c r="C585" s="50"/>
      <c r="D585" s="50"/>
      <c r="E585" s="50"/>
      <c r="F585" s="50"/>
      <c r="G585" s="46"/>
      <c r="H585" s="46"/>
      <c r="I585" s="46"/>
      <c r="J585" s="46"/>
      <c r="K585" s="46"/>
      <c r="L585" s="71"/>
      <c r="M585" s="60"/>
      <c r="N585" s="60"/>
      <c r="O585" s="60"/>
      <c r="P585" s="60"/>
      <c r="W585" s="2"/>
      <c r="X585" s="2"/>
    </row>
    <row r="586" spans="1:24" ht="15.75" customHeight="1" x14ac:dyDescent="0.2">
      <c r="A586" s="44"/>
      <c r="B586" s="47"/>
      <c r="C586" s="50"/>
      <c r="D586" s="50"/>
      <c r="E586" s="50"/>
      <c r="F586" s="50"/>
      <c r="G586" s="46"/>
      <c r="H586" s="46"/>
      <c r="I586" s="46"/>
      <c r="J586" s="46"/>
      <c r="K586" s="46"/>
      <c r="L586" s="71"/>
      <c r="M586" s="60"/>
      <c r="N586" s="60"/>
      <c r="O586" s="60"/>
      <c r="P586" s="60"/>
      <c r="W586" s="2"/>
      <c r="X586" s="2"/>
    </row>
    <row r="587" spans="1:24" ht="15.75" customHeight="1" x14ac:dyDescent="0.2">
      <c r="A587" s="44"/>
      <c r="B587" s="47"/>
      <c r="C587" s="50"/>
      <c r="D587" s="50"/>
      <c r="E587" s="50"/>
      <c r="F587" s="50"/>
      <c r="G587" s="46"/>
      <c r="H587" s="46"/>
      <c r="I587" s="46"/>
      <c r="J587" s="46"/>
      <c r="K587" s="46"/>
      <c r="L587" s="71"/>
      <c r="M587" s="60"/>
      <c r="N587" s="60"/>
      <c r="O587" s="60"/>
      <c r="P587" s="60"/>
      <c r="W587" s="2"/>
      <c r="X587" s="2"/>
    </row>
    <row r="588" spans="1:24" ht="15.75" customHeight="1" x14ac:dyDescent="0.2">
      <c r="A588" s="44"/>
      <c r="B588" s="47"/>
      <c r="C588" s="50"/>
      <c r="D588" s="50"/>
      <c r="E588" s="50"/>
      <c r="F588" s="50"/>
      <c r="G588" s="46"/>
      <c r="H588" s="46"/>
      <c r="I588" s="46"/>
      <c r="J588" s="46"/>
      <c r="K588" s="46"/>
      <c r="L588" s="71"/>
      <c r="M588" s="60"/>
      <c r="N588" s="60"/>
      <c r="O588" s="60"/>
      <c r="P588" s="60"/>
      <c r="W588" s="2"/>
      <c r="X588" s="2"/>
    </row>
    <row r="589" spans="1:24" ht="15.75" customHeight="1" x14ac:dyDescent="0.2">
      <c r="A589" s="44"/>
      <c r="B589" s="47"/>
      <c r="C589" s="50"/>
      <c r="D589" s="50"/>
      <c r="E589" s="50"/>
      <c r="F589" s="50"/>
      <c r="G589" s="46"/>
      <c r="H589" s="46"/>
      <c r="I589" s="46"/>
      <c r="J589" s="46"/>
      <c r="K589" s="46"/>
      <c r="L589" s="71"/>
      <c r="M589" s="60"/>
      <c r="N589" s="60"/>
      <c r="O589" s="60"/>
      <c r="P589" s="60"/>
      <c r="W589" s="2"/>
      <c r="X589" s="2"/>
    </row>
    <row r="590" spans="1:24" ht="15.75" customHeight="1" x14ac:dyDescent="0.2">
      <c r="A590" s="44"/>
      <c r="B590" s="47"/>
      <c r="C590" s="50"/>
      <c r="D590" s="50"/>
      <c r="E590" s="50"/>
      <c r="F590" s="50"/>
      <c r="G590" s="46"/>
      <c r="H590" s="46"/>
      <c r="I590" s="46"/>
      <c r="J590" s="46"/>
      <c r="K590" s="46"/>
      <c r="L590" s="71"/>
      <c r="M590" s="60"/>
      <c r="N590" s="60"/>
      <c r="O590" s="60"/>
      <c r="P590" s="60"/>
      <c r="W590" s="2"/>
      <c r="X590" s="2"/>
    </row>
    <row r="591" spans="1:24" ht="15.75" customHeight="1" x14ac:dyDescent="0.2">
      <c r="A591" s="44"/>
      <c r="B591" s="47"/>
      <c r="C591" s="50"/>
      <c r="D591" s="50"/>
      <c r="E591" s="50"/>
      <c r="F591" s="50"/>
      <c r="G591" s="46"/>
      <c r="H591" s="46"/>
      <c r="I591" s="46"/>
      <c r="J591" s="46"/>
      <c r="K591" s="46"/>
      <c r="L591" s="71"/>
      <c r="M591" s="60"/>
      <c r="N591" s="60"/>
      <c r="O591" s="60"/>
      <c r="P591" s="60"/>
      <c r="W591" s="2"/>
      <c r="X591" s="2"/>
    </row>
    <row r="592" spans="1:24" ht="15.75" customHeight="1" x14ac:dyDescent="0.2">
      <c r="A592" s="44"/>
      <c r="B592" s="47"/>
      <c r="C592" s="50"/>
      <c r="D592" s="50"/>
      <c r="E592" s="50"/>
      <c r="F592" s="50"/>
      <c r="G592" s="46"/>
      <c r="H592" s="46"/>
      <c r="I592" s="46"/>
      <c r="J592" s="46"/>
      <c r="K592" s="46"/>
      <c r="L592" s="71"/>
      <c r="M592" s="60"/>
      <c r="N592" s="60"/>
      <c r="O592" s="60"/>
      <c r="P592" s="60"/>
      <c r="W592" s="2"/>
      <c r="X592" s="2"/>
    </row>
    <row r="593" spans="1:24" ht="15.75" customHeight="1" x14ac:dyDescent="0.2">
      <c r="A593" s="44"/>
      <c r="B593" s="47"/>
      <c r="C593" s="50"/>
      <c r="D593" s="50"/>
      <c r="E593" s="50"/>
      <c r="F593" s="50"/>
      <c r="G593" s="46"/>
      <c r="H593" s="46"/>
      <c r="I593" s="46"/>
      <c r="J593" s="46"/>
      <c r="K593" s="46"/>
      <c r="L593" s="71"/>
      <c r="M593" s="60"/>
      <c r="N593" s="60"/>
      <c r="O593" s="60"/>
      <c r="P593" s="60"/>
      <c r="W593" s="2"/>
      <c r="X593" s="2"/>
    </row>
    <row r="594" spans="1:24" ht="15.75" customHeight="1" x14ac:dyDescent="0.2">
      <c r="A594" s="44"/>
      <c r="B594" s="47"/>
      <c r="C594" s="50"/>
      <c r="D594" s="50"/>
      <c r="E594" s="50"/>
      <c r="F594" s="50"/>
      <c r="G594" s="46"/>
      <c r="H594" s="46"/>
      <c r="I594" s="46"/>
      <c r="J594" s="46"/>
      <c r="K594" s="46"/>
      <c r="L594" s="71"/>
      <c r="M594" s="60"/>
      <c r="N594" s="60"/>
      <c r="O594" s="60"/>
      <c r="P594" s="60"/>
      <c r="W594" s="2"/>
      <c r="X594" s="2"/>
    </row>
    <row r="595" spans="1:24" ht="15.75" customHeight="1" x14ac:dyDescent="0.2">
      <c r="A595" s="44"/>
      <c r="B595" s="47"/>
      <c r="C595" s="50"/>
      <c r="D595" s="50"/>
      <c r="E595" s="50"/>
      <c r="F595" s="50"/>
      <c r="G595" s="46"/>
      <c r="H595" s="46"/>
      <c r="I595" s="46"/>
      <c r="J595" s="46"/>
      <c r="K595" s="46"/>
      <c r="L595" s="71"/>
      <c r="M595" s="60"/>
      <c r="N595" s="60"/>
      <c r="O595" s="60"/>
      <c r="P595" s="60"/>
      <c r="W595" s="2"/>
      <c r="X595" s="2"/>
    </row>
    <row r="596" spans="1:24" ht="15.75" customHeight="1" x14ac:dyDescent="0.2">
      <c r="A596" s="44"/>
      <c r="B596" s="47"/>
      <c r="C596" s="50"/>
      <c r="D596" s="50"/>
      <c r="E596" s="50"/>
      <c r="F596" s="50"/>
      <c r="G596" s="46"/>
      <c r="H596" s="46"/>
      <c r="I596" s="46"/>
      <c r="J596" s="46"/>
      <c r="K596" s="46"/>
      <c r="L596" s="71"/>
      <c r="M596" s="60"/>
      <c r="N596" s="60"/>
      <c r="O596" s="60"/>
      <c r="P596" s="60"/>
      <c r="W596" s="2"/>
      <c r="X596" s="2"/>
    </row>
    <row r="597" spans="1:24" ht="15.75" customHeight="1" x14ac:dyDescent="0.2">
      <c r="A597" s="44"/>
      <c r="B597" s="47"/>
      <c r="C597" s="50"/>
      <c r="D597" s="50"/>
      <c r="E597" s="50"/>
      <c r="F597" s="50"/>
      <c r="G597" s="46"/>
      <c r="H597" s="46"/>
      <c r="I597" s="46"/>
      <c r="J597" s="46"/>
      <c r="K597" s="46"/>
      <c r="L597" s="71"/>
      <c r="M597" s="60"/>
      <c r="N597" s="60"/>
      <c r="O597" s="60"/>
      <c r="P597" s="60"/>
      <c r="W597" s="2"/>
      <c r="X597" s="2"/>
    </row>
    <row r="598" spans="1:24" ht="15.75" customHeight="1" x14ac:dyDescent="0.2">
      <c r="A598" s="44"/>
      <c r="B598" s="47"/>
      <c r="C598" s="50"/>
      <c r="D598" s="50"/>
      <c r="E598" s="50"/>
      <c r="F598" s="50"/>
      <c r="G598" s="46"/>
      <c r="H598" s="46"/>
      <c r="I598" s="46"/>
      <c r="J598" s="46"/>
      <c r="K598" s="46"/>
      <c r="L598" s="71"/>
      <c r="M598" s="60"/>
      <c r="N598" s="60"/>
      <c r="O598" s="60"/>
      <c r="P598" s="60"/>
      <c r="W598" s="2"/>
      <c r="X598" s="2"/>
    </row>
    <row r="599" spans="1:24" ht="15.75" customHeight="1" x14ac:dyDescent="0.2">
      <c r="A599" s="44"/>
      <c r="B599" s="47"/>
      <c r="C599" s="50"/>
      <c r="D599" s="50"/>
      <c r="E599" s="50"/>
      <c r="F599" s="50"/>
      <c r="G599" s="46"/>
      <c r="H599" s="46"/>
      <c r="I599" s="46"/>
      <c r="J599" s="46"/>
      <c r="K599" s="46"/>
      <c r="L599" s="71"/>
      <c r="M599" s="60"/>
      <c r="N599" s="60"/>
      <c r="O599" s="60"/>
      <c r="P599" s="60"/>
      <c r="W599" s="2"/>
      <c r="X599" s="2"/>
    </row>
    <row r="600" spans="1:24" ht="15.75" customHeight="1" x14ac:dyDescent="0.2">
      <c r="A600" s="44"/>
      <c r="B600" s="47"/>
      <c r="C600" s="50"/>
      <c r="D600" s="50"/>
      <c r="E600" s="50"/>
      <c r="F600" s="50"/>
      <c r="G600" s="46"/>
      <c r="H600" s="46"/>
      <c r="I600" s="46"/>
      <c r="J600" s="46"/>
      <c r="K600" s="46"/>
      <c r="L600" s="71"/>
      <c r="M600" s="60"/>
      <c r="N600" s="60"/>
      <c r="O600" s="60"/>
      <c r="P600" s="60"/>
      <c r="W600" s="2"/>
      <c r="X600" s="2"/>
    </row>
    <row r="601" spans="1:24" ht="15.75" customHeight="1" x14ac:dyDescent="0.2">
      <c r="A601" s="44"/>
      <c r="B601" s="47"/>
      <c r="C601" s="50"/>
      <c r="D601" s="50"/>
      <c r="E601" s="50"/>
      <c r="F601" s="50"/>
      <c r="G601" s="46"/>
      <c r="H601" s="46"/>
      <c r="I601" s="46"/>
      <c r="J601" s="46"/>
      <c r="K601" s="46"/>
      <c r="L601" s="71"/>
      <c r="M601" s="60"/>
      <c r="N601" s="60"/>
      <c r="O601" s="60"/>
      <c r="P601" s="60"/>
      <c r="W601" s="2"/>
      <c r="X601" s="2"/>
    </row>
    <row r="602" spans="1:24" ht="15.75" customHeight="1" x14ac:dyDescent="0.2">
      <c r="A602" s="44"/>
      <c r="B602" s="47"/>
      <c r="C602" s="50"/>
      <c r="D602" s="50"/>
      <c r="E602" s="50"/>
      <c r="F602" s="50"/>
      <c r="G602" s="46"/>
      <c r="H602" s="46"/>
      <c r="I602" s="46"/>
      <c r="J602" s="46"/>
      <c r="K602" s="46"/>
      <c r="L602" s="71"/>
      <c r="M602" s="60"/>
      <c r="N602" s="60"/>
      <c r="O602" s="60"/>
      <c r="P602" s="60"/>
      <c r="W602" s="2"/>
      <c r="X602" s="2"/>
    </row>
    <row r="603" spans="1:24" ht="15.75" customHeight="1" x14ac:dyDescent="0.2">
      <c r="A603" s="44"/>
      <c r="B603" s="47"/>
      <c r="C603" s="50"/>
      <c r="D603" s="50"/>
      <c r="E603" s="50"/>
      <c r="F603" s="50"/>
      <c r="G603" s="46"/>
      <c r="H603" s="46"/>
      <c r="I603" s="46"/>
      <c r="J603" s="46"/>
      <c r="K603" s="46"/>
      <c r="L603" s="71"/>
      <c r="M603" s="60"/>
      <c r="N603" s="60"/>
      <c r="O603" s="60"/>
      <c r="P603" s="60"/>
      <c r="W603" s="2"/>
      <c r="X603" s="2"/>
    </row>
    <row r="604" spans="1:24" ht="15.75" customHeight="1" x14ac:dyDescent="0.2">
      <c r="A604" s="44"/>
      <c r="B604" s="47"/>
      <c r="C604" s="50"/>
      <c r="D604" s="50"/>
      <c r="E604" s="50"/>
      <c r="F604" s="50"/>
      <c r="G604" s="46"/>
      <c r="H604" s="46"/>
      <c r="I604" s="46"/>
      <c r="J604" s="46"/>
      <c r="K604" s="46"/>
      <c r="L604" s="71"/>
      <c r="M604" s="60"/>
      <c r="N604" s="60"/>
      <c r="O604" s="60"/>
      <c r="P604" s="60"/>
      <c r="W604" s="2"/>
      <c r="X604" s="2"/>
    </row>
    <row r="605" spans="1:24" ht="15.75" customHeight="1" x14ac:dyDescent="0.2">
      <c r="A605" s="44"/>
      <c r="B605" s="47"/>
      <c r="C605" s="50"/>
      <c r="D605" s="50"/>
      <c r="E605" s="50"/>
      <c r="F605" s="50"/>
      <c r="G605" s="46"/>
      <c r="H605" s="46"/>
      <c r="I605" s="46"/>
      <c r="J605" s="46"/>
      <c r="K605" s="46"/>
      <c r="L605" s="71"/>
      <c r="M605" s="60"/>
      <c r="N605" s="60"/>
      <c r="O605" s="60"/>
      <c r="P605" s="60"/>
      <c r="W605" s="2"/>
      <c r="X605" s="2"/>
    </row>
    <row r="606" spans="1:24" ht="15.75" customHeight="1" x14ac:dyDescent="0.2">
      <c r="A606" s="44"/>
      <c r="B606" s="47"/>
      <c r="C606" s="50"/>
      <c r="D606" s="50"/>
      <c r="E606" s="50"/>
      <c r="F606" s="50"/>
      <c r="G606" s="46"/>
      <c r="H606" s="46"/>
      <c r="I606" s="46"/>
      <c r="J606" s="46"/>
      <c r="K606" s="46"/>
      <c r="L606" s="71"/>
      <c r="M606" s="60"/>
      <c r="N606" s="60"/>
      <c r="O606" s="60"/>
      <c r="P606" s="60"/>
      <c r="W606" s="2"/>
      <c r="X606" s="2"/>
    </row>
    <row r="607" spans="1:24" ht="15.75" customHeight="1" x14ac:dyDescent="0.2">
      <c r="A607" s="44"/>
      <c r="B607" s="47"/>
      <c r="C607" s="50"/>
      <c r="D607" s="50"/>
      <c r="E607" s="50"/>
      <c r="F607" s="50"/>
      <c r="G607" s="46"/>
      <c r="H607" s="46"/>
      <c r="I607" s="46"/>
      <c r="J607" s="46"/>
      <c r="K607" s="46"/>
      <c r="L607" s="71"/>
      <c r="M607" s="60"/>
      <c r="N607" s="60"/>
      <c r="O607" s="60"/>
      <c r="P607" s="60"/>
      <c r="W607" s="2"/>
      <c r="X607" s="2"/>
    </row>
    <row r="608" spans="1:24" ht="15.75" customHeight="1" x14ac:dyDescent="0.2">
      <c r="A608" s="44"/>
      <c r="B608" s="47"/>
      <c r="C608" s="50"/>
      <c r="D608" s="50"/>
      <c r="E608" s="50"/>
      <c r="F608" s="50"/>
      <c r="G608" s="46"/>
      <c r="H608" s="46"/>
      <c r="I608" s="46"/>
      <c r="J608" s="46"/>
      <c r="K608" s="46"/>
      <c r="L608" s="71"/>
      <c r="M608" s="60"/>
      <c r="N608" s="60"/>
      <c r="O608" s="60"/>
      <c r="P608" s="60"/>
      <c r="W608" s="2"/>
      <c r="X608" s="2"/>
    </row>
    <row r="609" spans="1:24" ht="15.75" customHeight="1" x14ac:dyDescent="0.2">
      <c r="A609" s="44"/>
      <c r="B609" s="47"/>
      <c r="C609" s="50"/>
      <c r="D609" s="50"/>
      <c r="E609" s="50"/>
      <c r="F609" s="50"/>
      <c r="G609" s="46"/>
      <c r="H609" s="46"/>
      <c r="I609" s="46"/>
      <c r="J609" s="46"/>
      <c r="K609" s="46"/>
      <c r="L609" s="71"/>
      <c r="M609" s="60"/>
      <c r="N609" s="60"/>
      <c r="O609" s="60"/>
      <c r="P609" s="60"/>
      <c r="W609" s="2"/>
      <c r="X609" s="2"/>
    </row>
    <row r="610" spans="1:24" ht="15.75" customHeight="1" x14ac:dyDescent="0.2">
      <c r="A610" s="44"/>
      <c r="B610" s="47"/>
      <c r="C610" s="50"/>
      <c r="D610" s="50"/>
      <c r="E610" s="50"/>
      <c r="F610" s="50"/>
      <c r="G610" s="46"/>
      <c r="H610" s="46"/>
      <c r="I610" s="46"/>
      <c r="J610" s="46"/>
      <c r="K610" s="46"/>
      <c r="L610" s="71"/>
      <c r="M610" s="60"/>
      <c r="N610" s="60"/>
      <c r="O610" s="60"/>
      <c r="P610" s="60"/>
      <c r="W610" s="2"/>
      <c r="X610" s="2"/>
    </row>
    <row r="611" spans="1:24" ht="15.75" customHeight="1" x14ac:dyDescent="0.2">
      <c r="A611" s="44"/>
      <c r="B611" s="47"/>
      <c r="C611" s="50"/>
      <c r="D611" s="50"/>
      <c r="E611" s="50"/>
      <c r="F611" s="50"/>
      <c r="G611" s="46"/>
      <c r="H611" s="46"/>
      <c r="I611" s="46"/>
      <c r="J611" s="46"/>
      <c r="K611" s="46"/>
      <c r="L611" s="71"/>
      <c r="M611" s="60"/>
      <c r="N611" s="60"/>
      <c r="O611" s="60"/>
      <c r="P611" s="60"/>
      <c r="W611" s="2"/>
      <c r="X611" s="2"/>
    </row>
    <row r="612" spans="1:24" ht="15.75" customHeight="1" x14ac:dyDescent="0.2">
      <c r="A612" s="44"/>
      <c r="B612" s="47"/>
      <c r="C612" s="50"/>
      <c r="D612" s="50"/>
      <c r="E612" s="50"/>
      <c r="F612" s="50"/>
      <c r="G612" s="46"/>
      <c r="H612" s="46"/>
      <c r="I612" s="46"/>
      <c r="J612" s="46"/>
      <c r="K612" s="46"/>
      <c r="L612" s="71"/>
      <c r="M612" s="60"/>
      <c r="N612" s="60"/>
      <c r="O612" s="60"/>
      <c r="P612" s="60"/>
      <c r="W612" s="2"/>
      <c r="X612" s="2"/>
    </row>
    <row r="613" spans="1:24" ht="15.75" customHeight="1" x14ac:dyDescent="0.2">
      <c r="A613" s="44"/>
      <c r="B613" s="47"/>
      <c r="C613" s="50"/>
      <c r="D613" s="50"/>
      <c r="E613" s="50"/>
      <c r="F613" s="50"/>
      <c r="G613" s="46"/>
      <c r="H613" s="46"/>
      <c r="I613" s="46"/>
      <c r="J613" s="46"/>
      <c r="K613" s="46"/>
      <c r="L613" s="71"/>
      <c r="M613" s="60"/>
      <c r="N613" s="60"/>
      <c r="O613" s="60"/>
      <c r="P613" s="60"/>
      <c r="W613" s="2"/>
      <c r="X613" s="2"/>
    </row>
    <row r="614" spans="1:24" ht="15.75" customHeight="1" x14ac:dyDescent="0.2">
      <c r="A614" s="44"/>
      <c r="B614" s="47"/>
      <c r="C614" s="50"/>
      <c r="D614" s="50"/>
      <c r="E614" s="50"/>
      <c r="F614" s="50"/>
      <c r="G614" s="46"/>
      <c r="H614" s="46"/>
      <c r="I614" s="46"/>
      <c r="J614" s="46"/>
      <c r="K614" s="46"/>
      <c r="L614" s="71"/>
      <c r="M614" s="60"/>
      <c r="N614" s="60"/>
      <c r="O614" s="60"/>
      <c r="P614" s="60"/>
      <c r="W614" s="2"/>
      <c r="X614" s="2"/>
    </row>
    <row r="615" spans="1:24" ht="15.75" customHeight="1" x14ac:dyDescent="0.2">
      <c r="A615" s="44"/>
      <c r="B615" s="47"/>
      <c r="C615" s="50"/>
      <c r="D615" s="50"/>
      <c r="E615" s="50"/>
      <c r="F615" s="50"/>
      <c r="G615" s="46"/>
      <c r="H615" s="46"/>
      <c r="I615" s="46"/>
      <c r="J615" s="46"/>
      <c r="K615" s="46"/>
      <c r="L615" s="71"/>
      <c r="M615" s="60"/>
      <c r="N615" s="60"/>
      <c r="O615" s="60"/>
      <c r="P615" s="60"/>
      <c r="W615" s="2"/>
      <c r="X615" s="2"/>
    </row>
    <row r="616" spans="1:24" ht="15.75" customHeight="1" x14ac:dyDescent="0.2">
      <c r="A616" s="44"/>
      <c r="B616" s="47"/>
      <c r="C616" s="50"/>
      <c r="D616" s="50"/>
      <c r="E616" s="50"/>
      <c r="F616" s="50"/>
      <c r="G616" s="46"/>
      <c r="H616" s="46"/>
      <c r="I616" s="46"/>
      <c r="J616" s="46"/>
      <c r="K616" s="46"/>
      <c r="L616" s="71"/>
      <c r="M616" s="60"/>
      <c r="N616" s="60"/>
      <c r="O616" s="60"/>
      <c r="P616" s="60"/>
      <c r="W616" s="2"/>
      <c r="X616" s="2"/>
    </row>
    <row r="617" spans="1:24" ht="15.75" customHeight="1" x14ac:dyDescent="0.2">
      <c r="A617" s="44"/>
      <c r="B617" s="47"/>
      <c r="C617" s="50"/>
      <c r="D617" s="50"/>
      <c r="E617" s="50"/>
      <c r="F617" s="50"/>
      <c r="G617" s="46"/>
      <c r="H617" s="46"/>
      <c r="I617" s="46"/>
      <c r="J617" s="46"/>
      <c r="K617" s="46"/>
      <c r="L617" s="71"/>
      <c r="M617" s="60"/>
      <c r="N617" s="60"/>
      <c r="O617" s="60"/>
      <c r="P617" s="60"/>
      <c r="W617" s="2"/>
      <c r="X617" s="2"/>
    </row>
    <row r="618" spans="1:24" ht="15.75" customHeight="1" x14ac:dyDescent="0.2">
      <c r="A618" s="44"/>
      <c r="B618" s="47"/>
      <c r="C618" s="50"/>
      <c r="D618" s="50"/>
      <c r="E618" s="50"/>
      <c r="F618" s="50"/>
      <c r="G618" s="46"/>
      <c r="H618" s="46"/>
      <c r="I618" s="46"/>
      <c r="J618" s="46"/>
      <c r="K618" s="46"/>
      <c r="L618" s="71"/>
      <c r="M618" s="60"/>
      <c r="N618" s="60"/>
      <c r="O618" s="60"/>
      <c r="P618" s="60"/>
      <c r="W618" s="2"/>
      <c r="X618" s="2"/>
    </row>
    <row r="619" spans="1:24" ht="15.75" customHeight="1" x14ac:dyDescent="0.2">
      <c r="A619" s="44"/>
      <c r="B619" s="47"/>
      <c r="C619" s="50"/>
      <c r="D619" s="50"/>
      <c r="E619" s="50"/>
      <c r="F619" s="50"/>
      <c r="G619" s="46"/>
      <c r="H619" s="46"/>
      <c r="I619" s="46"/>
      <c r="J619" s="46"/>
      <c r="K619" s="46"/>
      <c r="L619" s="71"/>
      <c r="M619" s="60"/>
      <c r="N619" s="60"/>
      <c r="O619" s="60"/>
      <c r="P619" s="60"/>
      <c r="W619" s="2"/>
      <c r="X619" s="2"/>
    </row>
    <row r="620" spans="1:24" ht="15.75" customHeight="1" x14ac:dyDescent="0.2">
      <c r="A620" s="44"/>
      <c r="B620" s="47"/>
      <c r="C620" s="50"/>
      <c r="D620" s="50"/>
      <c r="E620" s="50"/>
      <c r="F620" s="50"/>
      <c r="G620" s="46"/>
      <c r="H620" s="46"/>
      <c r="I620" s="46"/>
      <c r="J620" s="46"/>
      <c r="K620" s="46"/>
      <c r="L620" s="71"/>
      <c r="M620" s="60"/>
      <c r="N620" s="60"/>
      <c r="O620" s="60"/>
      <c r="P620" s="60"/>
      <c r="W620" s="2"/>
      <c r="X620" s="2"/>
    </row>
    <row r="621" spans="1:24" ht="15.75" customHeight="1" x14ac:dyDescent="0.2">
      <c r="A621" s="44"/>
      <c r="B621" s="47"/>
      <c r="C621" s="50"/>
      <c r="D621" s="50"/>
      <c r="E621" s="50"/>
      <c r="F621" s="50"/>
      <c r="G621" s="46"/>
      <c r="H621" s="46"/>
      <c r="I621" s="46"/>
      <c r="J621" s="46"/>
      <c r="K621" s="46"/>
      <c r="L621" s="71"/>
      <c r="M621" s="60"/>
      <c r="N621" s="60"/>
      <c r="O621" s="60"/>
      <c r="P621" s="60"/>
      <c r="W621" s="2"/>
      <c r="X621" s="2"/>
    </row>
    <row r="622" spans="1:24" ht="15.75" customHeight="1" x14ac:dyDescent="0.2">
      <c r="A622" s="44"/>
      <c r="B622" s="47"/>
      <c r="C622" s="50"/>
      <c r="D622" s="50"/>
      <c r="E622" s="50"/>
      <c r="F622" s="50"/>
      <c r="G622" s="46"/>
      <c r="H622" s="46"/>
      <c r="I622" s="46"/>
      <c r="J622" s="46"/>
      <c r="K622" s="46"/>
      <c r="L622" s="71"/>
      <c r="M622" s="60"/>
      <c r="N622" s="60"/>
      <c r="O622" s="60"/>
      <c r="P622" s="60"/>
      <c r="W622" s="2"/>
      <c r="X622" s="2"/>
    </row>
    <row r="623" spans="1:24" ht="15.75" customHeight="1" x14ac:dyDescent="0.2">
      <c r="A623" s="44"/>
      <c r="B623" s="47"/>
      <c r="C623" s="50"/>
      <c r="D623" s="50"/>
      <c r="E623" s="50"/>
      <c r="F623" s="50"/>
      <c r="G623" s="46"/>
      <c r="H623" s="46"/>
      <c r="I623" s="46"/>
      <c r="J623" s="46"/>
      <c r="K623" s="46"/>
      <c r="L623" s="71"/>
      <c r="M623" s="60"/>
      <c r="N623" s="60"/>
      <c r="O623" s="60"/>
      <c r="P623" s="60"/>
      <c r="W623" s="2"/>
      <c r="X623" s="2"/>
    </row>
    <row r="624" spans="1:24" ht="15.75" customHeight="1" x14ac:dyDescent="0.2">
      <c r="A624" s="44"/>
      <c r="B624" s="47"/>
      <c r="C624" s="50"/>
      <c r="D624" s="50"/>
      <c r="E624" s="50"/>
      <c r="F624" s="50"/>
      <c r="G624" s="46"/>
      <c r="H624" s="46"/>
      <c r="I624" s="46"/>
      <c r="J624" s="46"/>
      <c r="K624" s="46"/>
      <c r="L624" s="71"/>
      <c r="M624" s="60"/>
      <c r="N624" s="60"/>
      <c r="O624" s="60"/>
      <c r="P624" s="60"/>
      <c r="W624" s="2"/>
      <c r="X624" s="2"/>
    </row>
    <row r="625" spans="1:24" ht="15.75" customHeight="1" x14ac:dyDescent="0.2">
      <c r="A625" s="44"/>
      <c r="B625" s="47"/>
      <c r="C625" s="50"/>
      <c r="D625" s="50"/>
      <c r="E625" s="50"/>
      <c r="F625" s="50"/>
      <c r="G625" s="46"/>
      <c r="H625" s="46"/>
      <c r="I625" s="46"/>
      <c r="J625" s="46"/>
      <c r="K625" s="46"/>
      <c r="L625" s="71"/>
      <c r="M625" s="60"/>
      <c r="N625" s="60"/>
      <c r="O625" s="60"/>
      <c r="P625" s="60"/>
      <c r="W625" s="2"/>
      <c r="X625" s="2"/>
    </row>
    <row r="626" spans="1:24" ht="15.75" customHeight="1" x14ac:dyDescent="0.2">
      <c r="A626" s="44"/>
      <c r="B626" s="47"/>
      <c r="C626" s="50"/>
      <c r="D626" s="50"/>
      <c r="E626" s="50"/>
      <c r="F626" s="50"/>
      <c r="G626" s="46"/>
      <c r="H626" s="46"/>
      <c r="I626" s="46"/>
      <c r="J626" s="46"/>
      <c r="K626" s="46"/>
      <c r="L626" s="71"/>
      <c r="M626" s="60"/>
      <c r="N626" s="60"/>
      <c r="O626" s="60"/>
      <c r="P626" s="60"/>
      <c r="W626" s="2"/>
      <c r="X626" s="2"/>
    </row>
    <row r="627" spans="1:24" ht="15.75" customHeight="1" x14ac:dyDescent="0.2">
      <c r="A627" s="44"/>
      <c r="B627" s="47"/>
      <c r="C627" s="50"/>
      <c r="D627" s="50"/>
      <c r="E627" s="50"/>
      <c r="F627" s="50"/>
      <c r="G627" s="46"/>
      <c r="H627" s="46"/>
      <c r="I627" s="46"/>
      <c r="J627" s="46"/>
      <c r="K627" s="46"/>
      <c r="L627" s="71"/>
      <c r="M627" s="60"/>
      <c r="N627" s="60"/>
      <c r="O627" s="60"/>
      <c r="P627" s="60"/>
      <c r="W627" s="2"/>
      <c r="X627" s="2"/>
    </row>
    <row r="628" spans="1:24" ht="15.75" customHeight="1" x14ac:dyDescent="0.2">
      <c r="A628" s="44"/>
      <c r="B628" s="47"/>
      <c r="C628" s="50"/>
      <c r="D628" s="50"/>
      <c r="E628" s="50"/>
      <c r="F628" s="50"/>
      <c r="G628" s="46"/>
      <c r="H628" s="46"/>
      <c r="I628" s="46"/>
      <c r="J628" s="46"/>
      <c r="K628" s="46"/>
      <c r="L628" s="71"/>
      <c r="M628" s="60"/>
      <c r="N628" s="60"/>
      <c r="O628" s="60"/>
      <c r="P628" s="60"/>
      <c r="W628" s="2"/>
      <c r="X628" s="2"/>
    </row>
    <row r="629" spans="1:24" ht="15.75" customHeight="1" x14ac:dyDescent="0.2">
      <c r="A629" s="44"/>
      <c r="B629" s="47"/>
      <c r="C629" s="50"/>
      <c r="D629" s="50"/>
      <c r="E629" s="50"/>
      <c r="F629" s="50"/>
      <c r="G629" s="46"/>
      <c r="H629" s="46"/>
      <c r="I629" s="46"/>
      <c r="J629" s="46"/>
      <c r="K629" s="46"/>
      <c r="L629" s="71"/>
      <c r="M629" s="60"/>
      <c r="N629" s="60"/>
      <c r="O629" s="60"/>
      <c r="P629" s="60"/>
      <c r="W629" s="2"/>
      <c r="X629" s="2"/>
    </row>
    <row r="630" spans="1:24" ht="15.75" customHeight="1" x14ac:dyDescent="0.2">
      <c r="A630" s="44"/>
      <c r="B630" s="47"/>
      <c r="C630" s="50"/>
      <c r="D630" s="50"/>
      <c r="E630" s="50"/>
      <c r="F630" s="50"/>
      <c r="G630" s="46"/>
      <c r="H630" s="46"/>
      <c r="I630" s="46"/>
      <c r="J630" s="46"/>
      <c r="K630" s="46"/>
      <c r="L630" s="71"/>
      <c r="M630" s="60"/>
      <c r="N630" s="60"/>
      <c r="O630" s="60"/>
      <c r="P630" s="60"/>
      <c r="W630" s="2"/>
      <c r="X630" s="2"/>
    </row>
    <row r="631" spans="1:24" ht="15.75" customHeight="1" x14ac:dyDescent="0.2">
      <c r="A631" s="44"/>
      <c r="B631" s="47"/>
      <c r="C631" s="50"/>
      <c r="D631" s="50"/>
      <c r="E631" s="50"/>
      <c r="F631" s="50"/>
      <c r="G631" s="46"/>
      <c r="H631" s="46"/>
      <c r="I631" s="46"/>
      <c r="J631" s="46"/>
      <c r="K631" s="46"/>
      <c r="L631" s="71"/>
      <c r="M631" s="60"/>
      <c r="N631" s="60"/>
      <c r="O631" s="60"/>
      <c r="P631" s="60"/>
      <c r="W631" s="2"/>
      <c r="X631" s="2"/>
    </row>
    <row r="632" spans="1:24" ht="15.75" customHeight="1" x14ac:dyDescent="0.2">
      <c r="A632" s="44"/>
      <c r="B632" s="47"/>
      <c r="C632" s="50"/>
      <c r="D632" s="50"/>
      <c r="E632" s="50"/>
      <c r="F632" s="50"/>
      <c r="G632" s="46"/>
      <c r="H632" s="46"/>
      <c r="I632" s="46"/>
      <c r="J632" s="46"/>
      <c r="K632" s="46"/>
      <c r="L632" s="71"/>
      <c r="M632" s="60"/>
      <c r="N632" s="60"/>
      <c r="O632" s="60"/>
      <c r="P632" s="60"/>
      <c r="W632" s="2"/>
      <c r="X632" s="2"/>
    </row>
    <row r="633" spans="1:24" ht="15.75" customHeight="1" x14ac:dyDescent="0.2">
      <c r="A633" s="44"/>
      <c r="B633" s="47"/>
      <c r="C633" s="50"/>
      <c r="D633" s="50"/>
      <c r="E633" s="50"/>
      <c r="F633" s="50"/>
      <c r="G633" s="46"/>
      <c r="H633" s="46"/>
      <c r="I633" s="46"/>
      <c r="J633" s="46"/>
      <c r="K633" s="46"/>
      <c r="L633" s="71"/>
      <c r="M633" s="60"/>
      <c r="N633" s="60"/>
      <c r="O633" s="60"/>
      <c r="P633" s="60"/>
      <c r="W633" s="2"/>
      <c r="X633" s="2"/>
    </row>
    <row r="634" spans="1:24" ht="15.75" customHeight="1" x14ac:dyDescent="0.2">
      <c r="A634" s="44"/>
      <c r="B634" s="47"/>
      <c r="C634" s="50"/>
      <c r="D634" s="50"/>
      <c r="E634" s="50"/>
      <c r="F634" s="50"/>
      <c r="G634" s="46"/>
      <c r="H634" s="46"/>
      <c r="I634" s="46"/>
      <c r="J634" s="46"/>
      <c r="K634" s="46"/>
      <c r="L634" s="71"/>
      <c r="M634" s="60"/>
      <c r="N634" s="60"/>
      <c r="O634" s="60"/>
      <c r="P634" s="60"/>
      <c r="W634" s="2"/>
      <c r="X634" s="2"/>
    </row>
    <row r="635" spans="1:24" ht="15.75" customHeight="1" x14ac:dyDescent="0.2">
      <c r="A635" s="44"/>
      <c r="B635" s="47"/>
      <c r="C635" s="50"/>
      <c r="D635" s="50"/>
      <c r="E635" s="50"/>
      <c r="F635" s="50"/>
      <c r="G635" s="46"/>
      <c r="H635" s="46"/>
      <c r="I635" s="46"/>
      <c r="J635" s="46"/>
      <c r="K635" s="46"/>
      <c r="L635" s="71"/>
      <c r="M635" s="60"/>
      <c r="N635" s="60"/>
      <c r="O635" s="60"/>
      <c r="P635" s="60"/>
      <c r="W635" s="2"/>
      <c r="X635" s="2"/>
    </row>
    <row r="636" spans="1:24" ht="15.75" customHeight="1" x14ac:dyDescent="0.2">
      <c r="A636" s="44"/>
      <c r="B636" s="47"/>
      <c r="C636" s="50"/>
      <c r="D636" s="50"/>
      <c r="E636" s="50"/>
      <c r="F636" s="50"/>
      <c r="G636" s="46"/>
      <c r="H636" s="46"/>
      <c r="I636" s="46"/>
      <c r="J636" s="46"/>
      <c r="K636" s="46"/>
      <c r="L636" s="71"/>
      <c r="M636" s="60"/>
      <c r="N636" s="60"/>
      <c r="O636" s="60"/>
      <c r="P636" s="60"/>
      <c r="W636" s="2"/>
      <c r="X636" s="2"/>
    </row>
    <row r="637" spans="1:24" ht="15.75" customHeight="1" x14ac:dyDescent="0.2">
      <c r="A637" s="44"/>
      <c r="B637" s="47"/>
      <c r="C637" s="50"/>
      <c r="D637" s="50"/>
      <c r="E637" s="50"/>
      <c r="F637" s="50"/>
      <c r="G637" s="46"/>
      <c r="H637" s="46"/>
      <c r="I637" s="46"/>
      <c r="J637" s="46"/>
      <c r="K637" s="46"/>
      <c r="L637" s="71"/>
      <c r="M637" s="60"/>
      <c r="N637" s="60"/>
      <c r="O637" s="60"/>
      <c r="P637" s="60"/>
      <c r="W637" s="2"/>
      <c r="X637" s="2"/>
    </row>
    <row r="638" spans="1:24" ht="15.75" customHeight="1" x14ac:dyDescent="0.2">
      <c r="A638" s="44"/>
      <c r="B638" s="47"/>
      <c r="C638" s="50"/>
      <c r="D638" s="50"/>
      <c r="E638" s="50"/>
      <c r="F638" s="50"/>
      <c r="G638" s="46"/>
      <c r="H638" s="46"/>
      <c r="I638" s="46"/>
      <c r="J638" s="46"/>
      <c r="K638" s="46"/>
      <c r="L638" s="71"/>
      <c r="M638" s="60"/>
      <c r="N638" s="60"/>
      <c r="O638" s="60"/>
      <c r="P638" s="60"/>
      <c r="W638" s="2"/>
      <c r="X638" s="2"/>
    </row>
    <row r="639" spans="1:24" ht="15.75" customHeight="1" x14ac:dyDescent="0.2">
      <c r="A639" s="44"/>
      <c r="B639" s="47"/>
      <c r="C639" s="50"/>
      <c r="D639" s="50"/>
      <c r="E639" s="50"/>
      <c r="F639" s="50"/>
      <c r="G639" s="46"/>
      <c r="H639" s="46"/>
      <c r="I639" s="46"/>
      <c r="J639" s="46"/>
      <c r="K639" s="46"/>
      <c r="L639" s="71"/>
      <c r="M639" s="60"/>
      <c r="N639" s="60"/>
      <c r="O639" s="60"/>
      <c r="P639" s="60"/>
      <c r="W639" s="2"/>
      <c r="X639" s="2"/>
    </row>
    <row r="640" spans="1:24" ht="15.75" customHeight="1" x14ac:dyDescent="0.2">
      <c r="A640" s="44"/>
      <c r="B640" s="47"/>
      <c r="C640" s="50"/>
      <c r="D640" s="50"/>
      <c r="E640" s="50"/>
      <c r="F640" s="50"/>
      <c r="G640" s="46"/>
      <c r="H640" s="46"/>
      <c r="I640" s="46"/>
      <c r="J640" s="46"/>
      <c r="K640" s="46"/>
      <c r="L640" s="71"/>
      <c r="M640" s="60"/>
      <c r="N640" s="60"/>
      <c r="O640" s="60"/>
      <c r="P640" s="60"/>
      <c r="W640" s="2"/>
      <c r="X640" s="2"/>
    </row>
    <row r="641" spans="1:24" ht="15.75" customHeight="1" x14ac:dyDescent="0.2">
      <c r="A641" s="44"/>
      <c r="B641" s="47"/>
      <c r="C641" s="50"/>
      <c r="D641" s="50"/>
      <c r="E641" s="50"/>
      <c r="F641" s="50"/>
      <c r="G641" s="46"/>
      <c r="H641" s="46"/>
      <c r="I641" s="46"/>
      <c r="J641" s="46"/>
      <c r="K641" s="46"/>
      <c r="L641" s="71"/>
      <c r="M641" s="60"/>
      <c r="N641" s="60"/>
      <c r="O641" s="60"/>
      <c r="P641" s="60"/>
      <c r="W641" s="2"/>
      <c r="X641" s="2"/>
    </row>
    <row r="642" spans="1:24" ht="15.75" customHeight="1" x14ac:dyDescent="0.2">
      <c r="A642" s="44"/>
      <c r="B642" s="47"/>
      <c r="C642" s="50"/>
      <c r="D642" s="50"/>
      <c r="E642" s="50"/>
      <c r="F642" s="50"/>
      <c r="G642" s="46"/>
      <c r="H642" s="46"/>
      <c r="I642" s="46"/>
      <c r="J642" s="46"/>
      <c r="K642" s="46"/>
      <c r="L642" s="71"/>
      <c r="M642" s="60"/>
      <c r="N642" s="60"/>
      <c r="O642" s="60"/>
      <c r="P642" s="60"/>
      <c r="W642" s="2"/>
      <c r="X642" s="2"/>
    </row>
    <row r="643" spans="1:24" ht="15.75" customHeight="1" x14ac:dyDescent="0.2">
      <c r="A643" s="44"/>
      <c r="B643" s="47"/>
      <c r="C643" s="50"/>
      <c r="D643" s="50"/>
      <c r="E643" s="50"/>
      <c r="F643" s="50"/>
      <c r="G643" s="46"/>
      <c r="H643" s="46"/>
      <c r="I643" s="46"/>
      <c r="J643" s="46"/>
      <c r="K643" s="46"/>
      <c r="L643" s="71"/>
      <c r="M643" s="60"/>
      <c r="N643" s="60"/>
      <c r="O643" s="60"/>
      <c r="P643" s="60"/>
      <c r="W643" s="2"/>
      <c r="X643" s="2"/>
    </row>
    <row r="644" spans="1:24" ht="15.75" customHeight="1" x14ac:dyDescent="0.2">
      <c r="A644" s="44"/>
      <c r="B644" s="47"/>
      <c r="C644" s="50"/>
      <c r="D644" s="50"/>
      <c r="E644" s="50"/>
      <c r="F644" s="50"/>
      <c r="G644" s="46"/>
      <c r="H644" s="46"/>
      <c r="I644" s="46"/>
      <c r="J644" s="46"/>
      <c r="K644" s="46"/>
      <c r="L644" s="71"/>
      <c r="M644" s="60"/>
      <c r="N644" s="60"/>
      <c r="O644" s="60"/>
      <c r="P644" s="60"/>
      <c r="W644" s="2"/>
      <c r="X644" s="2"/>
    </row>
    <row r="645" spans="1:24" ht="15.75" customHeight="1" x14ac:dyDescent="0.2">
      <c r="A645" s="44"/>
      <c r="B645" s="47"/>
      <c r="C645" s="50"/>
      <c r="D645" s="50"/>
      <c r="E645" s="50"/>
      <c r="F645" s="50"/>
      <c r="G645" s="46"/>
      <c r="H645" s="46"/>
      <c r="I645" s="46"/>
      <c r="J645" s="46"/>
      <c r="K645" s="46"/>
      <c r="L645" s="71"/>
      <c r="M645" s="60"/>
      <c r="N645" s="60"/>
      <c r="O645" s="60"/>
      <c r="P645" s="60"/>
      <c r="W645" s="2"/>
      <c r="X645" s="2"/>
    </row>
    <row r="646" spans="1:24" ht="15.75" customHeight="1" x14ac:dyDescent="0.2">
      <c r="A646" s="44"/>
      <c r="B646" s="47"/>
      <c r="C646" s="50"/>
      <c r="D646" s="50"/>
      <c r="E646" s="50"/>
      <c r="F646" s="50"/>
      <c r="G646" s="46"/>
      <c r="H646" s="46"/>
      <c r="I646" s="46"/>
      <c r="J646" s="46"/>
      <c r="K646" s="46"/>
      <c r="L646" s="71"/>
      <c r="M646" s="60"/>
      <c r="N646" s="60"/>
      <c r="O646" s="60"/>
      <c r="P646" s="60"/>
      <c r="W646" s="2"/>
      <c r="X646" s="2"/>
    </row>
    <row r="647" spans="1:24" ht="15.75" customHeight="1" x14ac:dyDescent="0.2">
      <c r="A647" s="44"/>
      <c r="B647" s="47"/>
      <c r="C647" s="50"/>
      <c r="D647" s="50"/>
      <c r="E647" s="50"/>
      <c r="F647" s="50"/>
      <c r="G647" s="46"/>
      <c r="H647" s="46"/>
      <c r="I647" s="46"/>
      <c r="J647" s="46"/>
      <c r="K647" s="46"/>
      <c r="L647" s="71"/>
      <c r="M647" s="60"/>
      <c r="N647" s="60"/>
      <c r="O647" s="60"/>
      <c r="P647" s="60"/>
      <c r="W647" s="2"/>
      <c r="X647" s="2"/>
    </row>
    <row r="648" spans="1:24" ht="15.75" customHeight="1" x14ac:dyDescent="0.2">
      <c r="A648" s="44"/>
      <c r="B648" s="47"/>
      <c r="C648" s="50"/>
      <c r="D648" s="50"/>
      <c r="E648" s="50"/>
      <c r="F648" s="50"/>
      <c r="G648" s="46"/>
      <c r="H648" s="46"/>
      <c r="I648" s="46"/>
      <c r="J648" s="46"/>
      <c r="K648" s="46"/>
      <c r="L648" s="71"/>
      <c r="M648" s="60"/>
      <c r="N648" s="60"/>
      <c r="O648" s="60"/>
      <c r="P648" s="60"/>
      <c r="W648" s="2"/>
      <c r="X648" s="2"/>
    </row>
    <row r="649" spans="1:24" ht="15.75" customHeight="1" x14ac:dyDescent="0.2">
      <c r="A649" s="44"/>
      <c r="B649" s="47"/>
      <c r="C649" s="50"/>
      <c r="D649" s="50"/>
      <c r="E649" s="50"/>
      <c r="F649" s="50"/>
      <c r="G649" s="46"/>
      <c r="H649" s="46"/>
      <c r="I649" s="46"/>
      <c r="J649" s="46"/>
      <c r="K649" s="46"/>
      <c r="L649" s="71"/>
      <c r="M649" s="60"/>
      <c r="N649" s="60"/>
      <c r="O649" s="60"/>
      <c r="P649" s="60"/>
      <c r="W649" s="2"/>
      <c r="X649" s="2"/>
    </row>
    <row r="650" spans="1:24" ht="15.75" customHeight="1" x14ac:dyDescent="0.2">
      <c r="A650" s="44"/>
      <c r="B650" s="47"/>
      <c r="C650" s="50"/>
      <c r="D650" s="50"/>
      <c r="E650" s="50"/>
      <c r="F650" s="50"/>
      <c r="G650" s="46"/>
      <c r="H650" s="46"/>
      <c r="I650" s="46"/>
      <c r="J650" s="46"/>
      <c r="K650" s="46"/>
      <c r="L650" s="71"/>
      <c r="M650" s="60"/>
      <c r="N650" s="60"/>
      <c r="O650" s="60"/>
      <c r="P650" s="60"/>
      <c r="W650" s="2"/>
      <c r="X650" s="2"/>
    </row>
    <row r="651" spans="1:24" ht="15.75" customHeight="1" x14ac:dyDescent="0.2">
      <c r="A651" s="44"/>
      <c r="B651" s="47"/>
      <c r="C651" s="50"/>
      <c r="D651" s="50"/>
      <c r="E651" s="50"/>
      <c r="F651" s="50"/>
      <c r="G651" s="46"/>
      <c r="H651" s="46"/>
      <c r="I651" s="46"/>
      <c r="J651" s="46"/>
      <c r="K651" s="46"/>
      <c r="L651" s="71"/>
      <c r="M651" s="60"/>
      <c r="N651" s="60"/>
      <c r="O651" s="60"/>
      <c r="P651" s="60"/>
      <c r="W651" s="2"/>
      <c r="X651" s="2"/>
    </row>
    <row r="652" spans="1:24" ht="15.75" customHeight="1" x14ac:dyDescent="0.2">
      <c r="A652" s="44"/>
      <c r="B652" s="47"/>
      <c r="C652" s="50"/>
      <c r="D652" s="50"/>
      <c r="E652" s="50"/>
      <c r="F652" s="50"/>
      <c r="G652" s="46"/>
      <c r="H652" s="46"/>
      <c r="I652" s="46"/>
      <c r="J652" s="46"/>
      <c r="K652" s="46"/>
      <c r="L652" s="71"/>
      <c r="M652" s="60"/>
      <c r="N652" s="60"/>
      <c r="O652" s="60"/>
      <c r="P652" s="60"/>
      <c r="W652" s="2"/>
      <c r="X652" s="2"/>
    </row>
    <row r="653" spans="1:24" ht="15.75" customHeight="1" x14ac:dyDescent="0.2">
      <c r="A653" s="44"/>
      <c r="B653" s="47"/>
      <c r="C653" s="50"/>
      <c r="D653" s="50"/>
      <c r="E653" s="50"/>
      <c r="F653" s="50"/>
      <c r="G653" s="46"/>
      <c r="H653" s="46"/>
      <c r="I653" s="46"/>
      <c r="J653" s="46"/>
      <c r="K653" s="46"/>
      <c r="L653" s="71"/>
      <c r="M653" s="60"/>
      <c r="N653" s="60"/>
      <c r="O653" s="60"/>
      <c r="P653" s="60"/>
      <c r="W653" s="2"/>
      <c r="X653" s="2"/>
    </row>
    <row r="654" spans="1:24" ht="15.75" customHeight="1" x14ac:dyDescent="0.2">
      <c r="A654" s="44"/>
      <c r="B654" s="47"/>
      <c r="C654" s="50"/>
      <c r="D654" s="50"/>
      <c r="E654" s="50"/>
      <c r="F654" s="50"/>
      <c r="G654" s="46"/>
      <c r="H654" s="46"/>
      <c r="I654" s="46"/>
      <c r="J654" s="46"/>
      <c r="K654" s="46"/>
      <c r="L654" s="71"/>
      <c r="M654" s="60"/>
      <c r="N654" s="60"/>
      <c r="O654" s="60"/>
      <c r="P654" s="60"/>
      <c r="W654" s="2"/>
      <c r="X654" s="2"/>
    </row>
    <row r="655" spans="1:24" ht="15.75" customHeight="1" x14ac:dyDescent="0.2">
      <c r="A655" s="44"/>
      <c r="B655" s="47"/>
      <c r="C655" s="50"/>
      <c r="D655" s="50"/>
      <c r="E655" s="50"/>
      <c r="F655" s="50"/>
      <c r="G655" s="46"/>
      <c r="H655" s="46"/>
      <c r="I655" s="46"/>
      <c r="J655" s="46"/>
      <c r="K655" s="46"/>
      <c r="L655" s="71"/>
      <c r="M655" s="60"/>
      <c r="N655" s="60"/>
      <c r="O655" s="60"/>
      <c r="P655" s="60"/>
      <c r="W655" s="2"/>
      <c r="X655" s="2"/>
    </row>
    <row r="656" spans="1:24" ht="15.75" customHeight="1" x14ac:dyDescent="0.2">
      <c r="A656" s="44"/>
      <c r="B656" s="47"/>
      <c r="C656" s="50"/>
      <c r="D656" s="50"/>
      <c r="E656" s="50"/>
      <c r="F656" s="50"/>
      <c r="G656" s="46"/>
      <c r="H656" s="46"/>
      <c r="I656" s="46"/>
      <c r="J656" s="46"/>
      <c r="K656" s="46"/>
      <c r="L656" s="71"/>
      <c r="M656" s="60"/>
      <c r="N656" s="60"/>
      <c r="O656" s="60"/>
      <c r="P656" s="60"/>
      <c r="W656" s="2"/>
      <c r="X656" s="2"/>
    </row>
    <row r="657" spans="1:24" ht="15.75" customHeight="1" x14ac:dyDescent="0.2">
      <c r="A657" s="44"/>
      <c r="B657" s="47"/>
      <c r="C657" s="50"/>
      <c r="D657" s="50"/>
      <c r="E657" s="50"/>
      <c r="F657" s="50"/>
      <c r="G657" s="46"/>
      <c r="H657" s="46"/>
      <c r="I657" s="46"/>
      <c r="J657" s="46"/>
      <c r="K657" s="46"/>
      <c r="L657" s="71"/>
      <c r="M657" s="60"/>
      <c r="N657" s="60"/>
      <c r="O657" s="60"/>
      <c r="P657" s="60"/>
      <c r="W657" s="2"/>
      <c r="X657" s="2"/>
    </row>
    <row r="658" spans="1:24" ht="15.75" customHeight="1" x14ac:dyDescent="0.2">
      <c r="A658" s="44"/>
      <c r="B658" s="47"/>
      <c r="C658" s="50"/>
      <c r="D658" s="50"/>
      <c r="E658" s="50"/>
      <c r="F658" s="50"/>
      <c r="G658" s="46"/>
      <c r="H658" s="46"/>
      <c r="I658" s="46"/>
      <c r="J658" s="46"/>
      <c r="K658" s="46"/>
      <c r="L658" s="71"/>
      <c r="M658" s="60"/>
      <c r="N658" s="60"/>
      <c r="O658" s="60"/>
      <c r="P658" s="60"/>
      <c r="W658" s="2"/>
      <c r="X658" s="2"/>
    </row>
    <row r="659" spans="1:24" ht="15.75" customHeight="1" x14ac:dyDescent="0.2">
      <c r="A659" s="44"/>
      <c r="B659" s="47"/>
      <c r="C659" s="50"/>
      <c r="D659" s="50"/>
      <c r="E659" s="50"/>
      <c r="F659" s="50"/>
      <c r="G659" s="46"/>
      <c r="H659" s="46"/>
      <c r="I659" s="46"/>
      <c r="J659" s="46"/>
      <c r="K659" s="46"/>
      <c r="L659" s="71"/>
      <c r="M659" s="60"/>
      <c r="N659" s="60"/>
      <c r="O659" s="60"/>
      <c r="P659" s="60"/>
      <c r="W659" s="2"/>
      <c r="X659" s="2"/>
    </row>
    <row r="660" spans="1:24" ht="15.75" customHeight="1" x14ac:dyDescent="0.2">
      <c r="A660" s="44"/>
      <c r="B660" s="47"/>
      <c r="C660" s="50"/>
      <c r="D660" s="50"/>
      <c r="E660" s="50"/>
      <c r="F660" s="50"/>
      <c r="G660" s="46"/>
      <c r="H660" s="46"/>
      <c r="I660" s="46"/>
      <c r="J660" s="46"/>
      <c r="K660" s="46"/>
      <c r="L660" s="71"/>
      <c r="M660" s="60"/>
      <c r="N660" s="60"/>
      <c r="O660" s="60"/>
      <c r="P660" s="60"/>
      <c r="W660" s="2"/>
      <c r="X660" s="2"/>
    </row>
    <row r="661" spans="1:24" ht="15.75" customHeight="1" x14ac:dyDescent="0.2">
      <c r="A661" s="44"/>
      <c r="B661" s="47"/>
      <c r="C661" s="50"/>
      <c r="D661" s="50"/>
      <c r="E661" s="50"/>
      <c r="F661" s="50"/>
      <c r="G661" s="46"/>
      <c r="H661" s="46"/>
      <c r="I661" s="46"/>
      <c r="J661" s="46"/>
      <c r="K661" s="46"/>
      <c r="L661" s="71"/>
      <c r="M661" s="60"/>
      <c r="N661" s="60"/>
      <c r="O661" s="60"/>
      <c r="P661" s="60"/>
      <c r="W661" s="2"/>
      <c r="X661" s="2"/>
    </row>
    <row r="662" spans="1:24" ht="15.75" customHeight="1" x14ac:dyDescent="0.2">
      <c r="A662" s="44"/>
      <c r="B662" s="47"/>
      <c r="C662" s="50"/>
      <c r="D662" s="50"/>
      <c r="E662" s="50"/>
      <c r="F662" s="50"/>
      <c r="G662" s="46"/>
      <c r="H662" s="46"/>
      <c r="I662" s="46"/>
      <c r="J662" s="46"/>
      <c r="K662" s="46"/>
      <c r="L662" s="71"/>
      <c r="M662" s="60"/>
      <c r="N662" s="60"/>
      <c r="O662" s="60"/>
      <c r="P662" s="60"/>
      <c r="W662" s="2"/>
      <c r="X662" s="2"/>
    </row>
    <row r="663" spans="1:24" ht="15.75" customHeight="1" x14ac:dyDescent="0.2">
      <c r="A663" s="44"/>
      <c r="B663" s="47"/>
      <c r="C663" s="50"/>
      <c r="D663" s="50"/>
      <c r="E663" s="50"/>
      <c r="F663" s="50"/>
      <c r="G663" s="46"/>
      <c r="H663" s="46"/>
      <c r="I663" s="46"/>
      <c r="J663" s="46"/>
      <c r="K663" s="46"/>
      <c r="L663" s="71"/>
      <c r="M663" s="60"/>
      <c r="N663" s="60"/>
      <c r="O663" s="60"/>
      <c r="P663" s="60"/>
      <c r="W663" s="2"/>
      <c r="X663" s="2"/>
    </row>
    <row r="664" spans="1:24" ht="15.75" customHeight="1" x14ac:dyDescent="0.2">
      <c r="A664" s="44"/>
      <c r="B664" s="47"/>
      <c r="C664" s="50"/>
      <c r="D664" s="50"/>
      <c r="E664" s="50"/>
      <c r="F664" s="50"/>
      <c r="G664" s="46"/>
      <c r="H664" s="46"/>
      <c r="I664" s="46"/>
      <c r="J664" s="46"/>
      <c r="K664" s="46"/>
      <c r="L664" s="71"/>
      <c r="M664" s="60"/>
      <c r="N664" s="60"/>
      <c r="O664" s="60"/>
      <c r="P664" s="60"/>
      <c r="W664" s="2"/>
      <c r="X664" s="2"/>
    </row>
    <row r="665" spans="1:24" ht="15.75" customHeight="1" x14ac:dyDescent="0.2">
      <c r="A665" s="44"/>
      <c r="B665" s="47"/>
      <c r="C665" s="50"/>
      <c r="D665" s="50"/>
      <c r="E665" s="50"/>
      <c r="F665" s="50"/>
      <c r="G665" s="46"/>
      <c r="H665" s="46"/>
      <c r="I665" s="46"/>
      <c r="J665" s="46"/>
      <c r="K665" s="46"/>
      <c r="L665" s="71"/>
      <c r="M665" s="60"/>
      <c r="N665" s="60"/>
      <c r="O665" s="60"/>
      <c r="P665" s="60"/>
      <c r="W665" s="2"/>
      <c r="X665" s="2"/>
    </row>
    <row r="666" spans="1:24" ht="15.75" customHeight="1" x14ac:dyDescent="0.2">
      <c r="A666" s="44"/>
      <c r="B666" s="47"/>
      <c r="C666" s="50"/>
      <c r="D666" s="50"/>
      <c r="E666" s="50"/>
      <c r="F666" s="50"/>
      <c r="G666" s="46"/>
      <c r="H666" s="46"/>
      <c r="I666" s="46"/>
      <c r="J666" s="46"/>
      <c r="K666" s="46"/>
      <c r="L666" s="71"/>
      <c r="M666" s="60"/>
      <c r="N666" s="60"/>
      <c r="O666" s="60"/>
      <c r="P666" s="60"/>
      <c r="W666" s="2"/>
      <c r="X666" s="2"/>
    </row>
    <row r="667" spans="1:24" ht="15.75" customHeight="1" x14ac:dyDescent="0.2">
      <c r="A667" s="44"/>
      <c r="B667" s="47"/>
      <c r="C667" s="50"/>
      <c r="D667" s="50"/>
      <c r="E667" s="50"/>
      <c r="F667" s="50"/>
      <c r="G667" s="46"/>
      <c r="H667" s="46"/>
      <c r="I667" s="46"/>
      <c r="J667" s="46"/>
      <c r="K667" s="46"/>
      <c r="L667" s="71"/>
      <c r="M667" s="60"/>
      <c r="N667" s="60"/>
      <c r="O667" s="60"/>
      <c r="P667" s="60"/>
      <c r="W667" s="2"/>
      <c r="X667" s="2"/>
    </row>
    <row r="668" spans="1:24" ht="15.75" customHeight="1" x14ac:dyDescent="0.2">
      <c r="A668" s="44"/>
      <c r="B668" s="47"/>
      <c r="C668" s="50"/>
      <c r="D668" s="50"/>
      <c r="E668" s="50"/>
      <c r="F668" s="50"/>
      <c r="G668" s="46"/>
      <c r="H668" s="46"/>
      <c r="I668" s="46"/>
      <c r="J668" s="46"/>
      <c r="K668" s="46"/>
      <c r="L668" s="71"/>
      <c r="M668" s="60"/>
      <c r="N668" s="60"/>
      <c r="O668" s="60"/>
      <c r="P668" s="60"/>
      <c r="W668" s="2"/>
      <c r="X668" s="2"/>
    </row>
    <row r="669" spans="1:24" ht="15.75" customHeight="1" x14ac:dyDescent="0.2">
      <c r="A669" s="44"/>
      <c r="B669" s="47"/>
      <c r="C669" s="50"/>
      <c r="D669" s="50"/>
      <c r="E669" s="50"/>
      <c r="F669" s="50"/>
      <c r="G669" s="46"/>
      <c r="H669" s="46"/>
      <c r="I669" s="46"/>
      <c r="J669" s="46"/>
      <c r="K669" s="46"/>
      <c r="L669" s="71"/>
      <c r="M669" s="60"/>
      <c r="N669" s="60"/>
      <c r="O669" s="60"/>
      <c r="P669" s="60"/>
      <c r="W669" s="2"/>
      <c r="X669" s="2"/>
    </row>
    <row r="670" spans="1:24" ht="15.75" customHeight="1" x14ac:dyDescent="0.2">
      <c r="A670" s="44"/>
      <c r="B670" s="47"/>
      <c r="C670" s="50"/>
      <c r="D670" s="50"/>
      <c r="E670" s="50"/>
      <c r="F670" s="50"/>
      <c r="G670" s="46"/>
      <c r="H670" s="46"/>
      <c r="I670" s="46"/>
      <c r="J670" s="46"/>
      <c r="K670" s="46"/>
      <c r="L670" s="71"/>
      <c r="M670" s="60"/>
      <c r="N670" s="60"/>
      <c r="O670" s="60"/>
      <c r="P670" s="60"/>
      <c r="W670" s="2"/>
      <c r="X670" s="2"/>
    </row>
    <row r="671" spans="1:24" ht="15.75" customHeight="1" x14ac:dyDescent="0.2">
      <c r="A671" s="44"/>
      <c r="B671" s="47"/>
      <c r="C671" s="50"/>
      <c r="D671" s="50"/>
      <c r="E671" s="50"/>
      <c r="F671" s="50"/>
      <c r="G671" s="46"/>
      <c r="H671" s="46"/>
      <c r="I671" s="46"/>
      <c r="J671" s="46"/>
      <c r="K671" s="46"/>
      <c r="L671" s="71"/>
      <c r="M671" s="60"/>
      <c r="N671" s="60"/>
      <c r="O671" s="60"/>
      <c r="P671" s="60"/>
      <c r="W671" s="2"/>
      <c r="X671" s="2"/>
    </row>
    <row r="672" spans="1:24" ht="15.75" customHeight="1" x14ac:dyDescent="0.2">
      <c r="A672" s="44"/>
      <c r="B672" s="47"/>
      <c r="C672" s="50"/>
      <c r="D672" s="50"/>
      <c r="E672" s="50"/>
      <c r="F672" s="50"/>
      <c r="G672" s="46"/>
      <c r="H672" s="46"/>
      <c r="I672" s="46"/>
      <c r="J672" s="46"/>
      <c r="K672" s="46"/>
      <c r="L672" s="71"/>
      <c r="M672" s="60"/>
      <c r="N672" s="60"/>
      <c r="O672" s="60"/>
      <c r="P672" s="60"/>
      <c r="W672" s="2"/>
      <c r="X672" s="2"/>
    </row>
    <row r="673" spans="1:24" ht="15.75" customHeight="1" x14ac:dyDescent="0.2">
      <c r="A673" s="44"/>
      <c r="B673" s="47"/>
      <c r="C673" s="50"/>
      <c r="D673" s="50"/>
      <c r="E673" s="50"/>
      <c r="F673" s="50"/>
      <c r="G673" s="46"/>
      <c r="H673" s="46"/>
      <c r="I673" s="46"/>
      <c r="J673" s="46"/>
      <c r="K673" s="46"/>
      <c r="L673" s="71"/>
      <c r="M673" s="60"/>
      <c r="N673" s="60"/>
      <c r="O673" s="60"/>
      <c r="P673" s="60"/>
      <c r="W673" s="2"/>
      <c r="X673" s="2"/>
    </row>
    <row r="674" spans="1:24" ht="15.75" customHeight="1" x14ac:dyDescent="0.2">
      <c r="A674" s="44"/>
      <c r="B674" s="47"/>
      <c r="C674" s="50"/>
      <c r="D674" s="50"/>
      <c r="E674" s="50"/>
      <c r="F674" s="50"/>
      <c r="G674" s="46"/>
      <c r="H674" s="46"/>
      <c r="I674" s="46"/>
      <c r="J674" s="46"/>
      <c r="K674" s="46"/>
      <c r="L674" s="71"/>
      <c r="M674" s="60"/>
      <c r="N674" s="60"/>
      <c r="O674" s="60"/>
      <c r="P674" s="60"/>
      <c r="W674" s="2"/>
      <c r="X674" s="2"/>
    </row>
    <row r="675" spans="1:24" ht="15.75" customHeight="1" x14ac:dyDescent="0.2">
      <c r="A675" s="44"/>
      <c r="B675" s="47"/>
      <c r="C675" s="50"/>
      <c r="D675" s="50"/>
      <c r="E675" s="50"/>
      <c r="F675" s="50"/>
      <c r="G675" s="46"/>
      <c r="H675" s="46"/>
      <c r="I675" s="46"/>
      <c r="J675" s="46"/>
      <c r="K675" s="46"/>
      <c r="L675" s="71"/>
      <c r="M675" s="60"/>
      <c r="N675" s="60"/>
      <c r="O675" s="60"/>
      <c r="P675" s="60"/>
      <c r="W675" s="2"/>
      <c r="X675" s="2"/>
    </row>
    <row r="676" spans="1:24" ht="15.75" customHeight="1" x14ac:dyDescent="0.2">
      <c r="A676" s="44"/>
      <c r="B676" s="47"/>
      <c r="C676" s="50"/>
      <c r="D676" s="50"/>
      <c r="E676" s="50"/>
      <c r="F676" s="50"/>
      <c r="G676" s="46"/>
      <c r="H676" s="46"/>
      <c r="I676" s="46"/>
      <c r="J676" s="46"/>
      <c r="K676" s="46"/>
      <c r="L676" s="71"/>
      <c r="M676" s="60"/>
      <c r="N676" s="60"/>
      <c r="O676" s="60"/>
      <c r="P676" s="60"/>
      <c r="W676" s="2"/>
      <c r="X676" s="2"/>
    </row>
    <row r="677" spans="1:24" ht="15.75" customHeight="1" x14ac:dyDescent="0.2">
      <c r="A677" s="44"/>
      <c r="B677" s="47"/>
      <c r="C677" s="50"/>
      <c r="D677" s="50"/>
      <c r="E677" s="50"/>
      <c r="F677" s="50"/>
      <c r="G677" s="46"/>
      <c r="H677" s="46"/>
      <c r="I677" s="46"/>
      <c r="J677" s="46"/>
      <c r="K677" s="46"/>
      <c r="L677" s="71"/>
      <c r="M677" s="60"/>
      <c r="N677" s="60"/>
      <c r="O677" s="60"/>
      <c r="P677" s="60"/>
      <c r="W677" s="2"/>
      <c r="X677" s="2"/>
    </row>
    <row r="678" spans="1:24" ht="15.75" customHeight="1" x14ac:dyDescent="0.2">
      <c r="A678" s="44"/>
      <c r="B678" s="47"/>
      <c r="C678" s="50"/>
      <c r="D678" s="50"/>
      <c r="E678" s="50"/>
      <c r="F678" s="50"/>
      <c r="G678" s="46"/>
      <c r="H678" s="46"/>
      <c r="I678" s="46"/>
      <c r="J678" s="46"/>
      <c r="K678" s="46"/>
      <c r="L678" s="71"/>
      <c r="M678" s="60"/>
      <c r="N678" s="60"/>
      <c r="O678" s="60"/>
      <c r="P678" s="60"/>
      <c r="W678" s="2"/>
      <c r="X678" s="2"/>
    </row>
    <row r="679" spans="1:24" ht="15.75" customHeight="1" x14ac:dyDescent="0.2">
      <c r="A679" s="44"/>
      <c r="B679" s="47"/>
      <c r="C679" s="50"/>
      <c r="D679" s="50"/>
      <c r="E679" s="50"/>
      <c r="F679" s="50"/>
      <c r="G679" s="46"/>
      <c r="H679" s="46"/>
      <c r="I679" s="46"/>
      <c r="J679" s="46"/>
      <c r="K679" s="46"/>
      <c r="L679" s="71"/>
      <c r="M679" s="60"/>
      <c r="N679" s="60"/>
      <c r="O679" s="60"/>
      <c r="P679" s="60"/>
      <c r="W679" s="2"/>
      <c r="X679" s="2"/>
    </row>
    <row r="680" spans="1:24" ht="15.75" customHeight="1" x14ac:dyDescent="0.2">
      <c r="A680" s="44"/>
      <c r="B680" s="47"/>
      <c r="C680" s="50"/>
      <c r="D680" s="50"/>
      <c r="E680" s="50"/>
      <c r="F680" s="50"/>
      <c r="G680" s="46"/>
      <c r="H680" s="46"/>
      <c r="I680" s="46"/>
      <c r="J680" s="46"/>
      <c r="K680" s="46"/>
      <c r="L680" s="71"/>
      <c r="M680" s="60"/>
      <c r="N680" s="60"/>
      <c r="O680" s="60"/>
      <c r="P680" s="60"/>
      <c r="W680" s="2"/>
      <c r="X680" s="2"/>
    </row>
    <row r="681" spans="1:24" ht="15.75" customHeight="1" x14ac:dyDescent="0.2">
      <c r="A681" s="44"/>
      <c r="B681" s="47"/>
      <c r="C681" s="50"/>
      <c r="D681" s="50"/>
      <c r="E681" s="50"/>
      <c r="F681" s="50"/>
      <c r="G681" s="46"/>
      <c r="H681" s="46"/>
      <c r="I681" s="46"/>
      <c r="J681" s="46"/>
      <c r="K681" s="46"/>
      <c r="L681" s="71"/>
      <c r="M681" s="60"/>
      <c r="N681" s="60"/>
      <c r="O681" s="60"/>
      <c r="P681" s="60"/>
      <c r="W681" s="2"/>
      <c r="X681" s="2"/>
    </row>
    <row r="682" spans="1:24" ht="15.75" customHeight="1" x14ac:dyDescent="0.2">
      <c r="A682" s="44"/>
      <c r="B682" s="47"/>
      <c r="C682" s="50"/>
      <c r="D682" s="50"/>
      <c r="E682" s="50"/>
      <c r="F682" s="50"/>
      <c r="G682" s="46"/>
      <c r="H682" s="46"/>
      <c r="I682" s="46"/>
      <c r="J682" s="46"/>
      <c r="K682" s="46"/>
      <c r="L682" s="71"/>
      <c r="M682" s="60"/>
      <c r="N682" s="60"/>
      <c r="O682" s="60"/>
      <c r="P682" s="60"/>
      <c r="W682" s="2"/>
      <c r="X682" s="2"/>
    </row>
    <row r="683" spans="1:24" ht="15.75" customHeight="1" x14ac:dyDescent="0.2">
      <c r="A683" s="44"/>
      <c r="B683" s="47"/>
      <c r="C683" s="50"/>
      <c r="D683" s="50"/>
      <c r="E683" s="50"/>
      <c r="F683" s="50"/>
      <c r="G683" s="46"/>
      <c r="H683" s="46"/>
      <c r="I683" s="46"/>
      <c r="J683" s="46"/>
      <c r="K683" s="46"/>
      <c r="L683" s="71"/>
      <c r="M683" s="60"/>
      <c r="N683" s="60"/>
      <c r="O683" s="60"/>
      <c r="P683" s="60"/>
      <c r="W683" s="2"/>
      <c r="X683" s="2"/>
    </row>
    <row r="684" spans="1:24" ht="15.75" customHeight="1" x14ac:dyDescent="0.2">
      <c r="A684" s="44"/>
      <c r="B684" s="47"/>
      <c r="C684" s="50"/>
      <c r="D684" s="50"/>
      <c r="E684" s="50"/>
      <c r="F684" s="50"/>
      <c r="G684" s="46"/>
      <c r="H684" s="46"/>
      <c r="I684" s="46"/>
      <c r="J684" s="46"/>
      <c r="K684" s="46"/>
      <c r="L684" s="71"/>
      <c r="M684" s="60"/>
      <c r="N684" s="60"/>
      <c r="O684" s="60"/>
      <c r="P684" s="60"/>
      <c r="W684" s="2"/>
      <c r="X684" s="2"/>
    </row>
    <row r="685" spans="1:24" ht="15.75" customHeight="1" x14ac:dyDescent="0.2">
      <c r="A685" s="44"/>
      <c r="B685" s="47"/>
      <c r="C685" s="50"/>
      <c r="D685" s="50"/>
      <c r="E685" s="50"/>
      <c r="F685" s="50"/>
      <c r="G685" s="46"/>
      <c r="H685" s="46"/>
      <c r="I685" s="46"/>
      <c r="J685" s="46"/>
      <c r="K685" s="46"/>
      <c r="L685" s="71"/>
      <c r="M685" s="60"/>
      <c r="N685" s="60"/>
      <c r="O685" s="60"/>
      <c r="P685" s="60"/>
      <c r="W685" s="2"/>
      <c r="X685" s="2"/>
    </row>
    <row r="686" spans="1:24" ht="15.75" customHeight="1" x14ac:dyDescent="0.2">
      <c r="A686" s="44"/>
      <c r="B686" s="47"/>
      <c r="C686" s="50"/>
      <c r="D686" s="50"/>
      <c r="E686" s="50"/>
      <c r="F686" s="50"/>
      <c r="G686" s="46"/>
      <c r="H686" s="46"/>
      <c r="I686" s="46"/>
      <c r="J686" s="46"/>
      <c r="K686" s="46"/>
      <c r="L686" s="71"/>
      <c r="M686" s="60"/>
      <c r="N686" s="60"/>
      <c r="O686" s="60"/>
      <c r="P686" s="60"/>
      <c r="W686" s="2"/>
      <c r="X686" s="2"/>
    </row>
    <row r="687" spans="1:24" ht="15.75" customHeight="1" x14ac:dyDescent="0.2">
      <c r="A687" s="44"/>
      <c r="B687" s="47"/>
      <c r="C687" s="50"/>
      <c r="D687" s="50"/>
      <c r="E687" s="50"/>
      <c r="F687" s="50"/>
      <c r="G687" s="46"/>
      <c r="H687" s="46"/>
      <c r="I687" s="46"/>
      <c r="J687" s="46"/>
      <c r="K687" s="46"/>
      <c r="L687" s="71"/>
      <c r="M687" s="60"/>
      <c r="N687" s="60"/>
      <c r="O687" s="60"/>
      <c r="P687" s="60"/>
      <c r="W687" s="2"/>
      <c r="X687" s="2"/>
    </row>
    <row r="688" spans="1:24" ht="15.75" customHeight="1" x14ac:dyDescent="0.2">
      <c r="A688" s="44"/>
      <c r="B688" s="47"/>
      <c r="C688" s="50"/>
      <c r="D688" s="50"/>
      <c r="E688" s="50"/>
      <c r="F688" s="50"/>
      <c r="G688" s="46"/>
      <c r="H688" s="46"/>
      <c r="I688" s="46"/>
      <c r="J688" s="46"/>
      <c r="K688" s="46"/>
      <c r="L688" s="71"/>
      <c r="M688" s="60"/>
      <c r="N688" s="60"/>
      <c r="O688" s="60"/>
      <c r="P688" s="60"/>
      <c r="W688" s="2"/>
      <c r="X688" s="2"/>
    </row>
    <row r="689" spans="1:24" ht="15.75" customHeight="1" x14ac:dyDescent="0.2">
      <c r="A689" s="44"/>
      <c r="B689" s="47"/>
      <c r="C689" s="50"/>
      <c r="D689" s="50"/>
      <c r="E689" s="50"/>
      <c r="F689" s="50"/>
      <c r="G689" s="46"/>
      <c r="H689" s="46"/>
      <c r="I689" s="46"/>
      <c r="J689" s="46"/>
      <c r="K689" s="46"/>
      <c r="L689" s="71"/>
      <c r="M689" s="60"/>
      <c r="N689" s="60"/>
      <c r="O689" s="60"/>
      <c r="P689" s="60"/>
      <c r="W689" s="2"/>
      <c r="X689" s="2"/>
    </row>
    <row r="690" spans="1:24" ht="15.75" customHeight="1" x14ac:dyDescent="0.2">
      <c r="A690" s="44"/>
      <c r="B690" s="47"/>
      <c r="C690" s="50"/>
      <c r="D690" s="50"/>
      <c r="E690" s="50"/>
      <c r="F690" s="50"/>
      <c r="G690" s="46"/>
      <c r="H690" s="46"/>
      <c r="I690" s="46"/>
      <c r="J690" s="46"/>
      <c r="K690" s="46"/>
      <c r="L690" s="71"/>
      <c r="M690" s="60"/>
      <c r="N690" s="60"/>
      <c r="O690" s="60"/>
      <c r="P690" s="60"/>
      <c r="W690" s="2"/>
      <c r="X690" s="2"/>
    </row>
    <row r="691" spans="1:24" ht="15.75" customHeight="1" x14ac:dyDescent="0.2">
      <c r="A691" s="44"/>
      <c r="B691" s="47"/>
      <c r="C691" s="50"/>
      <c r="D691" s="50"/>
      <c r="E691" s="50"/>
      <c r="F691" s="50"/>
      <c r="G691" s="46"/>
      <c r="H691" s="46"/>
      <c r="I691" s="46"/>
      <c r="J691" s="46"/>
      <c r="K691" s="46"/>
      <c r="L691" s="71"/>
      <c r="M691" s="60"/>
      <c r="N691" s="60"/>
      <c r="O691" s="60"/>
      <c r="P691" s="60"/>
      <c r="W691" s="2"/>
      <c r="X691" s="2"/>
    </row>
    <row r="692" spans="1:24" ht="15.75" customHeight="1" x14ac:dyDescent="0.2">
      <c r="A692" s="44"/>
      <c r="B692" s="47"/>
      <c r="C692" s="50"/>
      <c r="D692" s="50"/>
      <c r="E692" s="50"/>
      <c r="F692" s="50"/>
      <c r="G692" s="46"/>
      <c r="H692" s="46"/>
      <c r="I692" s="46"/>
      <c r="J692" s="46"/>
      <c r="K692" s="46"/>
      <c r="L692" s="71"/>
      <c r="M692" s="60"/>
      <c r="N692" s="60"/>
      <c r="O692" s="60"/>
      <c r="P692" s="60"/>
      <c r="W692" s="2"/>
      <c r="X692" s="2"/>
    </row>
    <row r="693" spans="1:24" ht="15.75" customHeight="1" x14ac:dyDescent="0.2">
      <c r="A693" s="44"/>
      <c r="B693" s="47"/>
      <c r="C693" s="50"/>
      <c r="D693" s="50"/>
      <c r="E693" s="50"/>
      <c r="F693" s="50"/>
      <c r="G693" s="46"/>
      <c r="H693" s="46"/>
      <c r="I693" s="46"/>
      <c r="J693" s="46"/>
      <c r="K693" s="46"/>
      <c r="L693" s="71"/>
      <c r="M693" s="60"/>
      <c r="N693" s="60"/>
      <c r="O693" s="60"/>
      <c r="P693" s="60"/>
      <c r="W693" s="2"/>
      <c r="X693" s="2"/>
    </row>
    <row r="694" spans="1:24" ht="15.75" customHeight="1" x14ac:dyDescent="0.2">
      <c r="A694" s="44"/>
      <c r="B694" s="47"/>
      <c r="C694" s="50"/>
      <c r="D694" s="50"/>
      <c r="E694" s="50"/>
      <c r="F694" s="50"/>
      <c r="G694" s="46"/>
      <c r="H694" s="46"/>
      <c r="I694" s="46"/>
      <c r="J694" s="46"/>
      <c r="K694" s="46"/>
      <c r="L694" s="71"/>
      <c r="M694" s="60"/>
      <c r="N694" s="60"/>
      <c r="O694" s="60"/>
      <c r="P694" s="60"/>
      <c r="W694" s="2"/>
      <c r="X694" s="2"/>
    </row>
    <row r="695" spans="1:24" ht="15.75" customHeight="1" x14ac:dyDescent="0.2">
      <c r="A695" s="44"/>
      <c r="B695" s="47"/>
      <c r="C695" s="50"/>
      <c r="D695" s="50"/>
      <c r="E695" s="50"/>
      <c r="F695" s="50"/>
      <c r="G695" s="46"/>
      <c r="H695" s="46"/>
      <c r="I695" s="46"/>
      <c r="J695" s="46"/>
      <c r="K695" s="46"/>
      <c r="L695" s="71"/>
      <c r="M695" s="60"/>
      <c r="N695" s="60"/>
      <c r="O695" s="60"/>
      <c r="P695" s="60"/>
      <c r="W695" s="2"/>
      <c r="X695" s="2"/>
    </row>
    <row r="696" spans="1:24" ht="15.75" customHeight="1" x14ac:dyDescent="0.2">
      <c r="A696" s="44"/>
      <c r="B696" s="47"/>
      <c r="C696" s="50"/>
      <c r="D696" s="50"/>
      <c r="E696" s="50"/>
      <c r="F696" s="50"/>
      <c r="G696" s="46"/>
      <c r="H696" s="46"/>
      <c r="I696" s="46"/>
      <c r="J696" s="46"/>
      <c r="K696" s="46"/>
      <c r="L696" s="71"/>
      <c r="M696" s="60"/>
      <c r="N696" s="60"/>
      <c r="O696" s="60"/>
      <c r="P696" s="60"/>
      <c r="W696" s="2"/>
      <c r="X696" s="2"/>
    </row>
    <row r="697" spans="1:24" ht="15.75" customHeight="1" x14ac:dyDescent="0.2">
      <c r="A697" s="44"/>
      <c r="B697" s="47"/>
      <c r="C697" s="50"/>
      <c r="D697" s="50"/>
      <c r="E697" s="50"/>
      <c r="F697" s="50"/>
      <c r="G697" s="46"/>
      <c r="H697" s="46"/>
      <c r="I697" s="46"/>
      <c r="J697" s="46"/>
      <c r="K697" s="46"/>
      <c r="L697" s="71"/>
      <c r="M697" s="60"/>
      <c r="N697" s="60"/>
      <c r="O697" s="60"/>
      <c r="P697" s="60"/>
      <c r="W697" s="2"/>
      <c r="X697" s="2"/>
    </row>
    <row r="698" spans="1:24" ht="15.75" customHeight="1" x14ac:dyDescent="0.2">
      <c r="A698" s="44"/>
      <c r="B698" s="47"/>
      <c r="C698" s="50"/>
      <c r="D698" s="50"/>
      <c r="E698" s="50"/>
      <c r="F698" s="50"/>
      <c r="G698" s="46"/>
      <c r="H698" s="46"/>
      <c r="I698" s="46"/>
      <c r="J698" s="46"/>
      <c r="K698" s="46"/>
      <c r="L698" s="71"/>
      <c r="M698" s="60"/>
      <c r="N698" s="60"/>
      <c r="O698" s="60"/>
      <c r="P698" s="60"/>
      <c r="W698" s="2"/>
      <c r="X698" s="2"/>
    </row>
    <row r="699" spans="1:24" ht="15.75" customHeight="1" x14ac:dyDescent="0.2">
      <c r="A699" s="44"/>
      <c r="B699" s="47"/>
      <c r="C699" s="50"/>
      <c r="D699" s="50"/>
      <c r="E699" s="50"/>
      <c r="F699" s="50"/>
      <c r="G699" s="46"/>
      <c r="H699" s="46"/>
      <c r="I699" s="46"/>
      <c r="J699" s="46"/>
      <c r="K699" s="46"/>
      <c r="L699" s="71"/>
      <c r="M699" s="60"/>
      <c r="N699" s="60"/>
      <c r="O699" s="60"/>
      <c r="P699" s="60"/>
      <c r="W699" s="2"/>
      <c r="X699" s="2"/>
    </row>
    <row r="700" spans="1:24" ht="15.75" customHeight="1" x14ac:dyDescent="0.2">
      <c r="A700" s="44"/>
      <c r="B700" s="47"/>
      <c r="C700" s="50"/>
      <c r="D700" s="50"/>
      <c r="E700" s="50"/>
      <c r="F700" s="50"/>
      <c r="G700" s="46"/>
      <c r="H700" s="46"/>
      <c r="I700" s="46"/>
      <c r="J700" s="46"/>
      <c r="K700" s="46"/>
      <c r="L700" s="71"/>
      <c r="M700" s="60"/>
      <c r="N700" s="60"/>
      <c r="O700" s="60"/>
      <c r="P700" s="60"/>
      <c r="W700" s="2"/>
      <c r="X700" s="2"/>
    </row>
    <row r="701" spans="1:24" ht="15.75" customHeight="1" x14ac:dyDescent="0.2">
      <c r="A701" s="44"/>
      <c r="B701" s="47"/>
      <c r="C701" s="50"/>
      <c r="D701" s="50"/>
      <c r="E701" s="50"/>
      <c r="F701" s="50"/>
      <c r="G701" s="46"/>
      <c r="H701" s="46"/>
      <c r="I701" s="46"/>
      <c r="J701" s="46"/>
      <c r="K701" s="46"/>
      <c r="L701" s="71"/>
      <c r="M701" s="60"/>
      <c r="N701" s="60"/>
      <c r="O701" s="60"/>
      <c r="P701" s="60"/>
      <c r="W701" s="2"/>
      <c r="X701" s="2"/>
    </row>
    <row r="702" spans="1:24" ht="15.75" customHeight="1" x14ac:dyDescent="0.2">
      <c r="A702" s="44"/>
      <c r="B702" s="47"/>
      <c r="C702" s="50"/>
      <c r="D702" s="50"/>
      <c r="E702" s="50"/>
      <c r="F702" s="50"/>
      <c r="G702" s="46"/>
      <c r="H702" s="46"/>
      <c r="I702" s="46"/>
      <c r="J702" s="46"/>
      <c r="K702" s="46"/>
      <c r="L702" s="71"/>
      <c r="M702" s="60"/>
      <c r="N702" s="60"/>
      <c r="O702" s="60"/>
      <c r="P702" s="60"/>
      <c r="W702" s="2"/>
      <c r="X702" s="2"/>
    </row>
    <row r="703" spans="1:24" ht="15.75" customHeight="1" x14ac:dyDescent="0.2">
      <c r="A703" s="44"/>
      <c r="B703" s="47"/>
      <c r="C703" s="50"/>
      <c r="D703" s="50"/>
      <c r="E703" s="50"/>
      <c r="F703" s="50"/>
      <c r="G703" s="46"/>
      <c r="H703" s="46"/>
      <c r="I703" s="46"/>
      <c r="J703" s="46"/>
      <c r="K703" s="46"/>
      <c r="L703" s="71"/>
      <c r="M703" s="60"/>
      <c r="N703" s="60"/>
      <c r="O703" s="60"/>
      <c r="P703" s="60"/>
      <c r="W703" s="2"/>
      <c r="X703" s="2"/>
    </row>
    <row r="704" spans="1:24" ht="15.75" customHeight="1" x14ac:dyDescent="0.2">
      <c r="A704" s="44"/>
      <c r="B704" s="47"/>
      <c r="C704" s="50"/>
      <c r="D704" s="50"/>
      <c r="E704" s="50"/>
      <c r="F704" s="50"/>
      <c r="G704" s="46"/>
      <c r="H704" s="46"/>
      <c r="I704" s="46"/>
      <c r="J704" s="46"/>
      <c r="K704" s="46"/>
      <c r="L704" s="71"/>
      <c r="M704" s="60"/>
      <c r="N704" s="60"/>
      <c r="O704" s="60"/>
      <c r="P704" s="60"/>
      <c r="W704" s="2"/>
      <c r="X704" s="2"/>
    </row>
    <row r="705" spans="1:24" ht="15.75" customHeight="1" x14ac:dyDescent="0.2">
      <c r="A705" s="44"/>
      <c r="B705" s="47"/>
      <c r="C705" s="50"/>
      <c r="D705" s="50"/>
      <c r="E705" s="50"/>
      <c r="F705" s="50"/>
      <c r="G705" s="46"/>
      <c r="H705" s="46"/>
      <c r="I705" s="46"/>
      <c r="J705" s="46"/>
      <c r="K705" s="46"/>
      <c r="L705" s="71"/>
      <c r="M705" s="60"/>
      <c r="N705" s="60"/>
      <c r="O705" s="60"/>
      <c r="P705" s="60"/>
      <c r="W705" s="2"/>
      <c r="X705" s="2"/>
    </row>
    <row r="706" spans="1:24" ht="15.75" customHeight="1" x14ac:dyDescent="0.2">
      <c r="A706" s="44"/>
      <c r="B706" s="47"/>
      <c r="C706" s="50"/>
      <c r="D706" s="50"/>
      <c r="E706" s="50"/>
      <c r="F706" s="50"/>
      <c r="G706" s="46"/>
      <c r="H706" s="46"/>
      <c r="I706" s="46"/>
      <c r="J706" s="46"/>
      <c r="K706" s="46"/>
      <c r="L706" s="71"/>
      <c r="M706" s="60"/>
      <c r="N706" s="60"/>
      <c r="O706" s="60"/>
      <c r="P706" s="60"/>
      <c r="W706" s="2"/>
      <c r="X706" s="2"/>
    </row>
    <row r="707" spans="1:24" ht="15.75" customHeight="1" x14ac:dyDescent="0.2">
      <c r="A707" s="44"/>
      <c r="B707" s="47"/>
      <c r="C707" s="50"/>
      <c r="D707" s="50"/>
      <c r="E707" s="50"/>
      <c r="F707" s="50"/>
      <c r="G707" s="46"/>
      <c r="H707" s="46"/>
      <c r="I707" s="46"/>
      <c r="J707" s="46"/>
      <c r="K707" s="46"/>
      <c r="L707" s="71"/>
      <c r="M707" s="60"/>
      <c r="N707" s="60"/>
      <c r="O707" s="60"/>
      <c r="P707" s="60"/>
      <c r="W707" s="2"/>
      <c r="X707" s="2"/>
    </row>
    <row r="708" spans="1:24" ht="15.75" customHeight="1" x14ac:dyDescent="0.2">
      <c r="A708" s="44"/>
      <c r="B708" s="47"/>
      <c r="C708" s="50"/>
      <c r="D708" s="50"/>
      <c r="E708" s="50"/>
      <c r="F708" s="50"/>
      <c r="G708" s="46"/>
      <c r="H708" s="46"/>
      <c r="I708" s="46"/>
      <c r="J708" s="46"/>
      <c r="K708" s="46"/>
      <c r="L708" s="71"/>
      <c r="M708" s="60"/>
      <c r="N708" s="60"/>
      <c r="O708" s="60"/>
      <c r="P708" s="60"/>
      <c r="W708" s="2"/>
      <c r="X708" s="2"/>
    </row>
    <row r="709" spans="1:24" ht="15.75" customHeight="1" x14ac:dyDescent="0.2">
      <c r="A709" s="44"/>
      <c r="B709" s="47"/>
      <c r="C709" s="50"/>
      <c r="D709" s="50"/>
      <c r="E709" s="50"/>
      <c r="F709" s="50"/>
      <c r="G709" s="46"/>
      <c r="H709" s="46"/>
      <c r="I709" s="46"/>
      <c r="J709" s="46"/>
      <c r="K709" s="46"/>
      <c r="L709" s="71"/>
      <c r="M709" s="60"/>
      <c r="N709" s="60"/>
      <c r="O709" s="60"/>
      <c r="P709" s="60"/>
      <c r="W709" s="2"/>
      <c r="X709" s="2"/>
    </row>
    <row r="710" spans="1:24" ht="15.75" customHeight="1" x14ac:dyDescent="0.2">
      <c r="A710" s="44"/>
      <c r="B710" s="47"/>
      <c r="C710" s="50"/>
      <c r="D710" s="50"/>
      <c r="E710" s="50"/>
      <c r="F710" s="50"/>
      <c r="G710" s="46"/>
      <c r="H710" s="46"/>
      <c r="I710" s="46"/>
      <c r="J710" s="46"/>
      <c r="K710" s="46"/>
      <c r="L710" s="71"/>
      <c r="M710" s="60"/>
      <c r="N710" s="60"/>
      <c r="O710" s="60"/>
      <c r="P710" s="60"/>
      <c r="W710" s="2"/>
      <c r="X710" s="2"/>
    </row>
    <row r="711" spans="1:24" ht="15.75" customHeight="1" x14ac:dyDescent="0.2">
      <c r="A711" s="44"/>
      <c r="B711" s="47"/>
      <c r="C711" s="50"/>
      <c r="D711" s="50"/>
      <c r="E711" s="50"/>
      <c r="F711" s="50"/>
      <c r="G711" s="46"/>
      <c r="H711" s="46"/>
      <c r="I711" s="46"/>
      <c r="J711" s="46"/>
      <c r="K711" s="46"/>
      <c r="L711" s="71"/>
      <c r="M711" s="60"/>
      <c r="N711" s="60"/>
      <c r="O711" s="60"/>
      <c r="P711" s="60"/>
      <c r="W711" s="2"/>
      <c r="X711" s="2"/>
    </row>
    <row r="712" spans="1:24" ht="15.75" customHeight="1" x14ac:dyDescent="0.2">
      <c r="A712" s="44"/>
      <c r="B712" s="47"/>
      <c r="C712" s="50"/>
      <c r="D712" s="50"/>
      <c r="E712" s="50"/>
      <c r="F712" s="50"/>
      <c r="G712" s="46"/>
      <c r="H712" s="46"/>
      <c r="I712" s="46"/>
      <c r="J712" s="46"/>
      <c r="K712" s="46"/>
      <c r="L712" s="71"/>
      <c r="M712" s="60"/>
      <c r="N712" s="60"/>
      <c r="O712" s="60"/>
      <c r="P712" s="60"/>
      <c r="W712" s="2"/>
      <c r="X712" s="2"/>
    </row>
    <row r="713" spans="1:24" ht="15.75" customHeight="1" x14ac:dyDescent="0.2">
      <c r="A713" s="44"/>
      <c r="B713" s="47"/>
      <c r="C713" s="50"/>
      <c r="D713" s="50"/>
      <c r="E713" s="50"/>
      <c r="F713" s="50"/>
      <c r="G713" s="46"/>
      <c r="H713" s="46"/>
      <c r="I713" s="46"/>
      <c r="J713" s="46"/>
      <c r="K713" s="46"/>
      <c r="L713" s="71"/>
      <c r="M713" s="60"/>
      <c r="N713" s="60"/>
      <c r="O713" s="60"/>
      <c r="P713" s="60"/>
      <c r="W713" s="2"/>
      <c r="X713" s="2"/>
    </row>
    <row r="714" spans="1:24" ht="15.75" customHeight="1" x14ac:dyDescent="0.2">
      <c r="A714" s="44"/>
      <c r="B714" s="47"/>
      <c r="C714" s="50"/>
      <c r="D714" s="50"/>
      <c r="E714" s="50"/>
      <c r="F714" s="50"/>
      <c r="G714" s="46"/>
      <c r="H714" s="46"/>
      <c r="I714" s="46"/>
      <c r="J714" s="46"/>
      <c r="K714" s="46"/>
      <c r="L714" s="71"/>
      <c r="M714" s="60"/>
      <c r="N714" s="60"/>
      <c r="O714" s="60"/>
      <c r="P714" s="60"/>
      <c r="W714" s="2"/>
      <c r="X714" s="2"/>
    </row>
    <row r="715" spans="1:24" ht="15.75" customHeight="1" x14ac:dyDescent="0.2">
      <c r="A715" s="44"/>
      <c r="B715" s="47"/>
      <c r="C715" s="50"/>
      <c r="D715" s="50"/>
      <c r="E715" s="50"/>
      <c r="F715" s="50"/>
      <c r="G715" s="46"/>
      <c r="H715" s="46"/>
      <c r="I715" s="46"/>
      <c r="J715" s="46"/>
      <c r="K715" s="46"/>
      <c r="L715" s="71"/>
      <c r="M715" s="60"/>
      <c r="N715" s="60"/>
      <c r="O715" s="60"/>
      <c r="P715" s="60"/>
      <c r="W715" s="2"/>
      <c r="X715" s="2"/>
    </row>
    <row r="716" spans="1:24" ht="15.75" customHeight="1" x14ac:dyDescent="0.2">
      <c r="A716" s="44"/>
      <c r="B716" s="47"/>
      <c r="C716" s="50"/>
      <c r="D716" s="50"/>
      <c r="E716" s="50"/>
      <c r="F716" s="50"/>
      <c r="G716" s="46"/>
      <c r="H716" s="46"/>
      <c r="I716" s="46"/>
      <c r="J716" s="46"/>
      <c r="K716" s="46"/>
      <c r="L716" s="71"/>
      <c r="M716" s="60"/>
      <c r="N716" s="60"/>
      <c r="O716" s="60"/>
      <c r="P716" s="60"/>
      <c r="W716" s="2"/>
      <c r="X716" s="2"/>
    </row>
    <row r="717" spans="1:24" ht="15.75" customHeight="1" x14ac:dyDescent="0.2">
      <c r="A717" s="44"/>
      <c r="B717" s="47"/>
      <c r="C717" s="50"/>
      <c r="D717" s="50"/>
      <c r="E717" s="50"/>
      <c r="F717" s="50"/>
      <c r="G717" s="46"/>
      <c r="H717" s="46"/>
      <c r="I717" s="46"/>
      <c r="J717" s="46"/>
      <c r="K717" s="46"/>
      <c r="L717" s="71"/>
      <c r="M717" s="60"/>
      <c r="N717" s="60"/>
      <c r="O717" s="60"/>
      <c r="P717" s="60"/>
      <c r="W717" s="2"/>
      <c r="X717" s="2"/>
    </row>
    <row r="718" spans="1:24" ht="15.75" customHeight="1" x14ac:dyDescent="0.2">
      <c r="A718" s="44"/>
      <c r="B718" s="47"/>
      <c r="C718" s="50"/>
      <c r="D718" s="50"/>
      <c r="E718" s="50"/>
      <c r="F718" s="50"/>
      <c r="G718" s="46"/>
      <c r="H718" s="46"/>
      <c r="I718" s="46"/>
      <c r="J718" s="46"/>
      <c r="K718" s="46"/>
      <c r="L718" s="71"/>
      <c r="M718" s="60"/>
      <c r="N718" s="60"/>
      <c r="O718" s="60"/>
      <c r="P718" s="60"/>
      <c r="W718" s="2"/>
      <c r="X718" s="2"/>
    </row>
    <row r="719" spans="1:24" ht="15.75" customHeight="1" x14ac:dyDescent="0.2">
      <c r="A719" s="44"/>
      <c r="B719" s="47"/>
      <c r="C719" s="50"/>
      <c r="D719" s="50"/>
      <c r="E719" s="50"/>
      <c r="F719" s="50"/>
      <c r="G719" s="46"/>
      <c r="H719" s="46"/>
      <c r="I719" s="46"/>
      <c r="J719" s="46"/>
      <c r="K719" s="46"/>
      <c r="L719" s="71"/>
      <c r="M719" s="60"/>
      <c r="N719" s="60"/>
      <c r="O719" s="60"/>
      <c r="P719" s="60"/>
      <c r="W719" s="2"/>
      <c r="X719" s="2"/>
    </row>
    <row r="720" spans="1:24" ht="15.75" customHeight="1" x14ac:dyDescent="0.2">
      <c r="A720" s="44"/>
      <c r="B720" s="47"/>
      <c r="C720" s="50"/>
      <c r="D720" s="50"/>
      <c r="E720" s="50"/>
      <c r="F720" s="50"/>
      <c r="G720" s="46"/>
      <c r="H720" s="46"/>
      <c r="I720" s="46"/>
      <c r="J720" s="46"/>
      <c r="K720" s="46"/>
      <c r="L720" s="71"/>
      <c r="M720" s="60"/>
      <c r="N720" s="60"/>
      <c r="O720" s="60"/>
      <c r="P720" s="60"/>
      <c r="W720" s="2"/>
      <c r="X720" s="2"/>
    </row>
    <row r="721" spans="1:24" ht="15.75" customHeight="1" x14ac:dyDescent="0.2">
      <c r="A721" s="44"/>
      <c r="B721" s="47"/>
      <c r="C721" s="50"/>
      <c r="D721" s="50"/>
      <c r="E721" s="50"/>
      <c r="F721" s="50"/>
      <c r="G721" s="46"/>
      <c r="H721" s="46"/>
      <c r="I721" s="46"/>
      <c r="J721" s="46"/>
      <c r="K721" s="46"/>
      <c r="L721" s="71"/>
      <c r="M721" s="60"/>
      <c r="N721" s="60"/>
      <c r="O721" s="60"/>
      <c r="P721" s="60"/>
      <c r="W721" s="2"/>
      <c r="X721" s="2"/>
    </row>
    <row r="722" spans="1:24" ht="15.75" customHeight="1" x14ac:dyDescent="0.2">
      <c r="A722" s="44"/>
      <c r="B722" s="47"/>
      <c r="C722" s="50"/>
      <c r="D722" s="50"/>
      <c r="E722" s="50"/>
      <c r="F722" s="50"/>
      <c r="G722" s="46"/>
      <c r="H722" s="46"/>
      <c r="I722" s="46"/>
      <c r="J722" s="46"/>
      <c r="K722" s="46"/>
      <c r="L722" s="71"/>
      <c r="M722" s="60"/>
      <c r="N722" s="60"/>
      <c r="O722" s="60"/>
      <c r="P722" s="60"/>
      <c r="W722" s="2"/>
      <c r="X722" s="2"/>
    </row>
    <row r="723" spans="1:24" ht="15.75" customHeight="1" x14ac:dyDescent="0.2">
      <c r="A723" s="44"/>
      <c r="B723" s="47"/>
      <c r="C723" s="50"/>
      <c r="D723" s="50"/>
      <c r="E723" s="50"/>
      <c r="F723" s="50"/>
      <c r="G723" s="46"/>
      <c r="H723" s="46"/>
      <c r="I723" s="46"/>
      <c r="J723" s="46"/>
      <c r="K723" s="46"/>
      <c r="L723" s="71"/>
      <c r="M723" s="60"/>
      <c r="N723" s="60"/>
      <c r="O723" s="60"/>
      <c r="P723" s="60"/>
      <c r="W723" s="2"/>
      <c r="X723" s="2"/>
    </row>
    <row r="724" spans="1:24" ht="15.75" customHeight="1" x14ac:dyDescent="0.2">
      <c r="A724" s="44"/>
      <c r="B724" s="47"/>
      <c r="C724" s="50"/>
      <c r="D724" s="50"/>
      <c r="E724" s="50"/>
      <c r="F724" s="50"/>
      <c r="G724" s="46"/>
      <c r="H724" s="46"/>
      <c r="I724" s="46"/>
      <c r="J724" s="46"/>
      <c r="K724" s="46"/>
      <c r="L724" s="71"/>
      <c r="M724" s="60"/>
      <c r="N724" s="60"/>
      <c r="O724" s="60"/>
      <c r="P724" s="60"/>
      <c r="W724" s="2"/>
      <c r="X724" s="2"/>
    </row>
    <row r="725" spans="1:24" ht="15.75" customHeight="1" x14ac:dyDescent="0.2">
      <c r="A725" s="44"/>
      <c r="B725" s="47"/>
      <c r="C725" s="50"/>
      <c r="D725" s="50"/>
      <c r="E725" s="50"/>
      <c r="F725" s="50"/>
      <c r="G725" s="46"/>
      <c r="H725" s="46"/>
      <c r="I725" s="46"/>
      <c r="J725" s="46"/>
      <c r="K725" s="46"/>
      <c r="L725" s="71"/>
      <c r="M725" s="60"/>
      <c r="N725" s="60"/>
      <c r="O725" s="60"/>
      <c r="P725" s="60"/>
      <c r="W725" s="2"/>
      <c r="X725" s="2"/>
    </row>
    <row r="726" spans="1:24" ht="15.75" customHeight="1" x14ac:dyDescent="0.2">
      <c r="A726" s="44"/>
      <c r="B726" s="47"/>
      <c r="C726" s="50"/>
      <c r="D726" s="50"/>
      <c r="E726" s="50"/>
      <c r="F726" s="50"/>
      <c r="G726" s="46"/>
      <c r="H726" s="46"/>
      <c r="I726" s="46"/>
      <c r="J726" s="46"/>
      <c r="K726" s="46"/>
      <c r="L726" s="71"/>
      <c r="M726" s="60"/>
      <c r="N726" s="60"/>
      <c r="O726" s="60"/>
      <c r="P726" s="60"/>
      <c r="W726" s="2"/>
      <c r="X726" s="2"/>
    </row>
    <row r="727" spans="1:24" ht="15.75" customHeight="1" x14ac:dyDescent="0.2">
      <c r="A727" s="44"/>
      <c r="B727" s="47"/>
      <c r="C727" s="50"/>
      <c r="D727" s="50"/>
      <c r="E727" s="50"/>
      <c r="F727" s="50"/>
      <c r="G727" s="46"/>
      <c r="H727" s="46"/>
      <c r="I727" s="46"/>
      <c r="J727" s="46"/>
      <c r="K727" s="46"/>
      <c r="L727" s="71"/>
      <c r="M727" s="60"/>
      <c r="N727" s="60"/>
      <c r="O727" s="60"/>
      <c r="P727" s="60"/>
      <c r="W727" s="2"/>
      <c r="X727" s="2"/>
    </row>
    <row r="728" spans="1:24" ht="15.75" customHeight="1" x14ac:dyDescent="0.2">
      <c r="A728" s="44"/>
      <c r="B728" s="47"/>
      <c r="C728" s="50"/>
      <c r="D728" s="50"/>
      <c r="E728" s="50"/>
      <c r="F728" s="50"/>
      <c r="G728" s="46"/>
      <c r="H728" s="46"/>
      <c r="I728" s="46"/>
      <c r="J728" s="46"/>
      <c r="K728" s="46"/>
      <c r="L728" s="71"/>
      <c r="M728" s="60"/>
      <c r="N728" s="60"/>
      <c r="O728" s="60"/>
      <c r="P728" s="60"/>
      <c r="W728" s="2"/>
      <c r="X728" s="2"/>
    </row>
    <row r="729" spans="1:24" ht="15.75" customHeight="1" x14ac:dyDescent="0.2">
      <c r="A729" s="44"/>
      <c r="B729" s="47"/>
      <c r="C729" s="50"/>
      <c r="D729" s="50"/>
      <c r="E729" s="50"/>
      <c r="F729" s="50"/>
      <c r="G729" s="46"/>
      <c r="H729" s="46"/>
      <c r="I729" s="46"/>
      <c r="J729" s="46"/>
      <c r="K729" s="46"/>
      <c r="L729" s="71"/>
      <c r="M729" s="60"/>
      <c r="N729" s="60"/>
      <c r="O729" s="60"/>
      <c r="P729" s="60"/>
      <c r="W729" s="2"/>
      <c r="X729" s="2"/>
    </row>
    <row r="730" spans="1:24" ht="15.75" customHeight="1" x14ac:dyDescent="0.2">
      <c r="A730" s="44"/>
      <c r="B730" s="47"/>
      <c r="C730" s="50"/>
      <c r="D730" s="50"/>
      <c r="E730" s="50"/>
      <c r="F730" s="50"/>
      <c r="G730" s="46"/>
      <c r="H730" s="46"/>
      <c r="I730" s="46"/>
      <c r="J730" s="46"/>
      <c r="K730" s="46"/>
      <c r="L730" s="71"/>
      <c r="M730" s="60"/>
      <c r="N730" s="60"/>
      <c r="O730" s="60"/>
      <c r="P730" s="60"/>
      <c r="W730" s="2"/>
      <c r="X730" s="2"/>
    </row>
    <row r="731" spans="1:24" ht="15.75" customHeight="1" x14ac:dyDescent="0.2">
      <c r="A731" s="44"/>
      <c r="B731" s="47"/>
      <c r="C731" s="50"/>
      <c r="D731" s="50"/>
      <c r="E731" s="50"/>
      <c r="F731" s="50"/>
      <c r="G731" s="46"/>
      <c r="H731" s="46"/>
      <c r="I731" s="46"/>
      <c r="J731" s="46"/>
      <c r="K731" s="46"/>
      <c r="L731" s="71"/>
      <c r="M731" s="60"/>
      <c r="N731" s="60"/>
      <c r="O731" s="60"/>
      <c r="P731" s="60"/>
      <c r="W731" s="2"/>
      <c r="X731" s="2"/>
    </row>
    <row r="732" spans="1:24" ht="15.75" customHeight="1" x14ac:dyDescent="0.2">
      <c r="A732" s="44"/>
      <c r="B732" s="47"/>
      <c r="C732" s="50"/>
      <c r="D732" s="50"/>
      <c r="E732" s="50"/>
      <c r="F732" s="50"/>
      <c r="G732" s="46"/>
      <c r="H732" s="46"/>
      <c r="I732" s="46"/>
      <c r="J732" s="46"/>
      <c r="K732" s="46"/>
      <c r="L732" s="71"/>
      <c r="M732" s="60"/>
      <c r="N732" s="60"/>
      <c r="O732" s="60"/>
      <c r="P732" s="60"/>
      <c r="W732" s="2"/>
      <c r="X732" s="2"/>
    </row>
    <row r="733" spans="1:24" ht="15.75" customHeight="1" x14ac:dyDescent="0.2">
      <c r="A733" s="44"/>
      <c r="B733" s="47"/>
      <c r="C733" s="50"/>
      <c r="D733" s="50"/>
      <c r="E733" s="50"/>
      <c r="F733" s="50"/>
      <c r="G733" s="46"/>
      <c r="H733" s="46"/>
      <c r="I733" s="46"/>
      <c r="J733" s="46"/>
      <c r="K733" s="46"/>
      <c r="L733" s="71"/>
      <c r="M733" s="60"/>
      <c r="N733" s="60"/>
      <c r="O733" s="60"/>
      <c r="P733" s="60"/>
      <c r="W733" s="2"/>
      <c r="X733" s="2"/>
    </row>
    <row r="734" spans="1:24" ht="15.75" customHeight="1" x14ac:dyDescent="0.2">
      <c r="A734" s="44"/>
      <c r="B734" s="47"/>
      <c r="C734" s="50"/>
      <c r="D734" s="50"/>
      <c r="E734" s="50"/>
      <c r="F734" s="50"/>
      <c r="G734" s="46"/>
      <c r="H734" s="46"/>
      <c r="I734" s="46"/>
      <c r="J734" s="46"/>
      <c r="K734" s="46"/>
      <c r="L734" s="71"/>
      <c r="M734" s="60"/>
      <c r="N734" s="60"/>
      <c r="O734" s="60"/>
      <c r="P734" s="60"/>
      <c r="W734" s="2"/>
      <c r="X734" s="2"/>
    </row>
    <row r="735" spans="1:24" ht="15.75" customHeight="1" x14ac:dyDescent="0.2">
      <c r="A735" s="44"/>
      <c r="B735" s="47"/>
      <c r="C735" s="50"/>
      <c r="D735" s="50"/>
      <c r="E735" s="50"/>
      <c r="F735" s="50"/>
      <c r="G735" s="46"/>
      <c r="H735" s="46"/>
      <c r="I735" s="46"/>
      <c r="J735" s="46"/>
      <c r="K735" s="46"/>
      <c r="L735" s="71"/>
      <c r="M735" s="60"/>
      <c r="N735" s="60"/>
      <c r="O735" s="60"/>
      <c r="P735" s="60"/>
      <c r="W735" s="2"/>
      <c r="X735" s="2"/>
    </row>
    <row r="736" spans="1:24" ht="15.75" customHeight="1" x14ac:dyDescent="0.2">
      <c r="A736" s="44"/>
      <c r="B736" s="47"/>
      <c r="C736" s="50"/>
      <c r="D736" s="50"/>
      <c r="E736" s="50"/>
      <c r="F736" s="50"/>
      <c r="G736" s="46"/>
      <c r="H736" s="46"/>
      <c r="I736" s="46"/>
      <c r="J736" s="46"/>
      <c r="K736" s="46"/>
      <c r="L736" s="71"/>
      <c r="M736" s="60"/>
      <c r="N736" s="60"/>
      <c r="O736" s="60"/>
      <c r="P736" s="60"/>
      <c r="W736" s="2"/>
      <c r="X736" s="2"/>
    </row>
    <row r="737" spans="1:24" ht="15.75" customHeight="1" x14ac:dyDescent="0.2">
      <c r="A737" s="44"/>
      <c r="B737" s="47"/>
      <c r="C737" s="50"/>
      <c r="D737" s="50"/>
      <c r="E737" s="50"/>
      <c r="F737" s="50"/>
      <c r="G737" s="46"/>
      <c r="H737" s="46"/>
      <c r="I737" s="46"/>
      <c r="J737" s="46"/>
      <c r="K737" s="46"/>
      <c r="L737" s="71"/>
      <c r="M737" s="60"/>
      <c r="N737" s="60"/>
      <c r="O737" s="60"/>
      <c r="P737" s="60"/>
      <c r="W737" s="2"/>
      <c r="X737" s="2"/>
    </row>
    <row r="738" spans="1:24" ht="15.75" customHeight="1" x14ac:dyDescent="0.2">
      <c r="A738" s="44"/>
      <c r="B738" s="47"/>
      <c r="C738" s="50"/>
      <c r="D738" s="50"/>
      <c r="E738" s="50"/>
      <c r="F738" s="50"/>
      <c r="G738" s="46"/>
      <c r="H738" s="46"/>
      <c r="I738" s="46"/>
      <c r="J738" s="46"/>
      <c r="K738" s="46"/>
      <c r="L738" s="71"/>
      <c r="M738" s="60"/>
      <c r="N738" s="60"/>
      <c r="O738" s="60"/>
      <c r="P738" s="60"/>
      <c r="W738" s="2"/>
      <c r="X738" s="2"/>
    </row>
    <row r="739" spans="1:24" ht="15.75" customHeight="1" x14ac:dyDescent="0.2">
      <c r="A739" s="44"/>
      <c r="B739" s="47"/>
      <c r="C739" s="50"/>
      <c r="D739" s="50"/>
      <c r="E739" s="50"/>
      <c r="F739" s="50"/>
      <c r="G739" s="46"/>
      <c r="H739" s="46"/>
      <c r="I739" s="46"/>
      <c r="J739" s="46"/>
      <c r="K739" s="46"/>
      <c r="L739" s="71"/>
      <c r="M739" s="60"/>
      <c r="N739" s="60"/>
      <c r="O739" s="60"/>
      <c r="P739" s="60"/>
      <c r="W739" s="2"/>
      <c r="X739" s="2"/>
    </row>
    <row r="740" spans="1:24" ht="15.75" customHeight="1" x14ac:dyDescent="0.2">
      <c r="A740" s="44"/>
      <c r="B740" s="47"/>
      <c r="C740" s="50"/>
      <c r="D740" s="50"/>
      <c r="E740" s="50"/>
      <c r="F740" s="50"/>
      <c r="G740" s="46"/>
      <c r="H740" s="46"/>
      <c r="I740" s="46"/>
      <c r="J740" s="46"/>
      <c r="K740" s="46"/>
      <c r="L740" s="71"/>
      <c r="M740" s="60"/>
      <c r="N740" s="60"/>
      <c r="O740" s="60"/>
      <c r="P740" s="60"/>
      <c r="W740" s="2"/>
      <c r="X740" s="2"/>
    </row>
    <row r="741" spans="1:24" ht="15.75" customHeight="1" x14ac:dyDescent="0.2">
      <c r="A741" s="44"/>
      <c r="B741" s="47"/>
      <c r="C741" s="50"/>
      <c r="D741" s="50"/>
      <c r="E741" s="50"/>
      <c r="F741" s="50"/>
      <c r="G741" s="46"/>
      <c r="H741" s="46"/>
      <c r="I741" s="46"/>
      <c r="J741" s="46"/>
      <c r="K741" s="46"/>
      <c r="L741" s="71"/>
      <c r="M741" s="60"/>
      <c r="N741" s="60"/>
      <c r="O741" s="60"/>
      <c r="P741" s="60"/>
      <c r="W741" s="2"/>
      <c r="X741" s="2"/>
    </row>
    <row r="742" spans="1:24" ht="15.75" customHeight="1" x14ac:dyDescent="0.2">
      <c r="A742" s="44"/>
      <c r="B742" s="47"/>
      <c r="C742" s="50"/>
      <c r="D742" s="50"/>
      <c r="E742" s="50"/>
      <c r="F742" s="50"/>
      <c r="G742" s="46"/>
      <c r="H742" s="46"/>
      <c r="I742" s="46"/>
      <c r="J742" s="46"/>
      <c r="K742" s="46"/>
      <c r="L742" s="71"/>
      <c r="M742" s="60"/>
      <c r="N742" s="60"/>
      <c r="O742" s="60"/>
      <c r="P742" s="60"/>
      <c r="W742" s="2"/>
      <c r="X742" s="2"/>
    </row>
    <row r="743" spans="1:24" ht="15.75" customHeight="1" x14ac:dyDescent="0.2">
      <c r="A743" s="44"/>
      <c r="B743" s="47"/>
      <c r="C743" s="50"/>
      <c r="D743" s="50"/>
      <c r="E743" s="50"/>
      <c r="F743" s="50"/>
      <c r="G743" s="46"/>
      <c r="H743" s="46"/>
      <c r="I743" s="46"/>
      <c r="J743" s="46"/>
      <c r="K743" s="46"/>
      <c r="L743" s="71"/>
      <c r="M743" s="60"/>
      <c r="N743" s="60"/>
      <c r="O743" s="60"/>
      <c r="P743" s="60"/>
      <c r="W743" s="2"/>
      <c r="X743" s="2"/>
    </row>
    <row r="744" spans="1:24" ht="15.75" customHeight="1" x14ac:dyDescent="0.2">
      <c r="A744" s="44"/>
      <c r="B744" s="47"/>
      <c r="C744" s="50"/>
      <c r="D744" s="50"/>
      <c r="E744" s="50"/>
      <c r="F744" s="50"/>
      <c r="G744" s="46"/>
      <c r="H744" s="46"/>
      <c r="I744" s="46"/>
      <c r="J744" s="46"/>
      <c r="K744" s="46"/>
      <c r="L744" s="71"/>
      <c r="M744" s="60"/>
      <c r="N744" s="60"/>
      <c r="O744" s="60"/>
      <c r="P744" s="60"/>
      <c r="W744" s="2"/>
      <c r="X744" s="2"/>
    </row>
    <row r="745" spans="1:24" ht="15.75" customHeight="1" x14ac:dyDescent="0.2">
      <c r="A745" s="44"/>
      <c r="B745" s="47"/>
      <c r="C745" s="50"/>
      <c r="D745" s="50"/>
      <c r="E745" s="50"/>
      <c r="F745" s="50"/>
      <c r="G745" s="46"/>
      <c r="H745" s="46"/>
      <c r="I745" s="46"/>
      <c r="J745" s="46"/>
      <c r="K745" s="46"/>
      <c r="L745" s="71"/>
      <c r="M745" s="60"/>
      <c r="N745" s="60"/>
      <c r="O745" s="60"/>
      <c r="P745" s="60"/>
      <c r="W745" s="2"/>
      <c r="X745" s="2"/>
    </row>
    <row r="746" spans="1:24" ht="15.75" customHeight="1" x14ac:dyDescent="0.2">
      <c r="A746" s="44"/>
      <c r="B746" s="47"/>
      <c r="C746" s="50"/>
      <c r="D746" s="50"/>
      <c r="E746" s="50"/>
      <c r="F746" s="50"/>
      <c r="G746" s="46"/>
      <c r="H746" s="46"/>
      <c r="I746" s="46"/>
      <c r="J746" s="46"/>
      <c r="K746" s="46"/>
      <c r="L746" s="71"/>
      <c r="M746" s="60"/>
      <c r="N746" s="60"/>
      <c r="O746" s="60"/>
      <c r="P746" s="60"/>
      <c r="W746" s="2"/>
      <c r="X746" s="2"/>
    </row>
    <row r="747" spans="1:24" ht="15.75" customHeight="1" x14ac:dyDescent="0.2">
      <c r="A747" s="44"/>
      <c r="B747" s="47"/>
      <c r="C747" s="50"/>
      <c r="D747" s="50"/>
      <c r="E747" s="50"/>
      <c r="F747" s="50"/>
      <c r="G747" s="46"/>
      <c r="H747" s="46"/>
      <c r="I747" s="46"/>
      <c r="J747" s="46"/>
      <c r="K747" s="46"/>
      <c r="L747" s="71"/>
      <c r="M747" s="60"/>
      <c r="N747" s="60"/>
      <c r="O747" s="60"/>
      <c r="P747" s="60"/>
      <c r="W747" s="2"/>
      <c r="X747" s="2"/>
    </row>
    <row r="748" spans="1:24" ht="15.75" customHeight="1" x14ac:dyDescent="0.2">
      <c r="A748" s="44"/>
      <c r="B748" s="47"/>
      <c r="C748" s="50"/>
      <c r="D748" s="50"/>
      <c r="E748" s="50"/>
      <c r="F748" s="50"/>
      <c r="G748" s="46"/>
      <c r="H748" s="46"/>
      <c r="I748" s="46"/>
      <c r="J748" s="46"/>
      <c r="K748" s="46"/>
      <c r="L748" s="71"/>
      <c r="M748" s="60"/>
      <c r="N748" s="60"/>
      <c r="O748" s="60"/>
      <c r="P748" s="60"/>
      <c r="W748" s="2"/>
      <c r="X748" s="2"/>
    </row>
    <row r="749" spans="1:24" ht="15.75" customHeight="1" x14ac:dyDescent="0.2">
      <c r="A749" s="44"/>
      <c r="B749" s="47"/>
      <c r="C749" s="50"/>
      <c r="D749" s="50"/>
      <c r="E749" s="50"/>
      <c r="F749" s="50"/>
      <c r="G749" s="46"/>
      <c r="H749" s="46"/>
      <c r="I749" s="46"/>
      <c r="J749" s="46"/>
      <c r="K749" s="46"/>
      <c r="L749" s="71"/>
      <c r="M749" s="60"/>
      <c r="N749" s="60"/>
      <c r="O749" s="60"/>
      <c r="P749" s="60"/>
      <c r="W749" s="2"/>
      <c r="X749" s="2"/>
    </row>
    <row r="750" spans="1:24" ht="15.75" customHeight="1" x14ac:dyDescent="0.2">
      <c r="A750" s="44"/>
      <c r="B750" s="47"/>
      <c r="C750" s="50"/>
      <c r="D750" s="50"/>
      <c r="E750" s="50"/>
      <c r="F750" s="50"/>
      <c r="G750" s="46"/>
      <c r="H750" s="46"/>
      <c r="I750" s="46"/>
      <c r="J750" s="46"/>
      <c r="K750" s="46"/>
      <c r="L750" s="71"/>
      <c r="M750" s="60"/>
      <c r="N750" s="60"/>
      <c r="O750" s="60"/>
      <c r="P750" s="60"/>
      <c r="W750" s="2"/>
      <c r="X750" s="2"/>
    </row>
    <row r="751" spans="1:24" ht="15.75" customHeight="1" x14ac:dyDescent="0.2">
      <c r="A751" s="44"/>
      <c r="B751" s="47"/>
      <c r="C751" s="50"/>
      <c r="D751" s="50"/>
      <c r="E751" s="50"/>
      <c r="F751" s="50"/>
      <c r="G751" s="46"/>
      <c r="H751" s="46"/>
      <c r="I751" s="46"/>
      <c r="J751" s="46"/>
      <c r="K751" s="46"/>
      <c r="L751" s="71"/>
      <c r="M751" s="60"/>
      <c r="N751" s="60"/>
      <c r="O751" s="60"/>
      <c r="P751" s="60"/>
      <c r="W751" s="2"/>
      <c r="X751" s="2"/>
    </row>
    <row r="752" spans="1:24" ht="15.75" customHeight="1" x14ac:dyDescent="0.2">
      <c r="A752" s="44"/>
      <c r="B752" s="47"/>
      <c r="C752" s="50"/>
      <c r="D752" s="50"/>
      <c r="E752" s="50"/>
      <c r="F752" s="50"/>
      <c r="G752" s="46"/>
      <c r="H752" s="46"/>
      <c r="I752" s="46"/>
      <c r="J752" s="46"/>
      <c r="K752" s="46"/>
      <c r="L752" s="71"/>
      <c r="M752" s="60"/>
      <c r="N752" s="60"/>
      <c r="O752" s="60"/>
      <c r="P752" s="60"/>
      <c r="W752" s="2"/>
      <c r="X752" s="2"/>
    </row>
    <row r="753" spans="1:24" ht="15.75" customHeight="1" x14ac:dyDescent="0.2">
      <c r="A753" s="44"/>
      <c r="B753" s="47"/>
      <c r="C753" s="50"/>
      <c r="D753" s="50"/>
      <c r="E753" s="50"/>
      <c r="F753" s="50"/>
      <c r="G753" s="46"/>
      <c r="H753" s="46"/>
      <c r="I753" s="46"/>
      <c r="J753" s="46"/>
      <c r="K753" s="46"/>
      <c r="L753" s="71"/>
      <c r="M753" s="60"/>
      <c r="N753" s="60"/>
      <c r="O753" s="60"/>
      <c r="P753" s="60"/>
      <c r="W753" s="2"/>
      <c r="X753" s="2"/>
    </row>
    <row r="754" spans="1:24" ht="15.75" customHeight="1" x14ac:dyDescent="0.2">
      <c r="A754" s="44"/>
      <c r="B754" s="47"/>
      <c r="C754" s="50"/>
      <c r="D754" s="50"/>
      <c r="E754" s="50"/>
      <c r="F754" s="50"/>
      <c r="G754" s="46"/>
      <c r="H754" s="46"/>
      <c r="I754" s="46"/>
      <c r="J754" s="46"/>
      <c r="K754" s="46"/>
      <c r="L754" s="71"/>
      <c r="M754" s="60"/>
      <c r="N754" s="60"/>
      <c r="O754" s="60"/>
      <c r="P754" s="60"/>
      <c r="W754" s="2"/>
      <c r="X754" s="2"/>
    </row>
    <row r="755" spans="1:24" ht="15.75" customHeight="1" x14ac:dyDescent="0.2">
      <c r="A755" s="44"/>
      <c r="B755" s="47"/>
      <c r="C755" s="50"/>
      <c r="D755" s="50"/>
      <c r="E755" s="50"/>
      <c r="F755" s="50"/>
      <c r="G755" s="46"/>
      <c r="H755" s="46"/>
      <c r="I755" s="46"/>
      <c r="J755" s="46"/>
      <c r="K755" s="46"/>
      <c r="L755" s="71"/>
      <c r="M755" s="60"/>
      <c r="N755" s="60"/>
      <c r="O755" s="60"/>
      <c r="P755" s="60"/>
      <c r="W755" s="2"/>
      <c r="X755" s="2"/>
    </row>
    <row r="756" spans="1:24" ht="15.75" customHeight="1" x14ac:dyDescent="0.2">
      <c r="A756" s="44"/>
      <c r="B756" s="47"/>
      <c r="C756" s="50"/>
      <c r="D756" s="50"/>
      <c r="E756" s="50"/>
      <c r="F756" s="50"/>
      <c r="G756" s="46"/>
      <c r="H756" s="46"/>
      <c r="I756" s="46"/>
      <c r="J756" s="46"/>
      <c r="K756" s="46"/>
      <c r="L756" s="71"/>
      <c r="M756" s="60"/>
      <c r="N756" s="60"/>
      <c r="O756" s="60"/>
      <c r="P756" s="60"/>
      <c r="W756" s="2"/>
      <c r="X756" s="2"/>
    </row>
    <row r="757" spans="1:24" ht="15.75" customHeight="1" x14ac:dyDescent="0.2">
      <c r="A757" s="44"/>
      <c r="B757" s="47"/>
      <c r="C757" s="50"/>
      <c r="D757" s="50"/>
      <c r="E757" s="50"/>
      <c r="F757" s="50"/>
      <c r="G757" s="46"/>
      <c r="H757" s="46"/>
      <c r="I757" s="46"/>
      <c r="J757" s="46"/>
      <c r="K757" s="46"/>
      <c r="L757" s="71"/>
      <c r="M757" s="60"/>
      <c r="N757" s="60"/>
      <c r="O757" s="60"/>
      <c r="P757" s="60"/>
      <c r="W757" s="2"/>
      <c r="X757" s="2"/>
    </row>
    <row r="758" spans="1:24" ht="15.75" customHeight="1" x14ac:dyDescent="0.2">
      <c r="A758" s="44"/>
      <c r="B758" s="47"/>
      <c r="C758" s="50"/>
      <c r="D758" s="50"/>
      <c r="E758" s="50"/>
      <c r="F758" s="50"/>
      <c r="G758" s="46"/>
      <c r="H758" s="46"/>
      <c r="I758" s="46"/>
      <c r="J758" s="46"/>
      <c r="K758" s="46"/>
      <c r="L758" s="71"/>
      <c r="M758" s="60"/>
      <c r="N758" s="60"/>
      <c r="O758" s="60"/>
      <c r="P758" s="60"/>
      <c r="W758" s="2"/>
      <c r="X758" s="2"/>
    </row>
    <row r="759" spans="1:24" ht="15.75" customHeight="1" x14ac:dyDescent="0.2">
      <c r="A759" s="44"/>
      <c r="B759" s="47"/>
      <c r="C759" s="50"/>
      <c r="D759" s="50"/>
      <c r="E759" s="50"/>
      <c r="F759" s="50"/>
      <c r="G759" s="46"/>
      <c r="H759" s="46"/>
      <c r="I759" s="46"/>
      <c r="J759" s="46"/>
      <c r="K759" s="46"/>
      <c r="L759" s="71"/>
      <c r="M759" s="60"/>
      <c r="N759" s="60"/>
      <c r="O759" s="60"/>
      <c r="P759" s="60"/>
      <c r="W759" s="2"/>
      <c r="X759" s="2"/>
    </row>
    <row r="760" spans="1:24" ht="15.75" customHeight="1" x14ac:dyDescent="0.2">
      <c r="A760" s="44"/>
      <c r="B760" s="47"/>
      <c r="C760" s="50"/>
      <c r="D760" s="50"/>
      <c r="E760" s="50"/>
      <c r="F760" s="50"/>
      <c r="G760" s="46"/>
      <c r="H760" s="46"/>
      <c r="I760" s="46"/>
      <c r="J760" s="46"/>
      <c r="K760" s="46"/>
      <c r="L760" s="71"/>
      <c r="M760" s="60"/>
      <c r="N760" s="60"/>
      <c r="O760" s="60"/>
      <c r="P760" s="60"/>
      <c r="W760" s="2"/>
      <c r="X760" s="2"/>
    </row>
    <row r="761" spans="1:24" ht="15.75" customHeight="1" x14ac:dyDescent="0.2">
      <c r="A761" s="44"/>
      <c r="B761" s="47"/>
      <c r="C761" s="50"/>
      <c r="D761" s="50"/>
      <c r="E761" s="50"/>
      <c r="F761" s="50"/>
      <c r="G761" s="46"/>
      <c r="H761" s="46"/>
      <c r="I761" s="46"/>
      <c r="J761" s="46"/>
      <c r="K761" s="46"/>
      <c r="L761" s="71"/>
      <c r="M761" s="60"/>
      <c r="N761" s="60"/>
      <c r="O761" s="60"/>
      <c r="P761" s="60"/>
      <c r="W761" s="2"/>
      <c r="X761" s="2"/>
    </row>
    <row r="762" spans="1:24" ht="15.75" customHeight="1" x14ac:dyDescent="0.2">
      <c r="A762" s="44"/>
      <c r="B762" s="47"/>
      <c r="C762" s="50"/>
      <c r="D762" s="50"/>
      <c r="E762" s="50"/>
      <c r="F762" s="50"/>
      <c r="G762" s="46"/>
      <c r="H762" s="46"/>
      <c r="I762" s="46"/>
      <c r="J762" s="46"/>
      <c r="K762" s="46"/>
      <c r="L762" s="71"/>
      <c r="M762" s="60"/>
      <c r="N762" s="60"/>
      <c r="O762" s="60"/>
      <c r="P762" s="60"/>
      <c r="W762" s="2"/>
      <c r="X762" s="2"/>
    </row>
    <row r="763" spans="1:24" ht="15.75" customHeight="1" x14ac:dyDescent="0.2">
      <c r="A763" s="44"/>
      <c r="B763" s="47"/>
      <c r="C763" s="50"/>
      <c r="D763" s="50"/>
      <c r="E763" s="50"/>
      <c r="F763" s="50"/>
      <c r="G763" s="46"/>
      <c r="H763" s="46"/>
      <c r="I763" s="46"/>
      <c r="J763" s="46"/>
      <c r="K763" s="46"/>
      <c r="L763" s="71"/>
      <c r="M763" s="60"/>
      <c r="N763" s="60"/>
      <c r="O763" s="60"/>
      <c r="P763" s="60"/>
      <c r="W763" s="2"/>
      <c r="X763" s="2"/>
    </row>
    <row r="764" spans="1:24" ht="15.75" customHeight="1" x14ac:dyDescent="0.2">
      <c r="A764" s="44"/>
      <c r="B764" s="47"/>
      <c r="C764" s="50"/>
      <c r="D764" s="50"/>
      <c r="E764" s="50"/>
      <c r="F764" s="50"/>
      <c r="G764" s="46"/>
      <c r="H764" s="46"/>
      <c r="I764" s="46"/>
      <c r="J764" s="46"/>
      <c r="K764" s="46"/>
      <c r="L764" s="71"/>
      <c r="M764" s="60"/>
      <c r="N764" s="60"/>
      <c r="O764" s="60"/>
      <c r="P764" s="60"/>
      <c r="W764" s="2"/>
      <c r="X764" s="2"/>
    </row>
    <row r="765" spans="1:24" ht="15.75" customHeight="1" x14ac:dyDescent="0.2">
      <c r="A765" s="44"/>
      <c r="B765" s="47"/>
      <c r="C765" s="50"/>
      <c r="D765" s="50"/>
      <c r="E765" s="50"/>
      <c r="F765" s="50"/>
      <c r="G765" s="46"/>
      <c r="H765" s="46"/>
      <c r="I765" s="46"/>
      <c r="J765" s="46"/>
      <c r="K765" s="46"/>
      <c r="L765" s="71"/>
      <c r="M765" s="60"/>
      <c r="N765" s="60"/>
      <c r="O765" s="60"/>
      <c r="P765" s="60"/>
      <c r="W765" s="2"/>
      <c r="X765" s="2"/>
    </row>
    <row r="766" spans="1:24" ht="15.75" customHeight="1" x14ac:dyDescent="0.2">
      <c r="A766" s="44"/>
      <c r="B766" s="47"/>
      <c r="C766" s="50"/>
      <c r="D766" s="50"/>
      <c r="E766" s="50"/>
      <c r="F766" s="50"/>
      <c r="G766" s="46"/>
      <c r="H766" s="46"/>
      <c r="I766" s="46"/>
      <c r="J766" s="46"/>
      <c r="K766" s="46"/>
      <c r="L766" s="71"/>
      <c r="M766" s="60"/>
      <c r="N766" s="60"/>
      <c r="O766" s="60"/>
      <c r="P766" s="60"/>
      <c r="W766" s="2"/>
      <c r="X766" s="2"/>
    </row>
    <row r="767" spans="1:24" ht="15.75" customHeight="1" x14ac:dyDescent="0.2">
      <c r="A767" s="44"/>
      <c r="B767" s="47"/>
      <c r="C767" s="50"/>
      <c r="D767" s="50"/>
      <c r="E767" s="50"/>
      <c r="F767" s="50"/>
      <c r="G767" s="46"/>
      <c r="H767" s="46"/>
      <c r="I767" s="46"/>
      <c r="J767" s="46"/>
      <c r="K767" s="46"/>
      <c r="L767" s="71"/>
      <c r="M767" s="60"/>
      <c r="N767" s="60"/>
      <c r="O767" s="60"/>
      <c r="P767" s="60"/>
      <c r="W767" s="2"/>
      <c r="X767" s="2"/>
    </row>
    <row r="768" spans="1:24" ht="15.75" customHeight="1" x14ac:dyDescent="0.2">
      <c r="A768" s="44"/>
      <c r="B768" s="47"/>
      <c r="C768" s="50"/>
      <c r="D768" s="50"/>
      <c r="E768" s="50"/>
      <c r="F768" s="50"/>
      <c r="G768" s="46"/>
      <c r="H768" s="46"/>
      <c r="I768" s="46"/>
      <c r="J768" s="46"/>
      <c r="K768" s="46"/>
      <c r="L768" s="71"/>
      <c r="M768" s="60"/>
      <c r="N768" s="60"/>
      <c r="O768" s="60"/>
      <c r="P768" s="60"/>
      <c r="W768" s="2"/>
      <c r="X768" s="2"/>
    </row>
    <row r="769" spans="1:24" ht="15.75" customHeight="1" x14ac:dyDescent="0.2">
      <c r="A769" s="44"/>
      <c r="B769" s="47"/>
      <c r="C769" s="50"/>
      <c r="D769" s="50"/>
      <c r="E769" s="50"/>
      <c r="F769" s="50"/>
      <c r="G769" s="46"/>
      <c r="H769" s="46"/>
      <c r="I769" s="46"/>
      <c r="J769" s="46"/>
      <c r="K769" s="46"/>
      <c r="L769" s="71"/>
      <c r="M769" s="60"/>
      <c r="N769" s="60"/>
      <c r="O769" s="60"/>
      <c r="P769" s="60"/>
      <c r="W769" s="2"/>
      <c r="X769" s="2"/>
    </row>
    <row r="770" spans="1:24" ht="15.75" customHeight="1" x14ac:dyDescent="0.2">
      <c r="A770" s="44"/>
      <c r="B770" s="47"/>
      <c r="C770" s="50"/>
      <c r="D770" s="50"/>
      <c r="E770" s="50"/>
      <c r="F770" s="50"/>
      <c r="G770" s="46"/>
      <c r="H770" s="46"/>
      <c r="I770" s="46"/>
      <c r="J770" s="46"/>
      <c r="K770" s="46"/>
      <c r="L770" s="71"/>
      <c r="M770" s="60"/>
      <c r="N770" s="60"/>
      <c r="O770" s="60"/>
      <c r="P770" s="60"/>
      <c r="W770" s="2"/>
      <c r="X770" s="2"/>
    </row>
    <row r="771" spans="1:24" ht="15.75" customHeight="1" x14ac:dyDescent="0.2">
      <c r="A771" s="44"/>
      <c r="B771" s="47"/>
      <c r="C771" s="50"/>
      <c r="D771" s="50"/>
      <c r="E771" s="50"/>
      <c r="F771" s="50"/>
      <c r="G771" s="46"/>
      <c r="H771" s="46"/>
      <c r="I771" s="46"/>
      <c r="J771" s="46"/>
      <c r="K771" s="46"/>
      <c r="L771" s="71"/>
      <c r="M771" s="60"/>
      <c r="N771" s="60"/>
      <c r="O771" s="60"/>
      <c r="P771" s="60"/>
      <c r="W771" s="2"/>
      <c r="X771" s="2"/>
    </row>
    <row r="772" spans="1:24" ht="15.75" customHeight="1" x14ac:dyDescent="0.2">
      <c r="A772" s="44"/>
      <c r="B772" s="47"/>
      <c r="C772" s="50"/>
      <c r="D772" s="50"/>
      <c r="E772" s="50"/>
      <c r="F772" s="50"/>
      <c r="G772" s="46"/>
      <c r="H772" s="46"/>
      <c r="I772" s="46"/>
      <c r="J772" s="46"/>
      <c r="K772" s="46"/>
      <c r="L772" s="71"/>
      <c r="M772" s="60"/>
      <c r="N772" s="60"/>
      <c r="O772" s="60"/>
      <c r="P772" s="60"/>
      <c r="W772" s="2"/>
      <c r="X772" s="2"/>
    </row>
    <row r="773" spans="1:24" ht="15.75" customHeight="1" x14ac:dyDescent="0.2">
      <c r="A773" s="44"/>
      <c r="B773" s="47"/>
      <c r="C773" s="50"/>
      <c r="D773" s="50"/>
      <c r="E773" s="50"/>
      <c r="F773" s="50"/>
      <c r="G773" s="46"/>
      <c r="H773" s="46"/>
      <c r="I773" s="46"/>
      <c r="J773" s="46"/>
      <c r="K773" s="46"/>
      <c r="L773" s="71"/>
      <c r="M773" s="60"/>
      <c r="N773" s="60"/>
      <c r="O773" s="60"/>
      <c r="P773" s="60"/>
      <c r="W773" s="2"/>
      <c r="X773" s="2"/>
    </row>
    <row r="774" spans="1:24" ht="15.75" customHeight="1" x14ac:dyDescent="0.2">
      <c r="A774" s="44"/>
      <c r="B774" s="47"/>
      <c r="C774" s="50"/>
      <c r="D774" s="50"/>
      <c r="E774" s="50"/>
      <c r="F774" s="50"/>
      <c r="G774" s="46"/>
      <c r="H774" s="46"/>
      <c r="I774" s="46"/>
      <c r="J774" s="46"/>
      <c r="K774" s="46"/>
      <c r="L774" s="71"/>
      <c r="M774" s="60"/>
      <c r="N774" s="60"/>
      <c r="O774" s="60"/>
      <c r="P774" s="60"/>
      <c r="W774" s="2"/>
      <c r="X774" s="2"/>
    </row>
    <row r="775" spans="1:24" ht="15.75" customHeight="1" x14ac:dyDescent="0.2">
      <c r="A775" s="44"/>
      <c r="B775" s="47"/>
      <c r="C775" s="50"/>
      <c r="D775" s="50"/>
      <c r="E775" s="50"/>
      <c r="F775" s="50"/>
      <c r="G775" s="46"/>
      <c r="H775" s="46"/>
      <c r="I775" s="46"/>
      <c r="J775" s="46"/>
      <c r="K775" s="46"/>
      <c r="L775" s="71"/>
      <c r="M775" s="60"/>
      <c r="N775" s="60"/>
      <c r="O775" s="60"/>
      <c r="P775" s="60"/>
      <c r="W775" s="2"/>
      <c r="X775" s="2"/>
    </row>
    <row r="776" spans="1:24" ht="15.75" customHeight="1" x14ac:dyDescent="0.2">
      <c r="A776" s="44"/>
      <c r="B776" s="47"/>
      <c r="C776" s="50"/>
      <c r="D776" s="50"/>
      <c r="E776" s="50"/>
      <c r="F776" s="50"/>
      <c r="G776" s="46"/>
      <c r="H776" s="46"/>
      <c r="I776" s="46"/>
      <c r="J776" s="46"/>
      <c r="K776" s="46"/>
      <c r="L776" s="71"/>
      <c r="M776" s="60"/>
      <c r="N776" s="60"/>
      <c r="O776" s="60"/>
      <c r="P776" s="60"/>
      <c r="W776" s="2"/>
      <c r="X776" s="2"/>
    </row>
    <row r="777" spans="1:24" ht="15.75" customHeight="1" x14ac:dyDescent="0.2">
      <c r="A777" s="44"/>
      <c r="B777" s="47"/>
      <c r="C777" s="50"/>
      <c r="D777" s="50"/>
      <c r="E777" s="50"/>
      <c r="F777" s="50"/>
      <c r="G777" s="46"/>
      <c r="H777" s="46"/>
      <c r="I777" s="46"/>
      <c r="J777" s="46"/>
      <c r="K777" s="46"/>
      <c r="L777" s="71"/>
      <c r="M777" s="60"/>
      <c r="N777" s="60"/>
      <c r="O777" s="60"/>
      <c r="P777" s="60"/>
      <c r="W777" s="2"/>
      <c r="X777" s="2"/>
    </row>
    <row r="778" spans="1:24" ht="15.75" customHeight="1" x14ac:dyDescent="0.2">
      <c r="A778" s="44"/>
      <c r="B778" s="47"/>
      <c r="C778" s="50"/>
      <c r="D778" s="50"/>
      <c r="E778" s="50"/>
      <c r="F778" s="50"/>
      <c r="G778" s="46"/>
      <c r="H778" s="46"/>
      <c r="I778" s="46"/>
      <c r="J778" s="46"/>
      <c r="K778" s="46"/>
      <c r="L778" s="71"/>
      <c r="M778" s="60"/>
      <c r="N778" s="60"/>
      <c r="O778" s="60"/>
      <c r="P778" s="60"/>
      <c r="W778" s="2"/>
      <c r="X778" s="2"/>
    </row>
    <row r="779" spans="1:24" ht="15.75" customHeight="1" x14ac:dyDescent="0.2">
      <c r="A779" s="44"/>
      <c r="B779" s="47"/>
      <c r="C779" s="50"/>
      <c r="D779" s="50"/>
      <c r="E779" s="50"/>
      <c r="F779" s="50"/>
      <c r="G779" s="46"/>
      <c r="H779" s="46"/>
      <c r="I779" s="46"/>
      <c r="J779" s="46"/>
      <c r="K779" s="46"/>
      <c r="L779" s="71"/>
      <c r="M779" s="60"/>
      <c r="N779" s="60"/>
      <c r="O779" s="60"/>
      <c r="P779" s="60"/>
      <c r="W779" s="2"/>
      <c r="X779" s="2"/>
    </row>
    <row r="780" spans="1:24" ht="15.75" customHeight="1" x14ac:dyDescent="0.2">
      <c r="A780" s="44"/>
      <c r="B780" s="47"/>
      <c r="C780" s="50"/>
      <c r="D780" s="50"/>
      <c r="E780" s="50"/>
      <c r="F780" s="50"/>
      <c r="G780" s="46"/>
      <c r="H780" s="46"/>
      <c r="I780" s="46"/>
      <c r="J780" s="46"/>
      <c r="K780" s="46"/>
      <c r="L780" s="71"/>
      <c r="M780" s="60"/>
      <c r="N780" s="60"/>
      <c r="O780" s="60"/>
      <c r="P780" s="60"/>
      <c r="W780" s="2"/>
      <c r="X780" s="2"/>
    </row>
    <row r="781" spans="1:24" ht="15.75" customHeight="1" x14ac:dyDescent="0.2">
      <c r="A781" s="44"/>
      <c r="B781" s="47"/>
      <c r="C781" s="50"/>
      <c r="D781" s="50"/>
      <c r="E781" s="50"/>
      <c r="F781" s="50"/>
      <c r="G781" s="46"/>
      <c r="H781" s="46"/>
      <c r="I781" s="46"/>
      <c r="J781" s="46"/>
      <c r="K781" s="46"/>
      <c r="L781" s="71"/>
      <c r="M781" s="60"/>
      <c r="N781" s="60"/>
      <c r="O781" s="60"/>
      <c r="P781" s="60"/>
      <c r="W781" s="2"/>
      <c r="X781" s="2"/>
    </row>
    <row r="782" spans="1:24" ht="15.75" customHeight="1" x14ac:dyDescent="0.2">
      <c r="A782" s="44"/>
      <c r="B782" s="47"/>
      <c r="C782" s="50"/>
      <c r="D782" s="50"/>
      <c r="E782" s="50"/>
      <c r="F782" s="50"/>
      <c r="G782" s="46"/>
      <c r="H782" s="46"/>
      <c r="I782" s="46"/>
      <c r="J782" s="46"/>
      <c r="K782" s="46"/>
      <c r="L782" s="71"/>
      <c r="M782" s="60"/>
      <c r="N782" s="60"/>
      <c r="O782" s="60"/>
      <c r="P782" s="60"/>
      <c r="W782" s="2"/>
      <c r="X782" s="2"/>
    </row>
    <row r="783" spans="1:24" ht="15.75" customHeight="1" x14ac:dyDescent="0.2">
      <c r="A783" s="44"/>
      <c r="B783" s="47"/>
      <c r="C783" s="50"/>
      <c r="D783" s="50"/>
      <c r="E783" s="50"/>
      <c r="F783" s="50"/>
      <c r="G783" s="46"/>
      <c r="H783" s="46"/>
      <c r="I783" s="46"/>
      <c r="J783" s="46"/>
      <c r="K783" s="46"/>
      <c r="L783" s="71"/>
      <c r="M783" s="60"/>
      <c r="N783" s="60"/>
      <c r="O783" s="60"/>
      <c r="P783" s="60"/>
      <c r="W783" s="2"/>
      <c r="X783" s="2"/>
    </row>
    <row r="784" spans="1:24" ht="15.75" customHeight="1" x14ac:dyDescent="0.2">
      <c r="A784" s="44"/>
      <c r="B784" s="47"/>
      <c r="C784" s="50"/>
      <c r="D784" s="50"/>
      <c r="E784" s="50"/>
      <c r="F784" s="50"/>
      <c r="G784" s="46"/>
      <c r="H784" s="46"/>
      <c r="I784" s="46"/>
      <c r="J784" s="46"/>
      <c r="K784" s="46"/>
      <c r="L784" s="71"/>
      <c r="M784" s="60"/>
      <c r="N784" s="60"/>
      <c r="O784" s="60"/>
      <c r="P784" s="60"/>
      <c r="W784" s="2"/>
      <c r="X784" s="2"/>
    </row>
    <row r="785" spans="1:24" ht="15.75" customHeight="1" x14ac:dyDescent="0.2">
      <c r="A785" s="44"/>
      <c r="B785" s="47"/>
      <c r="C785" s="50"/>
      <c r="D785" s="50"/>
      <c r="E785" s="50"/>
      <c r="F785" s="50"/>
      <c r="G785" s="46"/>
      <c r="H785" s="46"/>
      <c r="I785" s="46"/>
      <c r="J785" s="46"/>
      <c r="K785" s="46"/>
      <c r="L785" s="71"/>
      <c r="M785" s="60"/>
      <c r="N785" s="60"/>
      <c r="O785" s="60"/>
      <c r="P785" s="60"/>
      <c r="W785" s="2"/>
      <c r="X785" s="2"/>
    </row>
    <row r="786" spans="1:24" ht="15.75" customHeight="1" x14ac:dyDescent="0.2">
      <c r="A786" s="44"/>
      <c r="B786" s="47"/>
      <c r="C786" s="50"/>
      <c r="D786" s="50"/>
      <c r="E786" s="50"/>
      <c r="F786" s="50"/>
      <c r="G786" s="46"/>
      <c r="H786" s="46"/>
      <c r="I786" s="46"/>
      <c r="J786" s="46"/>
      <c r="K786" s="46"/>
      <c r="L786" s="71"/>
      <c r="M786" s="60"/>
      <c r="N786" s="60"/>
      <c r="O786" s="60"/>
      <c r="P786" s="60"/>
      <c r="W786" s="2"/>
      <c r="X786" s="2"/>
    </row>
    <row r="787" spans="1:24" ht="15.75" customHeight="1" x14ac:dyDescent="0.2">
      <c r="A787" s="44"/>
      <c r="B787" s="47"/>
      <c r="C787" s="50"/>
      <c r="D787" s="50"/>
      <c r="E787" s="50"/>
      <c r="F787" s="50"/>
      <c r="G787" s="46"/>
      <c r="H787" s="46"/>
      <c r="I787" s="46"/>
      <c r="J787" s="46"/>
      <c r="K787" s="46"/>
      <c r="L787" s="71"/>
      <c r="M787" s="60"/>
      <c r="N787" s="60"/>
      <c r="O787" s="60"/>
      <c r="P787" s="60"/>
      <c r="W787" s="2"/>
      <c r="X787" s="2"/>
    </row>
    <row r="788" spans="1:24" ht="15.75" customHeight="1" x14ac:dyDescent="0.2">
      <c r="A788" s="44"/>
      <c r="B788" s="47"/>
      <c r="C788" s="50"/>
      <c r="D788" s="50"/>
      <c r="E788" s="50"/>
      <c r="F788" s="50"/>
      <c r="G788" s="46"/>
      <c r="H788" s="46"/>
      <c r="I788" s="46"/>
      <c r="J788" s="46"/>
      <c r="K788" s="46"/>
      <c r="L788" s="71"/>
      <c r="M788" s="60"/>
      <c r="N788" s="60"/>
      <c r="O788" s="60"/>
      <c r="P788" s="60"/>
      <c r="W788" s="2"/>
      <c r="X788" s="2"/>
    </row>
    <row r="789" spans="1:24" ht="15.75" customHeight="1" x14ac:dyDescent="0.2">
      <c r="A789" s="44"/>
      <c r="B789" s="47"/>
      <c r="C789" s="50"/>
      <c r="D789" s="50"/>
      <c r="E789" s="50"/>
      <c r="F789" s="50"/>
      <c r="G789" s="46"/>
      <c r="H789" s="46"/>
      <c r="I789" s="46"/>
      <c r="J789" s="46"/>
      <c r="K789" s="46"/>
      <c r="L789" s="71"/>
      <c r="M789" s="60"/>
      <c r="N789" s="60"/>
      <c r="O789" s="60"/>
      <c r="P789" s="60"/>
      <c r="W789" s="2"/>
      <c r="X789" s="2"/>
    </row>
    <row r="790" spans="1:24" ht="15.75" customHeight="1" x14ac:dyDescent="0.2">
      <c r="A790" s="44"/>
      <c r="B790" s="47"/>
      <c r="C790" s="50"/>
      <c r="D790" s="50"/>
      <c r="E790" s="50"/>
      <c r="F790" s="50"/>
      <c r="G790" s="46"/>
      <c r="H790" s="46"/>
      <c r="I790" s="46"/>
      <c r="J790" s="46"/>
      <c r="K790" s="46"/>
      <c r="L790" s="71"/>
      <c r="M790" s="60"/>
      <c r="N790" s="60"/>
      <c r="O790" s="60"/>
      <c r="P790" s="60"/>
      <c r="W790" s="2"/>
      <c r="X790" s="2"/>
    </row>
    <row r="791" spans="1:24" ht="15.75" customHeight="1" x14ac:dyDescent="0.2">
      <c r="A791" s="44"/>
      <c r="B791" s="47"/>
      <c r="C791" s="50"/>
      <c r="D791" s="50"/>
      <c r="E791" s="50"/>
      <c r="F791" s="50"/>
      <c r="G791" s="46"/>
      <c r="H791" s="46"/>
      <c r="I791" s="46"/>
      <c r="J791" s="46"/>
      <c r="K791" s="46"/>
      <c r="L791" s="71"/>
      <c r="M791" s="60"/>
      <c r="N791" s="60"/>
      <c r="O791" s="60"/>
      <c r="P791" s="60"/>
      <c r="W791" s="2"/>
      <c r="X791" s="2"/>
    </row>
    <row r="792" spans="1:24" ht="15.75" customHeight="1" x14ac:dyDescent="0.2">
      <c r="A792" s="44"/>
      <c r="B792" s="47"/>
      <c r="C792" s="50"/>
      <c r="D792" s="50"/>
      <c r="E792" s="50"/>
      <c r="F792" s="50"/>
      <c r="G792" s="46"/>
      <c r="H792" s="46"/>
      <c r="I792" s="46"/>
      <c r="J792" s="46"/>
      <c r="K792" s="46"/>
      <c r="L792" s="71"/>
      <c r="M792" s="60"/>
      <c r="N792" s="60"/>
      <c r="O792" s="60"/>
      <c r="P792" s="60"/>
      <c r="W792" s="2"/>
      <c r="X792" s="2"/>
    </row>
    <row r="793" spans="1:24" ht="15.75" customHeight="1" x14ac:dyDescent="0.2">
      <c r="A793" s="44"/>
      <c r="B793" s="47"/>
      <c r="C793" s="50"/>
      <c r="D793" s="50"/>
      <c r="E793" s="50"/>
      <c r="F793" s="50"/>
      <c r="G793" s="46"/>
      <c r="H793" s="46"/>
      <c r="I793" s="46"/>
      <c r="J793" s="46"/>
      <c r="K793" s="46"/>
      <c r="L793" s="71"/>
      <c r="M793" s="60"/>
      <c r="N793" s="60"/>
      <c r="O793" s="60"/>
      <c r="P793" s="60"/>
      <c r="W793" s="2"/>
      <c r="X793" s="2"/>
    </row>
    <row r="794" spans="1:24" ht="15.75" customHeight="1" x14ac:dyDescent="0.2">
      <c r="A794" s="44"/>
      <c r="B794" s="47"/>
      <c r="C794" s="50"/>
      <c r="D794" s="50"/>
      <c r="E794" s="50"/>
      <c r="F794" s="50"/>
      <c r="G794" s="46"/>
      <c r="H794" s="46"/>
      <c r="I794" s="46"/>
      <c r="J794" s="46"/>
      <c r="K794" s="46"/>
      <c r="L794" s="71"/>
      <c r="M794" s="60"/>
      <c r="N794" s="60"/>
      <c r="O794" s="60"/>
      <c r="P794" s="60"/>
      <c r="W794" s="2"/>
      <c r="X794" s="2"/>
    </row>
    <row r="795" spans="1:24" ht="15.75" customHeight="1" x14ac:dyDescent="0.2">
      <c r="A795" s="44"/>
      <c r="B795" s="47"/>
      <c r="C795" s="50"/>
      <c r="D795" s="50"/>
      <c r="E795" s="50"/>
      <c r="F795" s="50"/>
      <c r="G795" s="46"/>
      <c r="H795" s="46"/>
      <c r="I795" s="46"/>
      <c r="J795" s="46"/>
      <c r="K795" s="46"/>
      <c r="L795" s="71"/>
      <c r="M795" s="60"/>
      <c r="N795" s="60"/>
      <c r="O795" s="60"/>
      <c r="P795" s="60"/>
      <c r="W795" s="2"/>
      <c r="X795" s="2"/>
    </row>
    <row r="796" spans="1:24" ht="15.75" customHeight="1" x14ac:dyDescent="0.2">
      <c r="A796" s="44"/>
      <c r="B796" s="47"/>
      <c r="C796" s="50"/>
      <c r="D796" s="50"/>
      <c r="E796" s="50"/>
      <c r="F796" s="50"/>
      <c r="G796" s="46"/>
      <c r="H796" s="46"/>
      <c r="I796" s="46"/>
      <c r="J796" s="46"/>
      <c r="K796" s="46"/>
      <c r="L796" s="71"/>
      <c r="M796" s="60"/>
      <c r="N796" s="60"/>
      <c r="O796" s="60"/>
      <c r="P796" s="60"/>
      <c r="W796" s="2"/>
      <c r="X796" s="2"/>
    </row>
    <row r="797" spans="1:24" ht="15.75" customHeight="1" x14ac:dyDescent="0.2">
      <c r="A797" s="44"/>
      <c r="B797" s="47"/>
      <c r="C797" s="50"/>
      <c r="D797" s="50"/>
      <c r="E797" s="50"/>
      <c r="F797" s="50"/>
      <c r="G797" s="46"/>
      <c r="H797" s="46"/>
      <c r="I797" s="46"/>
      <c r="J797" s="46"/>
      <c r="K797" s="46"/>
      <c r="L797" s="71"/>
      <c r="M797" s="60"/>
      <c r="N797" s="60"/>
      <c r="O797" s="60"/>
      <c r="P797" s="60"/>
      <c r="W797" s="2"/>
      <c r="X797" s="2"/>
    </row>
    <row r="798" spans="1:24" ht="15.75" customHeight="1" x14ac:dyDescent="0.2">
      <c r="A798" s="44"/>
      <c r="B798" s="47"/>
      <c r="C798" s="50"/>
      <c r="D798" s="50"/>
      <c r="E798" s="50"/>
      <c r="F798" s="50"/>
      <c r="G798" s="46"/>
      <c r="H798" s="46"/>
      <c r="I798" s="46"/>
      <c r="J798" s="46"/>
      <c r="K798" s="46"/>
      <c r="L798" s="71"/>
      <c r="M798" s="60"/>
      <c r="N798" s="60"/>
      <c r="O798" s="60"/>
      <c r="P798" s="60"/>
      <c r="W798" s="2"/>
      <c r="X798" s="2"/>
    </row>
    <row r="799" spans="1:24" ht="15.75" customHeight="1" x14ac:dyDescent="0.2">
      <c r="A799" s="44"/>
      <c r="B799" s="47"/>
      <c r="C799" s="50"/>
      <c r="D799" s="50"/>
      <c r="E799" s="50"/>
      <c r="F799" s="50"/>
      <c r="G799" s="46"/>
      <c r="H799" s="46"/>
      <c r="I799" s="46"/>
      <c r="J799" s="46"/>
      <c r="K799" s="46"/>
      <c r="L799" s="71"/>
      <c r="M799" s="60"/>
      <c r="N799" s="60"/>
      <c r="O799" s="60"/>
      <c r="P799" s="60"/>
      <c r="W799" s="2"/>
      <c r="X799" s="2"/>
    </row>
    <row r="800" spans="1:24" ht="15.75" customHeight="1" x14ac:dyDescent="0.2">
      <c r="A800" s="44"/>
      <c r="B800" s="47"/>
      <c r="C800" s="50"/>
      <c r="D800" s="50"/>
      <c r="E800" s="50"/>
      <c r="F800" s="50"/>
      <c r="G800" s="46"/>
      <c r="H800" s="46"/>
      <c r="I800" s="46"/>
      <c r="J800" s="46"/>
      <c r="K800" s="46"/>
      <c r="L800" s="71"/>
      <c r="M800" s="60"/>
      <c r="N800" s="60"/>
      <c r="O800" s="60"/>
      <c r="P800" s="60"/>
      <c r="W800" s="2"/>
      <c r="X800" s="2"/>
    </row>
    <row r="801" spans="1:24" ht="15.75" customHeight="1" x14ac:dyDescent="0.2">
      <c r="A801" s="44"/>
      <c r="B801" s="47"/>
      <c r="C801" s="50"/>
      <c r="D801" s="50"/>
      <c r="E801" s="50"/>
      <c r="F801" s="50"/>
      <c r="G801" s="46"/>
      <c r="H801" s="46"/>
      <c r="I801" s="46"/>
      <c r="J801" s="46"/>
      <c r="K801" s="46"/>
      <c r="L801" s="71"/>
      <c r="M801" s="60"/>
      <c r="N801" s="60"/>
      <c r="O801" s="60"/>
      <c r="P801" s="60"/>
      <c r="W801" s="2"/>
      <c r="X801" s="2"/>
    </row>
    <row r="802" spans="1:24" ht="15.75" customHeight="1" x14ac:dyDescent="0.2">
      <c r="A802" s="44"/>
      <c r="B802" s="47"/>
      <c r="C802" s="50"/>
      <c r="D802" s="50"/>
      <c r="E802" s="50"/>
      <c r="F802" s="50"/>
      <c r="G802" s="46"/>
      <c r="H802" s="46"/>
      <c r="I802" s="46"/>
      <c r="J802" s="46"/>
      <c r="K802" s="46"/>
      <c r="L802" s="71"/>
      <c r="M802" s="60"/>
      <c r="N802" s="60"/>
      <c r="O802" s="60"/>
      <c r="P802" s="60"/>
      <c r="W802" s="2"/>
      <c r="X802" s="2"/>
    </row>
    <row r="803" spans="1:24" ht="15.75" customHeight="1" x14ac:dyDescent="0.2">
      <c r="A803" s="44"/>
      <c r="B803" s="47"/>
      <c r="C803" s="50"/>
      <c r="D803" s="50"/>
      <c r="E803" s="50"/>
      <c r="F803" s="50"/>
      <c r="G803" s="46"/>
      <c r="H803" s="46"/>
      <c r="I803" s="46"/>
      <c r="J803" s="46"/>
      <c r="K803" s="46"/>
      <c r="L803" s="71"/>
      <c r="M803" s="60"/>
      <c r="N803" s="60"/>
      <c r="O803" s="60"/>
      <c r="P803" s="60"/>
      <c r="W803" s="2"/>
      <c r="X803" s="2"/>
    </row>
    <row r="804" spans="1:24" ht="15.75" customHeight="1" x14ac:dyDescent="0.2">
      <c r="A804" s="44"/>
      <c r="B804" s="47"/>
      <c r="C804" s="50"/>
      <c r="D804" s="50"/>
      <c r="E804" s="50"/>
      <c r="F804" s="50"/>
      <c r="G804" s="46"/>
      <c r="H804" s="46"/>
      <c r="I804" s="46"/>
      <c r="J804" s="46"/>
      <c r="K804" s="46"/>
      <c r="L804" s="71"/>
      <c r="M804" s="60"/>
      <c r="N804" s="60"/>
      <c r="O804" s="60"/>
      <c r="P804" s="60"/>
      <c r="W804" s="2"/>
      <c r="X804" s="2"/>
    </row>
    <row r="805" spans="1:24" ht="15.75" customHeight="1" x14ac:dyDescent="0.2">
      <c r="A805" s="44"/>
      <c r="B805" s="47"/>
      <c r="C805" s="50"/>
      <c r="D805" s="50"/>
      <c r="E805" s="50"/>
      <c r="F805" s="50"/>
      <c r="G805" s="46"/>
      <c r="H805" s="46"/>
      <c r="I805" s="46"/>
      <c r="J805" s="46"/>
      <c r="K805" s="46"/>
      <c r="L805" s="71"/>
      <c r="M805" s="60"/>
      <c r="N805" s="60"/>
      <c r="O805" s="60"/>
      <c r="P805" s="60"/>
      <c r="W805" s="2"/>
      <c r="X805" s="2"/>
    </row>
    <row r="806" spans="1:24" ht="15.75" customHeight="1" x14ac:dyDescent="0.2">
      <c r="A806" s="44"/>
      <c r="B806" s="47"/>
      <c r="C806" s="50"/>
      <c r="D806" s="50"/>
      <c r="E806" s="50"/>
      <c r="F806" s="50"/>
      <c r="G806" s="46"/>
      <c r="H806" s="46"/>
      <c r="I806" s="46"/>
      <c r="J806" s="46"/>
      <c r="K806" s="46"/>
      <c r="L806" s="71"/>
      <c r="M806" s="60"/>
      <c r="N806" s="60"/>
      <c r="O806" s="60"/>
      <c r="P806" s="60"/>
      <c r="W806" s="2"/>
      <c r="X806" s="2"/>
    </row>
    <row r="807" spans="1:24" ht="15.75" customHeight="1" x14ac:dyDescent="0.2">
      <c r="A807" s="44"/>
      <c r="B807" s="47"/>
      <c r="C807" s="50"/>
      <c r="D807" s="50"/>
      <c r="E807" s="50"/>
      <c r="F807" s="50"/>
      <c r="G807" s="46"/>
      <c r="H807" s="46"/>
      <c r="I807" s="46"/>
      <c r="J807" s="46"/>
      <c r="K807" s="46"/>
      <c r="L807" s="71"/>
      <c r="M807" s="60"/>
      <c r="N807" s="60"/>
      <c r="O807" s="60"/>
      <c r="P807" s="60"/>
      <c r="W807" s="2"/>
      <c r="X807" s="2"/>
    </row>
    <row r="808" spans="1:24" ht="15.75" customHeight="1" x14ac:dyDescent="0.2">
      <c r="A808" s="44"/>
      <c r="B808" s="47"/>
      <c r="C808" s="50"/>
      <c r="D808" s="50"/>
      <c r="E808" s="50"/>
      <c r="F808" s="50"/>
      <c r="G808" s="46"/>
      <c r="H808" s="46"/>
      <c r="I808" s="46"/>
      <c r="J808" s="46"/>
      <c r="K808" s="46"/>
      <c r="L808" s="71"/>
      <c r="M808" s="60"/>
      <c r="N808" s="60"/>
      <c r="O808" s="60"/>
      <c r="P808" s="60"/>
      <c r="W808" s="2"/>
      <c r="X808" s="2"/>
    </row>
    <row r="809" spans="1:24" ht="15.75" customHeight="1" x14ac:dyDescent="0.2">
      <c r="A809" s="44"/>
      <c r="B809" s="47"/>
      <c r="C809" s="50"/>
      <c r="D809" s="50"/>
      <c r="E809" s="50"/>
      <c r="F809" s="50"/>
      <c r="G809" s="46"/>
      <c r="H809" s="46"/>
      <c r="I809" s="46"/>
      <c r="J809" s="46"/>
      <c r="K809" s="46"/>
      <c r="L809" s="71"/>
      <c r="M809" s="60"/>
      <c r="N809" s="60"/>
      <c r="O809" s="60"/>
      <c r="P809" s="60"/>
      <c r="W809" s="2"/>
      <c r="X809" s="2"/>
    </row>
    <row r="810" spans="1:24" ht="15.75" customHeight="1" x14ac:dyDescent="0.2">
      <c r="A810" s="44"/>
      <c r="B810" s="47"/>
      <c r="C810" s="50"/>
      <c r="D810" s="50"/>
      <c r="E810" s="50"/>
      <c r="F810" s="50"/>
      <c r="G810" s="46"/>
      <c r="H810" s="46"/>
      <c r="I810" s="46"/>
      <c r="J810" s="46"/>
      <c r="K810" s="46"/>
      <c r="L810" s="71"/>
      <c r="M810" s="60"/>
      <c r="N810" s="60"/>
      <c r="O810" s="60"/>
      <c r="P810" s="60"/>
      <c r="W810" s="2"/>
      <c r="X810" s="2"/>
    </row>
    <row r="811" spans="1:24" ht="15.75" customHeight="1" x14ac:dyDescent="0.2">
      <c r="A811" s="44"/>
      <c r="B811" s="47"/>
      <c r="C811" s="50"/>
      <c r="D811" s="50"/>
      <c r="E811" s="50"/>
      <c r="F811" s="50"/>
      <c r="G811" s="46"/>
      <c r="H811" s="46"/>
      <c r="I811" s="46"/>
      <c r="J811" s="46"/>
      <c r="K811" s="46"/>
      <c r="L811" s="71"/>
      <c r="M811" s="60"/>
      <c r="N811" s="60"/>
      <c r="O811" s="60"/>
      <c r="P811" s="60"/>
      <c r="W811" s="2"/>
      <c r="X811" s="2"/>
    </row>
    <row r="812" spans="1:24" ht="15.75" customHeight="1" x14ac:dyDescent="0.2">
      <c r="A812" s="44"/>
      <c r="B812" s="47"/>
      <c r="C812" s="50"/>
      <c r="D812" s="50"/>
      <c r="E812" s="50"/>
      <c r="F812" s="50"/>
      <c r="G812" s="46"/>
      <c r="H812" s="46"/>
      <c r="I812" s="46"/>
      <c r="J812" s="46"/>
      <c r="K812" s="46"/>
      <c r="L812" s="71"/>
      <c r="M812" s="60"/>
      <c r="N812" s="60"/>
      <c r="O812" s="60"/>
      <c r="P812" s="60"/>
      <c r="W812" s="2"/>
      <c r="X812" s="2"/>
    </row>
    <row r="813" spans="1:24" ht="15.75" customHeight="1" x14ac:dyDescent="0.2">
      <c r="A813" s="44"/>
      <c r="B813" s="47"/>
      <c r="C813" s="50"/>
      <c r="D813" s="50"/>
      <c r="E813" s="50"/>
      <c r="F813" s="50"/>
      <c r="G813" s="46"/>
      <c r="H813" s="46"/>
      <c r="I813" s="46"/>
      <c r="J813" s="46"/>
      <c r="K813" s="46"/>
      <c r="L813" s="71"/>
      <c r="M813" s="60"/>
      <c r="N813" s="60"/>
      <c r="O813" s="60"/>
      <c r="P813" s="60"/>
      <c r="W813" s="2"/>
      <c r="X813" s="2"/>
    </row>
    <row r="814" spans="1:24" ht="15.75" customHeight="1" x14ac:dyDescent="0.2">
      <c r="A814" s="44"/>
      <c r="B814" s="47"/>
      <c r="C814" s="50"/>
      <c r="D814" s="50"/>
      <c r="E814" s="50"/>
      <c r="F814" s="50"/>
      <c r="G814" s="46"/>
      <c r="H814" s="46"/>
      <c r="I814" s="46"/>
      <c r="J814" s="46"/>
      <c r="K814" s="46"/>
      <c r="L814" s="71"/>
      <c r="M814" s="60"/>
      <c r="N814" s="60"/>
      <c r="O814" s="60"/>
      <c r="P814" s="60"/>
      <c r="W814" s="2"/>
      <c r="X814" s="2"/>
    </row>
    <row r="815" spans="1:24" ht="15.75" customHeight="1" x14ac:dyDescent="0.2">
      <c r="A815" s="44"/>
      <c r="B815" s="47"/>
      <c r="C815" s="50"/>
      <c r="D815" s="50"/>
      <c r="E815" s="50"/>
      <c r="F815" s="50"/>
      <c r="G815" s="46"/>
      <c r="H815" s="46"/>
      <c r="I815" s="46"/>
      <c r="J815" s="46"/>
      <c r="K815" s="46"/>
      <c r="L815" s="71"/>
      <c r="M815" s="60"/>
      <c r="N815" s="60"/>
      <c r="O815" s="60"/>
      <c r="P815" s="60"/>
      <c r="W815" s="2"/>
      <c r="X815" s="2"/>
    </row>
    <row r="816" spans="1:24" ht="15.75" customHeight="1" x14ac:dyDescent="0.2">
      <c r="A816" s="44"/>
      <c r="B816" s="47"/>
      <c r="C816" s="50"/>
      <c r="D816" s="50"/>
      <c r="E816" s="50"/>
      <c r="F816" s="50"/>
      <c r="G816" s="46"/>
      <c r="H816" s="46"/>
      <c r="I816" s="46"/>
      <c r="J816" s="46"/>
      <c r="K816" s="46"/>
      <c r="L816" s="71"/>
      <c r="M816" s="60"/>
      <c r="N816" s="60"/>
      <c r="O816" s="60"/>
      <c r="P816" s="60"/>
      <c r="W816" s="2"/>
      <c r="X816" s="2"/>
    </row>
    <row r="817" spans="1:24" ht="15.75" customHeight="1" x14ac:dyDescent="0.2">
      <c r="A817" s="44"/>
      <c r="B817" s="47"/>
      <c r="C817" s="50"/>
      <c r="D817" s="50"/>
      <c r="E817" s="50"/>
      <c r="F817" s="50"/>
      <c r="G817" s="46"/>
      <c r="H817" s="46"/>
      <c r="I817" s="46"/>
      <c r="J817" s="46"/>
      <c r="K817" s="46"/>
      <c r="L817" s="71"/>
      <c r="M817" s="60"/>
      <c r="N817" s="60"/>
      <c r="O817" s="60"/>
      <c r="P817" s="60"/>
      <c r="W817" s="2"/>
      <c r="X817" s="2"/>
    </row>
    <row r="818" spans="1:24" ht="15.75" customHeight="1" x14ac:dyDescent="0.2">
      <c r="A818" s="44"/>
      <c r="B818" s="47"/>
      <c r="C818" s="50"/>
      <c r="D818" s="50"/>
      <c r="E818" s="50"/>
      <c r="F818" s="50"/>
      <c r="G818" s="46"/>
      <c r="H818" s="46"/>
      <c r="I818" s="46"/>
      <c r="J818" s="46"/>
      <c r="K818" s="46"/>
      <c r="L818" s="71"/>
      <c r="M818" s="60"/>
      <c r="N818" s="60"/>
      <c r="O818" s="60"/>
      <c r="P818" s="60"/>
      <c r="W818" s="2"/>
      <c r="X818" s="2"/>
    </row>
    <row r="819" spans="1:24" ht="15.75" customHeight="1" x14ac:dyDescent="0.2">
      <c r="A819" s="44"/>
      <c r="B819" s="47"/>
      <c r="C819" s="50"/>
      <c r="D819" s="50"/>
      <c r="E819" s="50"/>
      <c r="F819" s="50"/>
      <c r="G819" s="46"/>
      <c r="H819" s="46"/>
      <c r="I819" s="46"/>
      <c r="J819" s="46"/>
      <c r="K819" s="46"/>
      <c r="L819" s="71"/>
      <c r="M819" s="60"/>
      <c r="N819" s="60"/>
      <c r="O819" s="60"/>
      <c r="P819" s="60"/>
      <c r="W819" s="2"/>
      <c r="X819" s="2"/>
    </row>
    <row r="820" spans="1:24" ht="15.75" customHeight="1" x14ac:dyDescent="0.2">
      <c r="A820" s="44"/>
      <c r="B820" s="47"/>
      <c r="C820" s="50"/>
      <c r="D820" s="50"/>
      <c r="E820" s="50"/>
      <c r="F820" s="50"/>
      <c r="G820" s="46"/>
      <c r="H820" s="46"/>
      <c r="I820" s="46"/>
      <c r="J820" s="46"/>
      <c r="K820" s="46"/>
      <c r="L820" s="71"/>
      <c r="M820" s="60"/>
      <c r="N820" s="60"/>
      <c r="O820" s="60"/>
      <c r="P820" s="60"/>
      <c r="W820" s="2"/>
      <c r="X820" s="2"/>
    </row>
    <row r="821" spans="1:24" ht="15.75" customHeight="1" x14ac:dyDescent="0.2">
      <c r="A821" s="44"/>
      <c r="B821" s="47"/>
      <c r="C821" s="50"/>
      <c r="D821" s="50"/>
      <c r="E821" s="50"/>
      <c r="F821" s="50"/>
      <c r="G821" s="46"/>
      <c r="H821" s="46"/>
      <c r="I821" s="46"/>
      <c r="J821" s="46"/>
      <c r="K821" s="46"/>
      <c r="L821" s="71"/>
      <c r="M821" s="60"/>
      <c r="N821" s="60"/>
      <c r="O821" s="60"/>
      <c r="P821" s="60"/>
      <c r="W821" s="2"/>
      <c r="X821" s="2"/>
    </row>
    <row r="822" spans="1:24" ht="15.75" customHeight="1" x14ac:dyDescent="0.2">
      <c r="A822" s="44"/>
      <c r="B822" s="47"/>
      <c r="C822" s="50"/>
      <c r="D822" s="50"/>
      <c r="E822" s="50"/>
      <c r="F822" s="50"/>
      <c r="G822" s="46"/>
      <c r="H822" s="46"/>
      <c r="I822" s="46"/>
      <c r="J822" s="46"/>
      <c r="K822" s="46"/>
      <c r="L822" s="71"/>
      <c r="M822" s="60"/>
      <c r="N822" s="60"/>
      <c r="O822" s="60"/>
      <c r="P822" s="60"/>
      <c r="W822" s="2"/>
      <c r="X822" s="2"/>
    </row>
    <row r="823" spans="1:24" ht="15.75" customHeight="1" x14ac:dyDescent="0.2">
      <c r="A823" s="44"/>
      <c r="B823" s="47"/>
      <c r="C823" s="50"/>
      <c r="D823" s="50"/>
      <c r="E823" s="50"/>
      <c r="F823" s="50"/>
      <c r="G823" s="46"/>
      <c r="H823" s="46"/>
      <c r="I823" s="46"/>
      <c r="J823" s="46"/>
      <c r="K823" s="46"/>
      <c r="L823" s="71"/>
      <c r="M823" s="60"/>
      <c r="N823" s="60"/>
      <c r="O823" s="60"/>
      <c r="P823" s="60"/>
      <c r="W823" s="2"/>
      <c r="X823" s="2"/>
    </row>
    <row r="824" spans="1:24" ht="15.75" customHeight="1" x14ac:dyDescent="0.2">
      <c r="A824" s="44"/>
      <c r="B824" s="47"/>
      <c r="C824" s="50"/>
      <c r="D824" s="50"/>
      <c r="E824" s="50"/>
      <c r="F824" s="50"/>
      <c r="G824" s="46"/>
      <c r="H824" s="46"/>
      <c r="I824" s="46"/>
      <c r="J824" s="46"/>
      <c r="K824" s="46"/>
      <c r="L824" s="71"/>
      <c r="M824" s="60"/>
      <c r="N824" s="60"/>
      <c r="O824" s="60"/>
      <c r="P824" s="60"/>
      <c r="W824" s="2"/>
      <c r="X824" s="2"/>
    </row>
    <row r="825" spans="1:24" ht="15.75" customHeight="1" x14ac:dyDescent="0.2">
      <c r="A825" s="44"/>
      <c r="B825" s="47"/>
      <c r="C825" s="50"/>
      <c r="D825" s="50"/>
      <c r="E825" s="50"/>
      <c r="F825" s="50"/>
      <c r="G825" s="46"/>
      <c r="H825" s="46"/>
      <c r="I825" s="46"/>
      <c r="J825" s="46"/>
      <c r="K825" s="46"/>
      <c r="L825" s="71"/>
      <c r="M825" s="60"/>
      <c r="N825" s="60"/>
      <c r="O825" s="60"/>
      <c r="P825" s="60"/>
      <c r="W825" s="2"/>
      <c r="X825" s="2"/>
    </row>
    <row r="826" spans="1:24" ht="15.75" customHeight="1" x14ac:dyDescent="0.2">
      <c r="A826" s="44"/>
      <c r="B826" s="47"/>
      <c r="C826" s="50"/>
      <c r="D826" s="50"/>
      <c r="E826" s="50"/>
      <c r="F826" s="50"/>
      <c r="G826" s="46"/>
      <c r="H826" s="46"/>
      <c r="I826" s="46"/>
      <c r="J826" s="46"/>
      <c r="K826" s="46"/>
      <c r="L826" s="71"/>
      <c r="M826" s="60"/>
      <c r="N826" s="60"/>
      <c r="O826" s="60"/>
      <c r="P826" s="60"/>
      <c r="W826" s="2"/>
      <c r="X826" s="2"/>
    </row>
    <row r="827" spans="1:24" ht="15.75" customHeight="1" x14ac:dyDescent="0.2">
      <c r="A827" s="44"/>
      <c r="B827" s="47"/>
      <c r="C827" s="50"/>
      <c r="D827" s="50"/>
      <c r="E827" s="50"/>
      <c r="F827" s="50"/>
      <c r="G827" s="46"/>
      <c r="H827" s="46"/>
      <c r="I827" s="46"/>
      <c r="J827" s="46"/>
      <c r="K827" s="46"/>
      <c r="L827" s="71"/>
      <c r="M827" s="60"/>
      <c r="N827" s="60"/>
      <c r="O827" s="60"/>
      <c r="P827" s="60"/>
      <c r="W827" s="2"/>
      <c r="X827" s="2"/>
    </row>
    <row r="828" spans="1:24" ht="15.75" customHeight="1" x14ac:dyDescent="0.2">
      <c r="A828" s="44"/>
      <c r="B828" s="47"/>
      <c r="C828" s="50"/>
      <c r="D828" s="50"/>
      <c r="E828" s="50"/>
      <c r="F828" s="50"/>
      <c r="G828" s="46"/>
      <c r="H828" s="46"/>
      <c r="I828" s="46"/>
      <c r="J828" s="46"/>
      <c r="K828" s="46"/>
      <c r="L828" s="71"/>
      <c r="M828" s="60"/>
      <c r="N828" s="60"/>
      <c r="O828" s="60"/>
      <c r="P828" s="60"/>
      <c r="W828" s="2"/>
      <c r="X828" s="2"/>
    </row>
    <row r="829" spans="1:24" ht="15.75" customHeight="1" x14ac:dyDescent="0.2">
      <c r="A829" s="44"/>
      <c r="B829" s="47"/>
      <c r="C829" s="50"/>
      <c r="D829" s="50"/>
      <c r="E829" s="50"/>
      <c r="F829" s="50"/>
      <c r="G829" s="46"/>
      <c r="H829" s="46"/>
      <c r="I829" s="46"/>
      <c r="J829" s="46"/>
      <c r="K829" s="46"/>
      <c r="L829" s="71"/>
      <c r="M829" s="60"/>
      <c r="N829" s="60"/>
      <c r="O829" s="60"/>
      <c r="P829" s="60"/>
      <c r="W829" s="2"/>
      <c r="X829" s="2"/>
    </row>
    <row r="830" spans="1:24" ht="15.75" customHeight="1" x14ac:dyDescent="0.2">
      <c r="A830" s="44"/>
      <c r="B830" s="47"/>
      <c r="C830" s="50"/>
      <c r="D830" s="50"/>
      <c r="E830" s="50"/>
      <c r="F830" s="50"/>
      <c r="G830" s="46"/>
      <c r="H830" s="46"/>
      <c r="I830" s="46"/>
      <c r="J830" s="46"/>
      <c r="K830" s="46"/>
      <c r="L830" s="71"/>
      <c r="M830" s="60"/>
      <c r="N830" s="60"/>
      <c r="O830" s="60"/>
      <c r="P830" s="60"/>
      <c r="W830" s="2"/>
      <c r="X830" s="2"/>
    </row>
    <row r="831" spans="1:24" ht="15.75" customHeight="1" x14ac:dyDescent="0.2">
      <c r="A831" s="44"/>
      <c r="B831" s="47"/>
      <c r="C831" s="50"/>
      <c r="D831" s="50"/>
      <c r="E831" s="50"/>
      <c r="F831" s="50"/>
      <c r="G831" s="46"/>
      <c r="H831" s="46"/>
      <c r="I831" s="46"/>
      <c r="J831" s="46"/>
      <c r="K831" s="46"/>
      <c r="L831" s="71"/>
      <c r="M831" s="60"/>
      <c r="N831" s="60"/>
      <c r="O831" s="60"/>
      <c r="P831" s="60"/>
      <c r="W831" s="2"/>
      <c r="X831" s="2"/>
    </row>
    <row r="832" spans="1:24" ht="15.75" customHeight="1" x14ac:dyDescent="0.2">
      <c r="A832" s="44"/>
      <c r="B832" s="47"/>
      <c r="C832" s="50"/>
      <c r="D832" s="50"/>
      <c r="E832" s="50"/>
      <c r="F832" s="50"/>
      <c r="G832" s="46"/>
      <c r="H832" s="46"/>
      <c r="I832" s="46"/>
      <c r="J832" s="46"/>
      <c r="K832" s="46"/>
      <c r="L832" s="71"/>
      <c r="M832" s="60"/>
      <c r="N832" s="60"/>
      <c r="O832" s="60"/>
      <c r="P832" s="60"/>
      <c r="W832" s="2"/>
      <c r="X832" s="2"/>
    </row>
    <row r="833" spans="1:24" ht="15.75" customHeight="1" x14ac:dyDescent="0.2">
      <c r="A833" s="44"/>
      <c r="B833" s="47"/>
      <c r="C833" s="50"/>
      <c r="D833" s="50"/>
      <c r="E833" s="50"/>
      <c r="F833" s="50"/>
      <c r="G833" s="46"/>
      <c r="H833" s="46"/>
      <c r="I833" s="46"/>
      <c r="J833" s="46"/>
      <c r="K833" s="46"/>
      <c r="L833" s="71"/>
      <c r="M833" s="60"/>
      <c r="N833" s="60"/>
      <c r="O833" s="60"/>
      <c r="P833" s="60"/>
      <c r="W833" s="2"/>
      <c r="X833" s="2"/>
    </row>
    <row r="834" spans="1:24" ht="15.75" customHeight="1" x14ac:dyDescent="0.2">
      <c r="A834" s="44"/>
      <c r="B834" s="47"/>
      <c r="C834" s="50"/>
      <c r="D834" s="50"/>
      <c r="E834" s="50"/>
      <c r="F834" s="50"/>
      <c r="G834" s="46"/>
      <c r="H834" s="46"/>
      <c r="I834" s="46"/>
      <c r="J834" s="46"/>
      <c r="K834" s="46"/>
      <c r="L834" s="71"/>
      <c r="M834" s="60"/>
      <c r="N834" s="60"/>
      <c r="O834" s="60"/>
      <c r="P834" s="60"/>
      <c r="W834" s="2"/>
      <c r="X834" s="2"/>
    </row>
    <row r="835" spans="1:24" ht="15.75" customHeight="1" x14ac:dyDescent="0.2">
      <c r="A835" s="44"/>
      <c r="B835" s="47"/>
      <c r="C835" s="50"/>
      <c r="D835" s="50"/>
      <c r="E835" s="50"/>
      <c r="F835" s="50"/>
      <c r="G835" s="46"/>
      <c r="H835" s="46"/>
      <c r="I835" s="46"/>
      <c r="J835" s="46"/>
      <c r="K835" s="46"/>
      <c r="L835" s="71"/>
      <c r="M835" s="60"/>
      <c r="N835" s="60"/>
      <c r="O835" s="60"/>
      <c r="P835" s="60"/>
      <c r="W835" s="2"/>
      <c r="X835" s="2"/>
    </row>
    <row r="836" spans="1:24" ht="15.75" customHeight="1" x14ac:dyDescent="0.2">
      <c r="A836" s="44"/>
      <c r="B836" s="47"/>
      <c r="C836" s="50"/>
      <c r="D836" s="50"/>
      <c r="E836" s="50"/>
      <c r="F836" s="50"/>
      <c r="G836" s="46"/>
      <c r="H836" s="46"/>
      <c r="I836" s="46"/>
      <c r="J836" s="46"/>
      <c r="K836" s="46"/>
      <c r="L836" s="71"/>
      <c r="M836" s="60"/>
      <c r="N836" s="60"/>
      <c r="O836" s="60"/>
      <c r="P836" s="60"/>
      <c r="W836" s="2"/>
      <c r="X836" s="2"/>
    </row>
    <row r="837" spans="1:24" ht="15.75" customHeight="1" x14ac:dyDescent="0.2">
      <c r="A837" s="44"/>
      <c r="B837" s="47"/>
      <c r="C837" s="50"/>
      <c r="D837" s="50"/>
      <c r="E837" s="50"/>
      <c r="F837" s="50"/>
      <c r="G837" s="46"/>
      <c r="H837" s="46"/>
      <c r="I837" s="46"/>
      <c r="J837" s="46"/>
      <c r="K837" s="46"/>
      <c r="L837" s="71"/>
      <c r="M837" s="60"/>
      <c r="N837" s="60"/>
      <c r="O837" s="60"/>
      <c r="P837" s="60"/>
      <c r="W837" s="2"/>
      <c r="X837" s="2"/>
    </row>
    <row r="838" spans="1:24" ht="15.75" customHeight="1" x14ac:dyDescent="0.2">
      <c r="A838" s="44"/>
      <c r="B838" s="47"/>
      <c r="C838" s="50"/>
      <c r="D838" s="50"/>
      <c r="E838" s="50"/>
      <c r="F838" s="50"/>
      <c r="G838" s="46"/>
      <c r="H838" s="46"/>
      <c r="I838" s="46"/>
      <c r="J838" s="46"/>
      <c r="K838" s="46"/>
      <c r="L838" s="71"/>
      <c r="M838" s="60"/>
      <c r="N838" s="60"/>
      <c r="O838" s="60"/>
      <c r="P838" s="60"/>
      <c r="W838" s="2"/>
      <c r="X838" s="2"/>
    </row>
    <row r="839" spans="1:24" ht="15.75" customHeight="1" x14ac:dyDescent="0.2">
      <c r="A839" s="44"/>
      <c r="B839" s="47"/>
      <c r="C839" s="50"/>
      <c r="D839" s="50"/>
      <c r="E839" s="50"/>
      <c r="F839" s="50"/>
      <c r="G839" s="46"/>
      <c r="H839" s="46"/>
      <c r="I839" s="46"/>
      <c r="J839" s="46"/>
      <c r="K839" s="46"/>
      <c r="L839" s="71"/>
      <c r="M839" s="60"/>
      <c r="N839" s="60"/>
      <c r="O839" s="60"/>
      <c r="P839" s="60"/>
      <c r="W839" s="2"/>
      <c r="X839" s="2"/>
    </row>
    <row r="840" spans="1:24" ht="15.75" customHeight="1" x14ac:dyDescent="0.2">
      <c r="A840" s="44"/>
      <c r="B840" s="47"/>
      <c r="C840" s="50"/>
      <c r="D840" s="50"/>
      <c r="E840" s="50"/>
      <c r="F840" s="50"/>
      <c r="G840" s="46"/>
      <c r="H840" s="46"/>
      <c r="I840" s="46"/>
      <c r="J840" s="46"/>
      <c r="K840" s="46"/>
      <c r="L840" s="71"/>
      <c r="M840" s="60"/>
      <c r="N840" s="60"/>
      <c r="O840" s="60"/>
      <c r="P840" s="60"/>
      <c r="W840" s="2"/>
      <c r="X840" s="2"/>
    </row>
    <row r="841" spans="1:24" ht="15.75" customHeight="1" x14ac:dyDescent="0.2">
      <c r="A841" s="44"/>
      <c r="B841" s="47"/>
      <c r="C841" s="50"/>
      <c r="D841" s="50"/>
      <c r="E841" s="50"/>
      <c r="F841" s="50"/>
      <c r="G841" s="46"/>
      <c r="H841" s="46"/>
      <c r="I841" s="46"/>
      <c r="J841" s="46"/>
      <c r="K841" s="46"/>
      <c r="L841" s="71"/>
      <c r="M841" s="60"/>
      <c r="N841" s="60"/>
      <c r="O841" s="60"/>
      <c r="P841" s="60"/>
      <c r="W841" s="2"/>
      <c r="X841" s="2"/>
    </row>
    <row r="842" spans="1:24" ht="15.75" customHeight="1" x14ac:dyDescent="0.2">
      <c r="A842" s="44"/>
      <c r="B842" s="47"/>
      <c r="C842" s="50"/>
      <c r="D842" s="50"/>
      <c r="E842" s="50"/>
      <c r="F842" s="50"/>
      <c r="G842" s="46"/>
      <c r="H842" s="46"/>
      <c r="I842" s="46"/>
      <c r="J842" s="46"/>
      <c r="K842" s="46"/>
      <c r="L842" s="71"/>
      <c r="M842" s="60"/>
      <c r="N842" s="60"/>
      <c r="O842" s="60"/>
      <c r="P842" s="60"/>
      <c r="W842" s="2"/>
      <c r="X842" s="2"/>
    </row>
    <row r="843" spans="1:24" ht="15.75" customHeight="1" x14ac:dyDescent="0.2">
      <c r="A843" s="44"/>
      <c r="B843" s="47"/>
      <c r="C843" s="50"/>
      <c r="D843" s="50"/>
      <c r="E843" s="50"/>
      <c r="F843" s="50"/>
      <c r="G843" s="46"/>
      <c r="H843" s="46"/>
      <c r="I843" s="46"/>
      <c r="J843" s="46"/>
      <c r="K843" s="46"/>
      <c r="L843" s="71"/>
      <c r="M843" s="60"/>
      <c r="N843" s="60"/>
      <c r="O843" s="60"/>
      <c r="P843" s="60"/>
      <c r="W843" s="2"/>
      <c r="X843" s="2"/>
    </row>
    <row r="844" spans="1:24" ht="15.75" customHeight="1" x14ac:dyDescent="0.2">
      <c r="A844" s="44"/>
      <c r="B844" s="47"/>
      <c r="C844" s="50"/>
      <c r="D844" s="50"/>
      <c r="E844" s="50"/>
      <c r="F844" s="50"/>
      <c r="G844" s="46"/>
      <c r="H844" s="46"/>
      <c r="I844" s="46"/>
      <c r="J844" s="46"/>
      <c r="K844" s="46"/>
      <c r="L844" s="71"/>
      <c r="M844" s="60"/>
      <c r="N844" s="60"/>
      <c r="O844" s="60"/>
      <c r="P844" s="60"/>
      <c r="W844" s="2"/>
      <c r="X844" s="2"/>
    </row>
    <row r="845" spans="1:24" ht="15.75" customHeight="1" x14ac:dyDescent="0.2">
      <c r="A845" s="44"/>
      <c r="B845" s="47"/>
      <c r="C845" s="50"/>
      <c r="D845" s="50"/>
      <c r="E845" s="50"/>
      <c r="F845" s="50"/>
      <c r="G845" s="46"/>
      <c r="H845" s="46"/>
      <c r="I845" s="46"/>
      <c r="J845" s="46"/>
      <c r="K845" s="46"/>
      <c r="L845" s="71"/>
      <c r="M845" s="60"/>
      <c r="N845" s="60"/>
      <c r="O845" s="60"/>
      <c r="P845" s="60"/>
      <c r="W845" s="2"/>
      <c r="X845" s="2"/>
    </row>
    <row r="846" spans="1:24" ht="15.75" customHeight="1" x14ac:dyDescent="0.2">
      <c r="A846" s="44"/>
      <c r="B846" s="47"/>
      <c r="C846" s="50"/>
      <c r="D846" s="50"/>
      <c r="E846" s="50"/>
      <c r="F846" s="50"/>
      <c r="G846" s="46"/>
      <c r="H846" s="46"/>
      <c r="I846" s="46"/>
      <c r="J846" s="46"/>
      <c r="K846" s="46"/>
      <c r="L846" s="71"/>
      <c r="M846" s="60"/>
      <c r="N846" s="60"/>
      <c r="O846" s="60"/>
      <c r="P846" s="60"/>
      <c r="W846" s="2"/>
      <c r="X846" s="2"/>
    </row>
    <row r="847" spans="1:24" ht="15.75" customHeight="1" x14ac:dyDescent="0.2">
      <c r="A847" s="44"/>
      <c r="B847" s="47"/>
      <c r="C847" s="50"/>
      <c r="D847" s="50"/>
      <c r="E847" s="50"/>
      <c r="F847" s="50"/>
      <c r="G847" s="46"/>
      <c r="H847" s="46"/>
      <c r="I847" s="46"/>
      <c r="J847" s="46"/>
      <c r="K847" s="46"/>
      <c r="L847" s="71"/>
      <c r="M847" s="60"/>
      <c r="N847" s="60"/>
      <c r="O847" s="60"/>
      <c r="P847" s="60"/>
      <c r="W847" s="2"/>
      <c r="X847" s="2"/>
    </row>
    <row r="848" spans="1:24" ht="15.75" customHeight="1" x14ac:dyDescent="0.2">
      <c r="A848" s="44"/>
      <c r="B848" s="47"/>
      <c r="C848" s="50"/>
      <c r="D848" s="50"/>
      <c r="E848" s="50"/>
      <c r="F848" s="50"/>
      <c r="G848" s="46"/>
      <c r="H848" s="46"/>
      <c r="I848" s="46"/>
      <c r="J848" s="46"/>
      <c r="K848" s="46"/>
      <c r="L848" s="71"/>
      <c r="M848" s="60"/>
      <c r="N848" s="60"/>
      <c r="O848" s="60"/>
      <c r="P848" s="60"/>
      <c r="W848" s="2"/>
      <c r="X848" s="2"/>
    </row>
    <row r="849" spans="1:24" ht="15.75" customHeight="1" x14ac:dyDescent="0.2">
      <c r="A849" s="44"/>
      <c r="B849" s="47"/>
      <c r="C849" s="50"/>
      <c r="D849" s="50"/>
      <c r="E849" s="50"/>
      <c r="F849" s="50"/>
      <c r="G849" s="46"/>
      <c r="H849" s="46"/>
      <c r="I849" s="46"/>
      <c r="J849" s="46"/>
      <c r="K849" s="46"/>
      <c r="L849" s="71"/>
      <c r="M849" s="60"/>
      <c r="N849" s="60"/>
      <c r="O849" s="60"/>
      <c r="P849" s="60"/>
      <c r="W849" s="2"/>
      <c r="X849" s="2"/>
    </row>
    <row r="850" spans="1:24" ht="15.75" customHeight="1" x14ac:dyDescent="0.2">
      <c r="A850" s="44"/>
      <c r="B850" s="47"/>
      <c r="C850" s="50"/>
      <c r="D850" s="50"/>
      <c r="E850" s="50"/>
      <c r="F850" s="50"/>
      <c r="G850" s="46"/>
      <c r="H850" s="46"/>
      <c r="I850" s="46"/>
      <c r="J850" s="46"/>
      <c r="K850" s="46"/>
      <c r="L850" s="71"/>
      <c r="M850" s="60"/>
      <c r="N850" s="60"/>
      <c r="O850" s="60"/>
      <c r="P850" s="60"/>
      <c r="W850" s="2"/>
      <c r="X850" s="2"/>
    </row>
    <row r="851" spans="1:24" ht="15.75" customHeight="1" x14ac:dyDescent="0.2">
      <c r="A851" s="44"/>
      <c r="B851" s="47"/>
      <c r="C851" s="50"/>
      <c r="D851" s="50"/>
      <c r="E851" s="50"/>
      <c r="F851" s="50"/>
      <c r="G851" s="46"/>
      <c r="H851" s="46"/>
      <c r="I851" s="46"/>
      <c r="J851" s="46"/>
      <c r="K851" s="46"/>
      <c r="L851" s="71"/>
      <c r="M851" s="60"/>
      <c r="N851" s="60"/>
      <c r="O851" s="60"/>
      <c r="P851" s="60"/>
      <c r="W851" s="2"/>
      <c r="X851" s="2"/>
    </row>
    <row r="852" spans="1:24" ht="15.75" customHeight="1" x14ac:dyDescent="0.2">
      <c r="A852" s="44"/>
      <c r="B852" s="47"/>
      <c r="C852" s="50"/>
      <c r="D852" s="50"/>
      <c r="E852" s="50"/>
      <c r="F852" s="50"/>
      <c r="G852" s="46"/>
      <c r="H852" s="46"/>
      <c r="I852" s="46"/>
      <c r="J852" s="46"/>
      <c r="K852" s="46"/>
      <c r="L852" s="71"/>
      <c r="M852" s="60"/>
      <c r="N852" s="60"/>
      <c r="O852" s="60"/>
      <c r="P852" s="60"/>
      <c r="W852" s="2"/>
      <c r="X852" s="2"/>
    </row>
    <row r="853" spans="1:24" ht="15.75" customHeight="1" x14ac:dyDescent="0.2">
      <c r="A853" s="44"/>
      <c r="B853" s="47"/>
      <c r="C853" s="50"/>
      <c r="D853" s="50"/>
      <c r="E853" s="50"/>
      <c r="F853" s="50"/>
      <c r="G853" s="46"/>
      <c r="H853" s="46"/>
      <c r="I853" s="46"/>
      <c r="J853" s="46"/>
      <c r="K853" s="46"/>
      <c r="L853" s="71"/>
      <c r="M853" s="60"/>
      <c r="N853" s="60"/>
      <c r="O853" s="60"/>
      <c r="P853" s="60"/>
      <c r="W853" s="2"/>
      <c r="X853" s="2"/>
    </row>
    <row r="854" spans="1:24" ht="15.75" customHeight="1" x14ac:dyDescent="0.2">
      <c r="A854" s="44"/>
      <c r="B854" s="47"/>
      <c r="C854" s="50"/>
      <c r="D854" s="50"/>
      <c r="E854" s="50"/>
      <c r="F854" s="50"/>
      <c r="G854" s="46"/>
      <c r="H854" s="46"/>
      <c r="I854" s="46"/>
      <c r="J854" s="46"/>
      <c r="K854" s="46"/>
      <c r="L854" s="71"/>
      <c r="M854" s="60"/>
      <c r="N854" s="60"/>
      <c r="O854" s="60"/>
      <c r="P854" s="60"/>
      <c r="W854" s="2"/>
      <c r="X854" s="2"/>
    </row>
    <row r="855" spans="1:24" ht="15.75" customHeight="1" x14ac:dyDescent="0.2">
      <c r="A855" s="44"/>
      <c r="B855" s="47"/>
      <c r="C855" s="50"/>
      <c r="D855" s="50"/>
      <c r="E855" s="50"/>
      <c r="F855" s="50"/>
      <c r="G855" s="46"/>
      <c r="H855" s="46"/>
      <c r="I855" s="46"/>
      <c r="J855" s="46"/>
      <c r="K855" s="46"/>
      <c r="L855" s="71"/>
      <c r="M855" s="60"/>
      <c r="N855" s="60"/>
      <c r="O855" s="60"/>
      <c r="P855" s="60"/>
      <c r="W855" s="2"/>
      <c r="X855" s="2"/>
    </row>
    <row r="856" spans="1:24" ht="15.75" customHeight="1" x14ac:dyDescent="0.2">
      <c r="A856" s="44"/>
      <c r="B856" s="47"/>
      <c r="C856" s="50"/>
      <c r="D856" s="50"/>
      <c r="E856" s="50"/>
      <c r="F856" s="50"/>
      <c r="G856" s="46"/>
      <c r="H856" s="46"/>
      <c r="I856" s="46"/>
      <c r="J856" s="46"/>
      <c r="K856" s="46"/>
      <c r="L856" s="71"/>
      <c r="M856" s="60"/>
      <c r="N856" s="60"/>
      <c r="O856" s="60"/>
      <c r="P856" s="60"/>
      <c r="W856" s="2"/>
      <c r="X856" s="2"/>
    </row>
    <row r="857" spans="1:24" ht="15.75" customHeight="1" x14ac:dyDescent="0.2">
      <c r="A857" s="44"/>
      <c r="B857" s="47"/>
      <c r="C857" s="50"/>
      <c r="D857" s="50"/>
      <c r="E857" s="50"/>
      <c r="F857" s="50"/>
      <c r="G857" s="46"/>
      <c r="H857" s="46"/>
      <c r="I857" s="46"/>
      <c r="J857" s="46"/>
      <c r="K857" s="46"/>
      <c r="L857" s="71"/>
      <c r="M857" s="60"/>
      <c r="N857" s="60"/>
      <c r="O857" s="60"/>
      <c r="P857" s="60"/>
      <c r="W857" s="2"/>
      <c r="X857" s="2"/>
    </row>
    <row r="858" spans="1:24" ht="15.75" customHeight="1" x14ac:dyDescent="0.2">
      <c r="A858" s="44"/>
      <c r="B858" s="47"/>
      <c r="C858" s="50"/>
      <c r="D858" s="50"/>
      <c r="E858" s="50"/>
      <c r="F858" s="50"/>
      <c r="G858" s="46"/>
      <c r="H858" s="46"/>
      <c r="I858" s="46"/>
      <c r="J858" s="46"/>
      <c r="K858" s="46"/>
      <c r="L858" s="71"/>
      <c r="M858" s="60"/>
      <c r="N858" s="60"/>
      <c r="O858" s="60"/>
      <c r="P858" s="60"/>
      <c r="W858" s="2"/>
      <c r="X858" s="2"/>
    </row>
    <row r="859" spans="1:24" ht="15.75" customHeight="1" x14ac:dyDescent="0.2">
      <c r="A859" s="44"/>
      <c r="B859" s="47"/>
      <c r="C859" s="50"/>
      <c r="D859" s="50"/>
      <c r="E859" s="50"/>
      <c r="F859" s="50"/>
      <c r="G859" s="46"/>
      <c r="H859" s="46"/>
      <c r="I859" s="46"/>
      <c r="J859" s="46"/>
      <c r="K859" s="46"/>
      <c r="L859" s="71"/>
      <c r="M859" s="60"/>
      <c r="N859" s="60"/>
      <c r="O859" s="60"/>
      <c r="P859" s="60"/>
      <c r="W859" s="2"/>
      <c r="X859" s="2"/>
    </row>
    <row r="860" spans="1:24" ht="15.75" customHeight="1" x14ac:dyDescent="0.2">
      <c r="A860" s="44"/>
      <c r="B860" s="47"/>
      <c r="C860" s="50"/>
      <c r="D860" s="50"/>
      <c r="E860" s="50"/>
      <c r="F860" s="50"/>
      <c r="G860" s="46"/>
      <c r="H860" s="46"/>
      <c r="I860" s="46"/>
      <c r="J860" s="46"/>
      <c r="K860" s="46"/>
      <c r="L860" s="71"/>
      <c r="M860" s="60"/>
      <c r="N860" s="60"/>
      <c r="O860" s="60"/>
      <c r="P860" s="60"/>
      <c r="W860" s="2"/>
      <c r="X860" s="2"/>
    </row>
    <row r="861" spans="1:24" ht="15.75" customHeight="1" x14ac:dyDescent="0.2">
      <c r="A861" s="44"/>
      <c r="B861" s="47"/>
      <c r="C861" s="50"/>
      <c r="D861" s="50"/>
      <c r="E861" s="50"/>
      <c r="F861" s="50"/>
      <c r="G861" s="46"/>
      <c r="H861" s="46"/>
      <c r="I861" s="46"/>
      <c r="J861" s="46"/>
      <c r="K861" s="46"/>
      <c r="L861" s="71"/>
      <c r="M861" s="60"/>
      <c r="N861" s="60"/>
      <c r="O861" s="60"/>
      <c r="P861" s="60"/>
      <c r="W861" s="2"/>
      <c r="X861" s="2"/>
    </row>
    <row r="862" spans="1:24" ht="15.75" customHeight="1" x14ac:dyDescent="0.2">
      <c r="A862" s="44"/>
      <c r="B862" s="47"/>
      <c r="C862" s="50"/>
      <c r="D862" s="50"/>
      <c r="E862" s="50"/>
      <c r="F862" s="50"/>
      <c r="G862" s="46"/>
      <c r="H862" s="46"/>
      <c r="I862" s="46"/>
      <c r="J862" s="46"/>
      <c r="K862" s="46"/>
      <c r="L862" s="71"/>
      <c r="M862" s="60"/>
      <c r="N862" s="60"/>
      <c r="O862" s="60"/>
      <c r="P862" s="60"/>
      <c r="W862" s="2"/>
      <c r="X862" s="2"/>
    </row>
    <row r="863" spans="1:24" ht="15.75" customHeight="1" x14ac:dyDescent="0.2">
      <c r="A863" s="44"/>
      <c r="B863" s="47"/>
      <c r="C863" s="50"/>
      <c r="D863" s="50"/>
      <c r="E863" s="50"/>
      <c r="F863" s="50"/>
      <c r="G863" s="46"/>
      <c r="H863" s="46"/>
      <c r="I863" s="46"/>
      <c r="J863" s="46"/>
      <c r="K863" s="46"/>
      <c r="L863" s="71"/>
      <c r="M863" s="60"/>
      <c r="N863" s="60"/>
      <c r="O863" s="60"/>
      <c r="P863" s="60"/>
      <c r="W863" s="2"/>
      <c r="X863" s="2"/>
    </row>
    <row r="864" spans="1:24" ht="15.75" customHeight="1" x14ac:dyDescent="0.2">
      <c r="A864" s="44"/>
      <c r="B864" s="47"/>
      <c r="C864" s="50"/>
      <c r="D864" s="50"/>
      <c r="E864" s="50"/>
      <c r="F864" s="50"/>
      <c r="G864" s="46"/>
      <c r="H864" s="46"/>
      <c r="I864" s="46"/>
      <c r="J864" s="46"/>
      <c r="K864" s="46"/>
      <c r="L864" s="71"/>
      <c r="M864" s="60"/>
      <c r="N864" s="60"/>
      <c r="O864" s="60"/>
      <c r="P864" s="60"/>
      <c r="W864" s="2"/>
      <c r="X864" s="2"/>
    </row>
    <row r="865" spans="1:24" ht="15.75" customHeight="1" x14ac:dyDescent="0.2">
      <c r="A865" s="44"/>
      <c r="B865" s="47"/>
      <c r="C865" s="50"/>
      <c r="D865" s="50"/>
      <c r="E865" s="50"/>
      <c r="F865" s="50"/>
      <c r="G865" s="46"/>
      <c r="H865" s="46"/>
      <c r="I865" s="46"/>
      <c r="J865" s="46"/>
      <c r="K865" s="46"/>
      <c r="L865" s="71"/>
      <c r="M865" s="60"/>
      <c r="N865" s="60"/>
      <c r="O865" s="60"/>
      <c r="P865" s="60"/>
      <c r="W865" s="2"/>
      <c r="X865" s="2"/>
    </row>
    <row r="866" spans="1:24" ht="15.75" customHeight="1" x14ac:dyDescent="0.2">
      <c r="A866" s="44"/>
      <c r="B866" s="47"/>
      <c r="C866" s="50"/>
      <c r="D866" s="50"/>
      <c r="E866" s="50"/>
      <c r="F866" s="50"/>
      <c r="G866" s="46"/>
      <c r="H866" s="46"/>
      <c r="I866" s="46"/>
      <c r="J866" s="46"/>
      <c r="K866" s="46"/>
      <c r="L866" s="71"/>
      <c r="M866" s="60"/>
      <c r="N866" s="60"/>
      <c r="O866" s="60"/>
      <c r="P866" s="60"/>
      <c r="W866" s="2"/>
      <c r="X866" s="2"/>
    </row>
    <row r="867" spans="1:24" ht="15.75" customHeight="1" x14ac:dyDescent="0.2">
      <c r="A867" s="44"/>
      <c r="B867" s="47"/>
      <c r="C867" s="50"/>
      <c r="D867" s="50"/>
      <c r="E867" s="50"/>
      <c r="F867" s="50"/>
      <c r="G867" s="46"/>
      <c r="H867" s="46"/>
      <c r="I867" s="46"/>
      <c r="J867" s="46"/>
      <c r="K867" s="46"/>
      <c r="L867" s="71"/>
      <c r="M867" s="60"/>
      <c r="N867" s="60"/>
      <c r="O867" s="60"/>
      <c r="P867" s="60"/>
      <c r="W867" s="2"/>
      <c r="X867" s="2"/>
    </row>
    <row r="868" spans="1:24" ht="15.75" customHeight="1" x14ac:dyDescent="0.2">
      <c r="A868" s="44"/>
      <c r="B868" s="47"/>
      <c r="C868" s="50"/>
      <c r="D868" s="50"/>
      <c r="E868" s="50"/>
      <c r="F868" s="50"/>
      <c r="G868" s="46"/>
      <c r="H868" s="46"/>
      <c r="I868" s="46"/>
      <c r="J868" s="46"/>
      <c r="K868" s="46"/>
      <c r="L868" s="71"/>
      <c r="M868" s="60"/>
      <c r="N868" s="60"/>
      <c r="O868" s="60"/>
      <c r="P868" s="60"/>
      <c r="W868" s="2"/>
      <c r="X868" s="2"/>
    </row>
    <row r="869" spans="1:24" ht="15.75" customHeight="1" x14ac:dyDescent="0.2">
      <c r="A869" s="44"/>
      <c r="B869" s="47"/>
      <c r="C869" s="50"/>
      <c r="D869" s="50"/>
      <c r="E869" s="50"/>
      <c r="F869" s="50"/>
      <c r="G869" s="46"/>
      <c r="H869" s="46"/>
      <c r="I869" s="46"/>
      <c r="J869" s="46"/>
      <c r="K869" s="46"/>
      <c r="L869" s="71"/>
      <c r="M869" s="60"/>
      <c r="N869" s="60"/>
      <c r="O869" s="60"/>
      <c r="P869" s="60"/>
      <c r="W869" s="2"/>
      <c r="X869" s="2"/>
    </row>
    <row r="870" spans="1:24" ht="15.75" customHeight="1" x14ac:dyDescent="0.2">
      <c r="A870" s="44"/>
      <c r="B870" s="47"/>
      <c r="C870" s="50"/>
      <c r="D870" s="50"/>
      <c r="E870" s="50"/>
      <c r="F870" s="50"/>
      <c r="G870" s="46"/>
      <c r="H870" s="46"/>
      <c r="I870" s="46"/>
      <c r="J870" s="46"/>
      <c r="K870" s="46"/>
      <c r="L870" s="71"/>
      <c r="M870" s="60"/>
      <c r="N870" s="60"/>
      <c r="O870" s="60"/>
      <c r="P870" s="60"/>
      <c r="W870" s="2"/>
      <c r="X870" s="2"/>
    </row>
    <row r="871" spans="1:24" ht="15.75" customHeight="1" x14ac:dyDescent="0.2">
      <c r="A871" s="44"/>
      <c r="B871" s="47"/>
      <c r="C871" s="50"/>
      <c r="D871" s="50"/>
      <c r="E871" s="50"/>
      <c r="F871" s="50"/>
      <c r="G871" s="46"/>
      <c r="H871" s="46"/>
      <c r="I871" s="46"/>
      <c r="J871" s="46"/>
      <c r="K871" s="46"/>
      <c r="L871" s="71"/>
      <c r="M871" s="60"/>
      <c r="N871" s="60"/>
      <c r="O871" s="60"/>
      <c r="P871" s="60"/>
      <c r="W871" s="2"/>
      <c r="X871" s="2"/>
    </row>
    <row r="872" spans="1:24" ht="15.75" customHeight="1" x14ac:dyDescent="0.2">
      <c r="A872" s="44"/>
      <c r="B872" s="47"/>
      <c r="C872" s="50"/>
      <c r="D872" s="50"/>
      <c r="E872" s="50"/>
      <c r="F872" s="50"/>
      <c r="G872" s="46"/>
      <c r="H872" s="46"/>
      <c r="I872" s="46"/>
      <c r="J872" s="46"/>
      <c r="K872" s="46"/>
      <c r="L872" s="71"/>
      <c r="M872" s="60"/>
      <c r="N872" s="60"/>
      <c r="O872" s="60"/>
      <c r="P872" s="60"/>
      <c r="W872" s="2"/>
      <c r="X872" s="2"/>
    </row>
    <row r="873" spans="1:24" ht="15.75" customHeight="1" x14ac:dyDescent="0.2">
      <c r="A873" s="44"/>
      <c r="B873" s="47"/>
      <c r="C873" s="50"/>
      <c r="D873" s="50"/>
      <c r="E873" s="50"/>
      <c r="F873" s="50"/>
      <c r="G873" s="46"/>
      <c r="H873" s="46"/>
      <c r="I873" s="46"/>
      <c r="J873" s="46"/>
      <c r="K873" s="46"/>
      <c r="L873" s="71"/>
      <c r="M873" s="60"/>
      <c r="N873" s="60"/>
      <c r="O873" s="60"/>
      <c r="P873" s="60"/>
      <c r="W873" s="2"/>
      <c r="X873" s="2"/>
    </row>
    <row r="874" spans="1:24" ht="15.75" customHeight="1" x14ac:dyDescent="0.2">
      <c r="A874" s="44"/>
      <c r="B874" s="47"/>
      <c r="C874" s="50"/>
      <c r="D874" s="50"/>
      <c r="E874" s="50"/>
      <c r="F874" s="50"/>
      <c r="G874" s="46"/>
      <c r="H874" s="46"/>
      <c r="I874" s="46"/>
      <c r="J874" s="46"/>
      <c r="K874" s="46"/>
      <c r="L874" s="71"/>
      <c r="M874" s="60"/>
      <c r="N874" s="60"/>
      <c r="O874" s="60"/>
      <c r="P874" s="60"/>
      <c r="W874" s="2"/>
      <c r="X874" s="2"/>
    </row>
    <row r="875" spans="1:24" ht="15.75" customHeight="1" x14ac:dyDescent="0.2">
      <c r="A875" s="44"/>
      <c r="B875" s="47"/>
      <c r="C875" s="50"/>
      <c r="D875" s="50"/>
      <c r="E875" s="50"/>
      <c r="F875" s="50"/>
      <c r="G875" s="46"/>
      <c r="H875" s="46"/>
      <c r="I875" s="46"/>
      <c r="J875" s="46"/>
      <c r="K875" s="46"/>
      <c r="L875" s="71"/>
      <c r="M875" s="60"/>
      <c r="N875" s="60"/>
      <c r="O875" s="60"/>
      <c r="P875" s="60"/>
      <c r="W875" s="2"/>
      <c r="X875" s="2"/>
    </row>
    <row r="876" spans="1:24" ht="15.75" customHeight="1" x14ac:dyDescent="0.2">
      <c r="A876" s="44"/>
      <c r="B876" s="47"/>
      <c r="C876" s="50"/>
      <c r="D876" s="50"/>
      <c r="E876" s="50"/>
      <c r="F876" s="50"/>
      <c r="G876" s="46"/>
      <c r="H876" s="46"/>
      <c r="I876" s="46"/>
      <c r="J876" s="46"/>
      <c r="K876" s="46"/>
      <c r="L876" s="71"/>
      <c r="M876" s="60"/>
      <c r="N876" s="60"/>
      <c r="O876" s="60"/>
      <c r="P876" s="60"/>
      <c r="W876" s="2"/>
      <c r="X876" s="2"/>
    </row>
    <row r="877" spans="1:24" ht="15.75" customHeight="1" x14ac:dyDescent="0.2">
      <c r="A877" s="44"/>
      <c r="B877" s="47"/>
      <c r="C877" s="50"/>
      <c r="D877" s="50"/>
      <c r="E877" s="50"/>
      <c r="F877" s="50"/>
      <c r="G877" s="46"/>
      <c r="H877" s="46"/>
      <c r="I877" s="46"/>
      <c r="J877" s="46"/>
      <c r="K877" s="46"/>
      <c r="L877" s="71"/>
      <c r="M877" s="60"/>
      <c r="N877" s="60"/>
      <c r="O877" s="60"/>
      <c r="P877" s="60"/>
      <c r="W877" s="2"/>
      <c r="X877" s="2"/>
    </row>
    <row r="878" spans="1:24" ht="15.75" customHeight="1" x14ac:dyDescent="0.2">
      <c r="A878" s="44"/>
      <c r="B878" s="47"/>
      <c r="C878" s="50"/>
      <c r="D878" s="50"/>
      <c r="E878" s="50"/>
      <c r="F878" s="50"/>
      <c r="G878" s="46"/>
      <c r="H878" s="46"/>
      <c r="I878" s="46"/>
      <c r="J878" s="46"/>
      <c r="K878" s="46"/>
      <c r="L878" s="71"/>
      <c r="M878" s="60"/>
      <c r="N878" s="60"/>
      <c r="O878" s="60"/>
      <c r="P878" s="60"/>
      <c r="W878" s="2"/>
      <c r="X878" s="2"/>
    </row>
    <row r="879" spans="1:24" ht="15.75" customHeight="1" x14ac:dyDescent="0.2">
      <c r="A879" s="44"/>
      <c r="B879" s="47"/>
      <c r="C879" s="50"/>
      <c r="D879" s="50"/>
      <c r="E879" s="50"/>
      <c r="F879" s="50"/>
      <c r="G879" s="46"/>
      <c r="H879" s="46"/>
      <c r="I879" s="46"/>
      <c r="J879" s="46"/>
      <c r="K879" s="46"/>
      <c r="L879" s="71"/>
      <c r="M879" s="60"/>
      <c r="N879" s="60"/>
      <c r="O879" s="60"/>
      <c r="P879" s="60"/>
      <c r="W879" s="2"/>
      <c r="X879" s="2"/>
    </row>
    <row r="880" spans="1:24" ht="15.75" customHeight="1" x14ac:dyDescent="0.2">
      <c r="A880" s="44"/>
      <c r="B880" s="47"/>
      <c r="C880" s="50"/>
      <c r="D880" s="50"/>
      <c r="E880" s="50"/>
      <c r="F880" s="50"/>
      <c r="G880" s="46"/>
      <c r="H880" s="46"/>
      <c r="I880" s="46"/>
      <c r="J880" s="46"/>
      <c r="K880" s="46"/>
      <c r="L880" s="71"/>
      <c r="M880" s="60"/>
      <c r="N880" s="60"/>
      <c r="O880" s="60"/>
      <c r="P880" s="60"/>
      <c r="W880" s="2"/>
      <c r="X880" s="2"/>
    </row>
    <row r="881" spans="1:24" ht="15.75" customHeight="1" x14ac:dyDescent="0.2">
      <c r="A881" s="44"/>
      <c r="B881" s="47"/>
      <c r="C881" s="50"/>
      <c r="D881" s="50"/>
      <c r="E881" s="50"/>
      <c r="F881" s="50"/>
      <c r="G881" s="46"/>
      <c r="H881" s="46"/>
      <c r="I881" s="46"/>
      <c r="J881" s="46"/>
      <c r="K881" s="46"/>
      <c r="L881" s="71"/>
      <c r="M881" s="60"/>
      <c r="N881" s="60"/>
      <c r="O881" s="60"/>
      <c r="P881" s="60"/>
      <c r="W881" s="2"/>
      <c r="X881" s="2"/>
    </row>
    <row r="882" spans="1:24" ht="15.75" customHeight="1" x14ac:dyDescent="0.2">
      <c r="A882" s="44"/>
      <c r="B882" s="47"/>
      <c r="C882" s="50"/>
      <c r="D882" s="50"/>
      <c r="E882" s="50"/>
      <c r="F882" s="50"/>
      <c r="G882" s="46"/>
      <c r="H882" s="46"/>
      <c r="I882" s="46"/>
      <c r="J882" s="46"/>
      <c r="K882" s="46"/>
      <c r="L882" s="71"/>
      <c r="M882" s="60"/>
      <c r="N882" s="60"/>
      <c r="O882" s="60"/>
      <c r="P882" s="60"/>
      <c r="W882" s="2"/>
      <c r="X882" s="2"/>
    </row>
    <row r="883" spans="1:24" ht="15.75" customHeight="1" x14ac:dyDescent="0.2">
      <c r="A883" s="44"/>
      <c r="B883" s="47"/>
      <c r="C883" s="50"/>
      <c r="D883" s="50"/>
      <c r="E883" s="50"/>
      <c r="F883" s="50"/>
      <c r="G883" s="46"/>
      <c r="H883" s="46"/>
      <c r="I883" s="46"/>
      <c r="J883" s="46"/>
      <c r="K883" s="46"/>
      <c r="L883" s="71"/>
      <c r="M883" s="60"/>
      <c r="N883" s="60"/>
      <c r="O883" s="60"/>
      <c r="P883" s="60"/>
      <c r="W883" s="2"/>
      <c r="X883" s="2"/>
    </row>
    <row r="884" spans="1:24" ht="15.75" customHeight="1" x14ac:dyDescent="0.2">
      <c r="A884" s="44"/>
      <c r="B884" s="47"/>
      <c r="C884" s="50"/>
      <c r="D884" s="50"/>
      <c r="E884" s="50"/>
      <c r="F884" s="50"/>
      <c r="G884" s="46"/>
      <c r="H884" s="46"/>
      <c r="I884" s="46"/>
      <c r="J884" s="46"/>
      <c r="K884" s="46"/>
      <c r="L884" s="71"/>
      <c r="M884" s="60"/>
      <c r="N884" s="60"/>
      <c r="O884" s="60"/>
      <c r="P884" s="60"/>
      <c r="W884" s="2"/>
      <c r="X884" s="2"/>
    </row>
    <row r="885" spans="1:24" ht="15.75" customHeight="1" x14ac:dyDescent="0.2">
      <c r="A885" s="44"/>
      <c r="B885" s="47"/>
      <c r="C885" s="50"/>
      <c r="D885" s="50"/>
      <c r="E885" s="50"/>
      <c r="F885" s="50"/>
      <c r="G885" s="46"/>
      <c r="H885" s="46"/>
      <c r="I885" s="46"/>
      <c r="J885" s="46"/>
      <c r="K885" s="46"/>
      <c r="L885" s="71"/>
      <c r="M885" s="60"/>
      <c r="N885" s="60"/>
      <c r="O885" s="60"/>
      <c r="P885" s="60"/>
      <c r="W885" s="2"/>
      <c r="X885" s="2"/>
    </row>
    <row r="886" spans="1:24" ht="15.75" customHeight="1" x14ac:dyDescent="0.2">
      <c r="A886" s="44"/>
      <c r="B886" s="47"/>
      <c r="C886" s="50"/>
      <c r="D886" s="50"/>
      <c r="E886" s="50"/>
      <c r="F886" s="50"/>
      <c r="G886" s="46"/>
      <c r="H886" s="46"/>
      <c r="I886" s="46"/>
      <c r="J886" s="46"/>
      <c r="K886" s="46"/>
      <c r="L886" s="71"/>
      <c r="M886" s="60"/>
      <c r="N886" s="60"/>
      <c r="O886" s="60"/>
      <c r="P886" s="60"/>
      <c r="W886" s="2"/>
      <c r="X886" s="2"/>
    </row>
    <row r="887" spans="1:24" ht="15.75" customHeight="1" x14ac:dyDescent="0.2">
      <c r="A887" s="44"/>
      <c r="B887" s="47"/>
      <c r="C887" s="50"/>
      <c r="D887" s="50"/>
      <c r="E887" s="50"/>
      <c r="F887" s="50"/>
      <c r="G887" s="46"/>
      <c r="H887" s="46"/>
      <c r="I887" s="46"/>
      <c r="J887" s="46"/>
      <c r="K887" s="46"/>
      <c r="L887" s="71"/>
      <c r="M887" s="60"/>
      <c r="N887" s="60"/>
      <c r="O887" s="60"/>
      <c r="P887" s="60"/>
      <c r="W887" s="2"/>
      <c r="X887" s="2"/>
    </row>
    <row r="888" spans="1:24" ht="15.75" customHeight="1" x14ac:dyDescent="0.2">
      <c r="A888" s="44"/>
      <c r="B888" s="47"/>
      <c r="C888" s="50"/>
      <c r="D888" s="50"/>
      <c r="E888" s="50"/>
      <c r="F888" s="50"/>
      <c r="G888" s="46"/>
      <c r="H888" s="46"/>
      <c r="I888" s="46"/>
      <c r="J888" s="46"/>
      <c r="K888" s="46"/>
      <c r="L888" s="71"/>
      <c r="M888" s="60"/>
      <c r="N888" s="60"/>
      <c r="O888" s="60"/>
      <c r="P888" s="60"/>
      <c r="W888" s="2"/>
      <c r="X888" s="2"/>
    </row>
    <row r="889" spans="1:24" ht="15.75" customHeight="1" x14ac:dyDescent="0.2">
      <c r="A889" s="44"/>
      <c r="B889" s="47"/>
      <c r="C889" s="50"/>
      <c r="D889" s="50"/>
      <c r="E889" s="50"/>
      <c r="F889" s="50"/>
      <c r="G889" s="46"/>
      <c r="H889" s="46"/>
      <c r="I889" s="46"/>
      <c r="J889" s="46"/>
      <c r="K889" s="46"/>
      <c r="L889" s="71"/>
      <c r="M889" s="60"/>
      <c r="N889" s="60"/>
      <c r="O889" s="60"/>
      <c r="P889" s="60"/>
      <c r="W889" s="2"/>
      <c r="X889" s="2"/>
    </row>
    <row r="890" spans="1:24" ht="15.75" customHeight="1" x14ac:dyDescent="0.2">
      <c r="A890" s="44"/>
      <c r="B890" s="47"/>
      <c r="C890" s="50"/>
      <c r="D890" s="50"/>
      <c r="E890" s="50"/>
      <c r="F890" s="50"/>
      <c r="G890" s="46"/>
      <c r="H890" s="46"/>
      <c r="I890" s="46"/>
      <c r="J890" s="46"/>
      <c r="K890" s="46"/>
      <c r="L890" s="71"/>
      <c r="M890" s="60"/>
      <c r="N890" s="60"/>
      <c r="O890" s="60"/>
      <c r="P890" s="60"/>
      <c r="W890" s="2"/>
      <c r="X890" s="2"/>
    </row>
    <row r="891" spans="1:24" ht="15.75" customHeight="1" x14ac:dyDescent="0.2">
      <c r="A891" s="44"/>
      <c r="B891" s="47"/>
      <c r="C891" s="50"/>
      <c r="D891" s="50"/>
      <c r="E891" s="50"/>
      <c r="F891" s="50"/>
      <c r="G891" s="46"/>
      <c r="H891" s="46"/>
      <c r="I891" s="46"/>
      <c r="J891" s="46"/>
      <c r="K891" s="46"/>
      <c r="L891" s="71"/>
      <c r="M891" s="60"/>
      <c r="N891" s="60"/>
      <c r="O891" s="60"/>
      <c r="P891" s="60"/>
      <c r="W891" s="2"/>
      <c r="X891" s="2"/>
    </row>
    <row r="892" spans="1:24" ht="15.75" customHeight="1" x14ac:dyDescent="0.2">
      <c r="A892" s="44"/>
      <c r="B892" s="47"/>
      <c r="C892" s="50"/>
      <c r="D892" s="50"/>
      <c r="E892" s="50"/>
      <c r="F892" s="50"/>
      <c r="G892" s="46"/>
      <c r="H892" s="46"/>
      <c r="I892" s="46"/>
      <c r="J892" s="46"/>
      <c r="K892" s="46"/>
      <c r="L892" s="71"/>
      <c r="M892" s="60"/>
      <c r="N892" s="60"/>
      <c r="O892" s="60"/>
      <c r="P892" s="60"/>
      <c r="W892" s="2"/>
      <c r="X892" s="2"/>
    </row>
    <row r="893" spans="1:24" ht="15.75" customHeight="1" x14ac:dyDescent="0.2">
      <c r="A893" s="44"/>
      <c r="B893" s="47"/>
      <c r="C893" s="50"/>
      <c r="D893" s="50"/>
      <c r="E893" s="50"/>
      <c r="F893" s="50"/>
      <c r="G893" s="46"/>
      <c r="H893" s="46"/>
      <c r="I893" s="46"/>
      <c r="J893" s="46"/>
      <c r="K893" s="46"/>
      <c r="L893" s="71"/>
      <c r="M893" s="60"/>
      <c r="N893" s="60"/>
      <c r="O893" s="60"/>
      <c r="P893" s="60"/>
      <c r="W893" s="2"/>
      <c r="X893" s="2"/>
    </row>
    <row r="894" spans="1:24" ht="15.75" customHeight="1" x14ac:dyDescent="0.2">
      <c r="A894" s="44"/>
      <c r="B894" s="47"/>
      <c r="C894" s="50"/>
      <c r="D894" s="50"/>
      <c r="E894" s="50"/>
      <c r="F894" s="50"/>
      <c r="G894" s="46"/>
      <c r="H894" s="46"/>
      <c r="I894" s="46"/>
      <c r="J894" s="46"/>
      <c r="K894" s="46"/>
      <c r="L894" s="71"/>
      <c r="M894" s="60"/>
      <c r="N894" s="60"/>
      <c r="O894" s="60"/>
      <c r="P894" s="60"/>
      <c r="W894" s="2"/>
      <c r="X894" s="2"/>
    </row>
    <row r="895" spans="1:24" ht="15.75" customHeight="1" x14ac:dyDescent="0.2">
      <c r="A895" s="44"/>
      <c r="B895" s="47"/>
      <c r="C895" s="50"/>
      <c r="D895" s="50"/>
      <c r="E895" s="50"/>
      <c r="F895" s="50"/>
      <c r="G895" s="46"/>
      <c r="H895" s="46"/>
      <c r="I895" s="46"/>
      <c r="J895" s="46"/>
      <c r="K895" s="46"/>
      <c r="L895" s="71"/>
      <c r="M895" s="60"/>
      <c r="N895" s="60"/>
      <c r="O895" s="60"/>
      <c r="P895" s="60"/>
      <c r="W895" s="2"/>
      <c r="X895" s="2"/>
    </row>
    <row r="896" spans="1:24" ht="15.75" customHeight="1" x14ac:dyDescent="0.2">
      <c r="A896" s="44"/>
      <c r="B896" s="47"/>
      <c r="C896" s="50"/>
      <c r="D896" s="50"/>
      <c r="E896" s="50"/>
      <c r="F896" s="50"/>
      <c r="G896" s="46"/>
      <c r="H896" s="46"/>
      <c r="I896" s="46"/>
      <c r="J896" s="46"/>
      <c r="K896" s="46"/>
      <c r="L896" s="71"/>
      <c r="M896" s="60"/>
      <c r="N896" s="60"/>
      <c r="O896" s="60"/>
      <c r="P896" s="60"/>
      <c r="W896" s="2"/>
      <c r="X896" s="2"/>
    </row>
    <row r="897" spans="1:24" ht="15.75" customHeight="1" x14ac:dyDescent="0.2">
      <c r="A897" s="44"/>
      <c r="B897" s="47"/>
      <c r="C897" s="50"/>
      <c r="D897" s="50"/>
      <c r="E897" s="50"/>
      <c r="F897" s="50"/>
      <c r="G897" s="46"/>
      <c r="H897" s="46"/>
      <c r="I897" s="46"/>
      <c r="J897" s="46"/>
      <c r="K897" s="46"/>
      <c r="L897" s="71"/>
      <c r="M897" s="60"/>
      <c r="N897" s="60"/>
      <c r="O897" s="60"/>
      <c r="P897" s="60"/>
      <c r="W897" s="2"/>
      <c r="X897" s="2"/>
    </row>
    <row r="898" spans="1:24" ht="15.75" customHeight="1" x14ac:dyDescent="0.2">
      <c r="A898" s="44"/>
      <c r="B898" s="47"/>
      <c r="C898" s="50"/>
      <c r="D898" s="50"/>
      <c r="E898" s="50"/>
      <c r="F898" s="50"/>
      <c r="G898" s="46"/>
      <c r="H898" s="46"/>
      <c r="I898" s="46"/>
      <c r="J898" s="46"/>
      <c r="K898" s="46"/>
      <c r="L898" s="71"/>
      <c r="M898" s="60"/>
      <c r="N898" s="60"/>
      <c r="O898" s="60"/>
      <c r="P898" s="60"/>
      <c r="W898" s="2"/>
      <c r="X898" s="2"/>
    </row>
    <row r="899" spans="1:24" ht="15.75" customHeight="1" x14ac:dyDescent="0.2">
      <c r="A899" s="44"/>
      <c r="B899" s="47"/>
      <c r="C899" s="50"/>
      <c r="D899" s="50"/>
      <c r="E899" s="50"/>
      <c r="F899" s="50"/>
      <c r="G899" s="46"/>
      <c r="H899" s="46"/>
      <c r="I899" s="46"/>
      <c r="J899" s="46"/>
      <c r="K899" s="46"/>
      <c r="L899" s="71"/>
      <c r="M899" s="60"/>
      <c r="N899" s="60"/>
      <c r="O899" s="60"/>
      <c r="P899" s="60"/>
      <c r="W899" s="2"/>
      <c r="X899" s="2"/>
    </row>
    <row r="900" spans="1:24" ht="15.75" customHeight="1" x14ac:dyDescent="0.2">
      <c r="A900" s="44"/>
      <c r="B900" s="47"/>
      <c r="C900" s="50"/>
      <c r="D900" s="50"/>
      <c r="E900" s="50"/>
      <c r="F900" s="50"/>
      <c r="G900" s="46"/>
      <c r="H900" s="46"/>
      <c r="I900" s="46"/>
      <c r="J900" s="46"/>
      <c r="K900" s="46"/>
      <c r="L900" s="71"/>
      <c r="M900" s="60"/>
      <c r="N900" s="60"/>
      <c r="O900" s="60"/>
      <c r="P900" s="60"/>
      <c r="W900" s="2"/>
      <c r="X900" s="2"/>
    </row>
    <row r="901" spans="1:24" ht="15.75" customHeight="1" x14ac:dyDescent="0.2">
      <c r="A901" s="44"/>
      <c r="B901" s="47"/>
      <c r="C901" s="50"/>
      <c r="D901" s="50"/>
      <c r="E901" s="50"/>
      <c r="F901" s="50"/>
      <c r="G901" s="46"/>
      <c r="H901" s="46"/>
      <c r="I901" s="46"/>
      <c r="J901" s="46"/>
      <c r="K901" s="46"/>
      <c r="L901" s="71"/>
      <c r="M901" s="60"/>
      <c r="N901" s="60"/>
      <c r="O901" s="60"/>
      <c r="P901" s="60"/>
      <c r="W901" s="2"/>
      <c r="X901" s="2"/>
    </row>
    <row r="902" spans="1:24" ht="15.75" customHeight="1" x14ac:dyDescent="0.2">
      <c r="A902" s="44"/>
      <c r="B902" s="47"/>
      <c r="C902" s="50"/>
      <c r="D902" s="50"/>
      <c r="E902" s="50"/>
      <c r="F902" s="50"/>
      <c r="G902" s="46"/>
      <c r="H902" s="46"/>
      <c r="I902" s="46"/>
      <c r="J902" s="46"/>
      <c r="K902" s="46"/>
      <c r="L902" s="71"/>
      <c r="M902" s="60"/>
      <c r="N902" s="60"/>
      <c r="O902" s="60"/>
      <c r="P902" s="60"/>
      <c r="W902" s="2"/>
      <c r="X902" s="2"/>
    </row>
    <row r="903" spans="1:24" ht="15.75" customHeight="1" x14ac:dyDescent="0.2">
      <c r="A903" s="44"/>
      <c r="B903" s="47"/>
      <c r="C903" s="50"/>
      <c r="D903" s="50"/>
      <c r="E903" s="50"/>
      <c r="F903" s="50"/>
      <c r="G903" s="46"/>
      <c r="H903" s="46"/>
      <c r="I903" s="46"/>
      <c r="J903" s="46"/>
      <c r="K903" s="46"/>
      <c r="L903" s="71"/>
      <c r="M903" s="60"/>
      <c r="N903" s="60"/>
      <c r="O903" s="60"/>
      <c r="P903" s="60"/>
      <c r="W903" s="2"/>
      <c r="X903" s="2"/>
    </row>
    <row r="904" spans="1:24" ht="15.75" customHeight="1" x14ac:dyDescent="0.2">
      <c r="A904" s="44"/>
      <c r="B904" s="47"/>
      <c r="C904" s="50"/>
      <c r="D904" s="50"/>
      <c r="E904" s="50"/>
      <c r="F904" s="50"/>
      <c r="G904" s="46"/>
      <c r="H904" s="46"/>
      <c r="I904" s="46"/>
      <c r="J904" s="46"/>
      <c r="K904" s="46"/>
      <c r="L904" s="71"/>
      <c r="M904" s="60"/>
      <c r="N904" s="60"/>
      <c r="O904" s="60"/>
      <c r="P904" s="60"/>
      <c r="W904" s="2"/>
      <c r="X904" s="2"/>
    </row>
    <row r="905" spans="1:24" ht="15.75" customHeight="1" x14ac:dyDescent="0.2">
      <c r="A905" s="44"/>
      <c r="B905" s="47"/>
      <c r="C905" s="50"/>
      <c r="D905" s="50"/>
      <c r="E905" s="50"/>
      <c r="F905" s="50"/>
      <c r="G905" s="46"/>
      <c r="H905" s="46"/>
      <c r="I905" s="46"/>
      <c r="J905" s="46"/>
      <c r="K905" s="46"/>
      <c r="L905" s="71"/>
      <c r="M905" s="60"/>
      <c r="N905" s="60"/>
      <c r="O905" s="60"/>
      <c r="P905" s="60"/>
      <c r="W905" s="2"/>
      <c r="X905" s="2"/>
    </row>
    <row r="906" spans="1:24" ht="15.75" customHeight="1" x14ac:dyDescent="0.2">
      <c r="A906" s="44"/>
      <c r="B906" s="47"/>
      <c r="C906" s="50"/>
      <c r="D906" s="50"/>
      <c r="E906" s="50"/>
      <c r="F906" s="50"/>
      <c r="G906" s="46"/>
      <c r="H906" s="46"/>
      <c r="I906" s="46"/>
      <c r="J906" s="46"/>
      <c r="K906" s="46"/>
      <c r="L906" s="71"/>
      <c r="M906" s="60"/>
      <c r="N906" s="60"/>
      <c r="O906" s="60"/>
      <c r="P906" s="60"/>
      <c r="W906" s="2"/>
      <c r="X906" s="2"/>
    </row>
    <row r="907" spans="1:24" ht="15.75" customHeight="1" x14ac:dyDescent="0.2">
      <c r="A907" s="44"/>
      <c r="B907" s="47"/>
      <c r="C907" s="50"/>
      <c r="D907" s="50"/>
      <c r="E907" s="50"/>
      <c r="F907" s="50"/>
      <c r="G907" s="46"/>
      <c r="H907" s="46"/>
      <c r="I907" s="46"/>
      <c r="J907" s="46"/>
      <c r="K907" s="46"/>
      <c r="L907" s="71"/>
      <c r="M907" s="60"/>
      <c r="N907" s="60"/>
      <c r="O907" s="60"/>
      <c r="P907" s="60"/>
      <c r="W907" s="2"/>
      <c r="X907" s="2"/>
    </row>
    <row r="908" spans="1:24" ht="15.75" customHeight="1" x14ac:dyDescent="0.2">
      <c r="A908" s="44"/>
      <c r="B908" s="47"/>
      <c r="C908" s="50"/>
      <c r="D908" s="50"/>
      <c r="E908" s="50"/>
      <c r="F908" s="50"/>
      <c r="G908" s="46"/>
      <c r="H908" s="46"/>
      <c r="I908" s="46"/>
      <c r="J908" s="46"/>
      <c r="K908" s="46"/>
      <c r="L908" s="71"/>
      <c r="M908" s="60"/>
      <c r="N908" s="60"/>
      <c r="O908" s="60"/>
      <c r="P908" s="60"/>
      <c r="W908" s="2"/>
      <c r="X908" s="2"/>
    </row>
    <row r="909" spans="1:24" ht="15.75" customHeight="1" x14ac:dyDescent="0.2">
      <c r="A909" s="44"/>
      <c r="B909" s="47"/>
      <c r="C909" s="50"/>
      <c r="D909" s="50"/>
      <c r="E909" s="50"/>
      <c r="F909" s="50"/>
      <c r="G909" s="46"/>
      <c r="H909" s="46"/>
      <c r="I909" s="46"/>
      <c r="J909" s="46"/>
      <c r="K909" s="46"/>
      <c r="L909" s="71"/>
      <c r="M909" s="60"/>
      <c r="N909" s="60"/>
      <c r="O909" s="60"/>
      <c r="P909" s="60"/>
      <c r="W909" s="2"/>
      <c r="X909" s="2"/>
    </row>
    <row r="910" spans="1:24" ht="15.75" customHeight="1" x14ac:dyDescent="0.2">
      <c r="A910" s="44"/>
      <c r="B910" s="47"/>
      <c r="C910" s="50"/>
      <c r="D910" s="50"/>
      <c r="E910" s="50"/>
      <c r="F910" s="50"/>
      <c r="G910" s="46"/>
      <c r="H910" s="46"/>
      <c r="I910" s="46"/>
      <c r="J910" s="46"/>
      <c r="K910" s="46"/>
      <c r="L910" s="71"/>
      <c r="M910" s="60"/>
      <c r="N910" s="60"/>
      <c r="O910" s="60"/>
      <c r="P910" s="60"/>
      <c r="W910" s="2"/>
      <c r="X910" s="2"/>
    </row>
    <row r="911" spans="1:24" ht="15.75" customHeight="1" x14ac:dyDescent="0.2">
      <c r="A911" s="44"/>
      <c r="B911" s="47"/>
      <c r="C911" s="50"/>
      <c r="D911" s="50"/>
      <c r="E911" s="50"/>
      <c r="F911" s="50"/>
      <c r="G911" s="46"/>
      <c r="H911" s="46"/>
      <c r="I911" s="46"/>
      <c r="J911" s="46"/>
      <c r="K911" s="46"/>
      <c r="L911" s="71"/>
      <c r="M911" s="60"/>
      <c r="N911" s="60"/>
      <c r="O911" s="60"/>
      <c r="P911" s="60"/>
      <c r="W911" s="2"/>
      <c r="X911" s="2"/>
    </row>
    <row r="912" spans="1:24" ht="15.75" customHeight="1" x14ac:dyDescent="0.2">
      <c r="A912" s="44"/>
      <c r="B912" s="47"/>
      <c r="C912" s="50"/>
      <c r="D912" s="50"/>
      <c r="E912" s="50"/>
      <c r="F912" s="50"/>
      <c r="G912" s="46"/>
      <c r="H912" s="46"/>
      <c r="I912" s="46"/>
      <c r="J912" s="46"/>
      <c r="K912" s="46"/>
      <c r="L912" s="71"/>
      <c r="M912" s="60"/>
      <c r="N912" s="60"/>
      <c r="O912" s="60"/>
      <c r="P912" s="60"/>
      <c r="W912" s="2"/>
      <c r="X912" s="2"/>
    </row>
    <row r="913" spans="1:24" ht="15.75" customHeight="1" x14ac:dyDescent="0.2">
      <c r="A913" s="44"/>
      <c r="B913" s="47"/>
      <c r="C913" s="50"/>
      <c r="D913" s="50"/>
      <c r="E913" s="50"/>
      <c r="F913" s="50"/>
      <c r="G913" s="46"/>
      <c r="H913" s="46"/>
      <c r="I913" s="46"/>
      <c r="J913" s="46"/>
      <c r="K913" s="46"/>
      <c r="L913" s="71"/>
      <c r="M913" s="60"/>
      <c r="N913" s="60"/>
      <c r="O913" s="60"/>
      <c r="P913" s="60"/>
      <c r="W913" s="2"/>
      <c r="X913" s="2"/>
    </row>
    <row r="914" spans="1:24" ht="15.75" customHeight="1" x14ac:dyDescent="0.2">
      <c r="A914" s="44"/>
      <c r="B914" s="47"/>
      <c r="C914" s="50"/>
      <c r="D914" s="50"/>
      <c r="E914" s="50"/>
      <c r="F914" s="50"/>
      <c r="G914" s="46"/>
      <c r="H914" s="46"/>
      <c r="I914" s="46"/>
      <c r="J914" s="46"/>
      <c r="K914" s="46"/>
      <c r="L914" s="71"/>
      <c r="M914" s="60"/>
      <c r="N914" s="60"/>
      <c r="O914" s="60"/>
      <c r="P914" s="60"/>
      <c r="W914" s="2"/>
      <c r="X914" s="2"/>
    </row>
    <row r="915" spans="1:24" ht="15.75" customHeight="1" x14ac:dyDescent="0.2">
      <c r="A915" s="44"/>
      <c r="B915" s="47"/>
      <c r="C915" s="50"/>
      <c r="D915" s="50"/>
      <c r="E915" s="50"/>
      <c r="F915" s="50"/>
      <c r="G915" s="46"/>
      <c r="H915" s="46"/>
      <c r="I915" s="46"/>
      <c r="J915" s="46"/>
      <c r="K915" s="46"/>
      <c r="L915" s="71"/>
      <c r="M915" s="60"/>
      <c r="N915" s="60"/>
      <c r="O915" s="60"/>
      <c r="P915" s="60"/>
      <c r="W915" s="2"/>
      <c r="X915" s="2"/>
    </row>
    <row r="916" spans="1:24" ht="15.75" customHeight="1" x14ac:dyDescent="0.2">
      <c r="A916" s="44"/>
      <c r="B916" s="47"/>
      <c r="C916" s="50"/>
      <c r="D916" s="50"/>
      <c r="E916" s="50"/>
      <c r="F916" s="50"/>
      <c r="G916" s="46"/>
      <c r="H916" s="46"/>
      <c r="I916" s="46"/>
      <c r="J916" s="46"/>
      <c r="K916" s="46"/>
      <c r="L916" s="71"/>
      <c r="M916" s="60"/>
      <c r="N916" s="60"/>
      <c r="O916" s="60"/>
      <c r="P916" s="60"/>
      <c r="W916" s="2"/>
      <c r="X916" s="2"/>
    </row>
    <row r="917" spans="1:24" ht="15.75" customHeight="1" x14ac:dyDescent="0.2">
      <c r="A917" s="44"/>
      <c r="B917" s="47"/>
      <c r="C917" s="50"/>
      <c r="D917" s="50"/>
      <c r="E917" s="50"/>
      <c r="F917" s="50"/>
      <c r="G917" s="46"/>
      <c r="H917" s="46"/>
      <c r="I917" s="46"/>
      <c r="J917" s="46"/>
      <c r="K917" s="46"/>
      <c r="L917" s="71"/>
      <c r="M917" s="60"/>
      <c r="N917" s="60"/>
      <c r="O917" s="60"/>
      <c r="P917" s="60"/>
      <c r="W917" s="2"/>
      <c r="X917" s="2"/>
    </row>
    <row r="918" spans="1:24" ht="15.75" customHeight="1" x14ac:dyDescent="0.2">
      <c r="A918" s="44"/>
      <c r="B918" s="47"/>
      <c r="C918" s="50"/>
      <c r="D918" s="50"/>
      <c r="E918" s="50"/>
      <c r="F918" s="50"/>
      <c r="G918" s="46"/>
      <c r="H918" s="46"/>
      <c r="I918" s="46"/>
      <c r="J918" s="46"/>
      <c r="K918" s="46"/>
      <c r="L918" s="71"/>
      <c r="M918" s="60"/>
      <c r="N918" s="60"/>
      <c r="O918" s="60"/>
      <c r="P918" s="60"/>
      <c r="W918" s="2"/>
      <c r="X918" s="2"/>
    </row>
    <row r="919" spans="1:24" ht="15.75" customHeight="1" x14ac:dyDescent="0.2">
      <c r="A919" s="44"/>
      <c r="B919" s="47"/>
      <c r="C919" s="50"/>
      <c r="D919" s="50"/>
      <c r="E919" s="50"/>
      <c r="F919" s="50"/>
      <c r="G919" s="46"/>
      <c r="H919" s="46"/>
      <c r="I919" s="46"/>
      <c r="J919" s="46"/>
      <c r="K919" s="46"/>
      <c r="L919" s="71"/>
      <c r="M919" s="60"/>
      <c r="N919" s="60"/>
      <c r="O919" s="60"/>
      <c r="P919" s="60"/>
      <c r="W919" s="2"/>
      <c r="X919" s="2"/>
    </row>
    <row r="920" spans="1:24" ht="15.75" customHeight="1" x14ac:dyDescent="0.2">
      <c r="A920" s="44"/>
      <c r="B920" s="47"/>
      <c r="C920" s="50"/>
      <c r="D920" s="50"/>
      <c r="E920" s="50"/>
      <c r="F920" s="50"/>
      <c r="G920" s="46"/>
      <c r="H920" s="46"/>
      <c r="I920" s="46"/>
      <c r="J920" s="46"/>
      <c r="K920" s="46"/>
      <c r="L920" s="71"/>
      <c r="M920" s="60"/>
      <c r="N920" s="60"/>
      <c r="O920" s="60"/>
      <c r="P920" s="60"/>
      <c r="W920" s="2"/>
      <c r="X920" s="2"/>
    </row>
    <row r="921" spans="1:24" ht="15.75" customHeight="1" x14ac:dyDescent="0.2">
      <c r="A921" s="44"/>
      <c r="B921" s="47"/>
      <c r="C921" s="50"/>
      <c r="D921" s="50"/>
      <c r="E921" s="50"/>
      <c r="F921" s="50"/>
      <c r="G921" s="46"/>
      <c r="H921" s="46"/>
      <c r="I921" s="46"/>
      <c r="J921" s="46"/>
      <c r="K921" s="46"/>
      <c r="L921" s="71"/>
      <c r="M921" s="60"/>
      <c r="N921" s="60"/>
      <c r="O921" s="60"/>
      <c r="P921" s="60"/>
      <c r="W921" s="2"/>
      <c r="X921" s="2"/>
    </row>
    <row r="922" spans="1:24" ht="15.75" customHeight="1" x14ac:dyDescent="0.2">
      <c r="A922" s="44"/>
      <c r="B922" s="47"/>
      <c r="C922" s="50"/>
      <c r="D922" s="50"/>
      <c r="E922" s="50"/>
      <c r="F922" s="50"/>
      <c r="G922" s="46"/>
      <c r="H922" s="46"/>
      <c r="I922" s="46"/>
      <c r="J922" s="46"/>
      <c r="K922" s="46"/>
      <c r="L922" s="71"/>
      <c r="M922" s="60"/>
      <c r="N922" s="60"/>
      <c r="O922" s="60"/>
      <c r="P922" s="60"/>
      <c r="W922" s="2"/>
      <c r="X922" s="2"/>
    </row>
    <row r="923" spans="1:24" ht="15.75" customHeight="1" x14ac:dyDescent="0.2">
      <c r="A923" s="44"/>
      <c r="B923" s="47"/>
      <c r="C923" s="50"/>
      <c r="D923" s="50"/>
      <c r="E923" s="50"/>
      <c r="F923" s="50"/>
      <c r="G923" s="46"/>
      <c r="H923" s="46"/>
      <c r="I923" s="46"/>
      <c r="J923" s="46"/>
      <c r="K923" s="46"/>
      <c r="L923" s="71"/>
      <c r="M923" s="60"/>
      <c r="N923" s="60"/>
      <c r="O923" s="60"/>
      <c r="P923" s="60"/>
      <c r="W923" s="2"/>
      <c r="X923" s="2"/>
    </row>
    <row r="924" spans="1:24" ht="15.75" customHeight="1" x14ac:dyDescent="0.2">
      <c r="A924" s="44"/>
      <c r="B924" s="47"/>
      <c r="C924" s="50"/>
      <c r="D924" s="50"/>
      <c r="E924" s="50"/>
      <c r="F924" s="50"/>
      <c r="G924" s="46"/>
      <c r="H924" s="46"/>
      <c r="I924" s="46"/>
      <c r="J924" s="46"/>
      <c r="K924" s="46"/>
      <c r="L924" s="71"/>
      <c r="M924" s="60"/>
      <c r="N924" s="60"/>
      <c r="O924" s="60"/>
      <c r="P924" s="60"/>
      <c r="W924" s="2"/>
      <c r="X924" s="2"/>
    </row>
    <row r="925" spans="1:24" ht="15.75" customHeight="1" x14ac:dyDescent="0.2">
      <c r="A925" s="44"/>
      <c r="B925" s="47"/>
      <c r="C925" s="50"/>
      <c r="D925" s="50"/>
      <c r="E925" s="50"/>
      <c r="F925" s="50"/>
      <c r="G925" s="46"/>
      <c r="H925" s="46"/>
      <c r="I925" s="46"/>
      <c r="J925" s="46"/>
      <c r="K925" s="46"/>
      <c r="L925" s="71"/>
      <c r="M925" s="60"/>
      <c r="N925" s="60"/>
      <c r="O925" s="60"/>
      <c r="P925" s="60"/>
      <c r="W925" s="2"/>
      <c r="X925" s="2"/>
    </row>
    <row r="926" spans="1:24" ht="15.75" customHeight="1" x14ac:dyDescent="0.2">
      <c r="A926" s="44"/>
      <c r="B926" s="47"/>
      <c r="C926" s="50"/>
      <c r="D926" s="50"/>
      <c r="E926" s="50"/>
      <c r="F926" s="50"/>
      <c r="G926" s="46"/>
      <c r="H926" s="46"/>
      <c r="I926" s="46"/>
      <c r="J926" s="46"/>
      <c r="K926" s="46"/>
      <c r="L926" s="71"/>
      <c r="M926" s="60"/>
      <c r="N926" s="60"/>
      <c r="O926" s="60"/>
      <c r="P926" s="60"/>
      <c r="W926" s="2"/>
      <c r="X926" s="2"/>
    </row>
    <row r="927" spans="1:24" ht="15.75" customHeight="1" x14ac:dyDescent="0.2">
      <c r="A927" s="44"/>
      <c r="B927" s="47"/>
      <c r="C927" s="50"/>
      <c r="D927" s="50"/>
      <c r="E927" s="50"/>
      <c r="F927" s="50"/>
      <c r="G927" s="46"/>
      <c r="H927" s="46"/>
      <c r="I927" s="46"/>
      <c r="J927" s="46"/>
      <c r="K927" s="46"/>
      <c r="L927" s="71"/>
      <c r="M927" s="60"/>
      <c r="N927" s="60"/>
      <c r="O927" s="60"/>
      <c r="P927" s="60"/>
      <c r="W927" s="2"/>
      <c r="X927" s="2"/>
    </row>
    <row r="928" spans="1:24" ht="15.75" customHeight="1" x14ac:dyDescent="0.2">
      <c r="A928" s="44"/>
      <c r="B928" s="47"/>
      <c r="C928" s="50"/>
      <c r="D928" s="50"/>
      <c r="E928" s="50"/>
      <c r="F928" s="50"/>
      <c r="G928" s="46"/>
      <c r="H928" s="46"/>
      <c r="I928" s="46"/>
      <c r="J928" s="46"/>
      <c r="K928" s="46"/>
      <c r="L928" s="71"/>
      <c r="M928" s="60"/>
      <c r="N928" s="60"/>
      <c r="O928" s="60"/>
      <c r="P928" s="60"/>
      <c r="W928" s="2"/>
      <c r="X928" s="2"/>
    </row>
    <row r="929" spans="1:24" ht="15.75" customHeight="1" x14ac:dyDescent="0.2">
      <c r="A929" s="44"/>
      <c r="B929" s="47"/>
      <c r="C929" s="50"/>
      <c r="D929" s="50"/>
      <c r="E929" s="50"/>
      <c r="F929" s="50"/>
      <c r="G929" s="46"/>
      <c r="H929" s="46"/>
      <c r="I929" s="46"/>
      <c r="J929" s="46"/>
      <c r="K929" s="46"/>
      <c r="L929" s="71"/>
      <c r="M929" s="60"/>
      <c r="N929" s="60"/>
      <c r="O929" s="60"/>
      <c r="P929" s="60"/>
      <c r="W929" s="2"/>
      <c r="X929" s="2"/>
    </row>
    <row r="930" spans="1:24" ht="15.75" customHeight="1" x14ac:dyDescent="0.2">
      <c r="A930" s="44"/>
      <c r="B930" s="47"/>
      <c r="C930" s="50"/>
      <c r="D930" s="50"/>
      <c r="E930" s="50"/>
      <c r="F930" s="50"/>
      <c r="G930" s="46"/>
      <c r="H930" s="46"/>
      <c r="I930" s="46"/>
      <c r="J930" s="46"/>
      <c r="K930" s="46"/>
      <c r="L930" s="71"/>
      <c r="M930" s="60"/>
      <c r="N930" s="60"/>
      <c r="O930" s="60"/>
      <c r="P930" s="60"/>
      <c r="W930" s="2"/>
      <c r="X930" s="2"/>
    </row>
    <row r="931" spans="1:24" ht="15.75" customHeight="1" x14ac:dyDescent="0.2">
      <c r="A931" s="44"/>
      <c r="B931" s="47"/>
      <c r="C931" s="50"/>
      <c r="D931" s="50"/>
      <c r="E931" s="50"/>
      <c r="F931" s="50"/>
      <c r="G931" s="46"/>
      <c r="H931" s="46"/>
      <c r="I931" s="46"/>
      <c r="J931" s="46"/>
      <c r="K931" s="46"/>
      <c r="L931" s="71"/>
      <c r="M931" s="60"/>
      <c r="N931" s="60"/>
      <c r="O931" s="60"/>
      <c r="P931" s="60"/>
      <c r="W931" s="2"/>
      <c r="X931" s="2"/>
    </row>
    <row r="932" spans="1:24" ht="15.75" customHeight="1" x14ac:dyDescent="0.2">
      <c r="A932" s="44"/>
      <c r="B932" s="47"/>
      <c r="C932" s="50"/>
      <c r="D932" s="50"/>
      <c r="E932" s="50"/>
      <c r="F932" s="50"/>
      <c r="G932" s="46"/>
      <c r="H932" s="46"/>
      <c r="I932" s="46"/>
      <c r="J932" s="46"/>
      <c r="K932" s="46"/>
      <c r="L932" s="71"/>
      <c r="M932" s="60"/>
      <c r="N932" s="60"/>
      <c r="O932" s="60"/>
      <c r="P932" s="60"/>
      <c r="W932" s="2"/>
      <c r="X932" s="2"/>
    </row>
    <row r="933" spans="1:24" ht="15.75" customHeight="1" x14ac:dyDescent="0.2">
      <c r="A933" s="44"/>
      <c r="B933" s="47"/>
      <c r="C933" s="50"/>
      <c r="D933" s="50"/>
      <c r="E933" s="50"/>
      <c r="F933" s="50"/>
      <c r="G933" s="46"/>
      <c r="H933" s="46"/>
      <c r="I933" s="46"/>
      <c r="J933" s="46"/>
      <c r="K933" s="46"/>
      <c r="L933" s="71"/>
      <c r="M933" s="60"/>
      <c r="N933" s="60"/>
      <c r="O933" s="60"/>
      <c r="P933" s="60"/>
      <c r="W933" s="2"/>
      <c r="X933" s="2"/>
    </row>
    <row r="934" spans="1:24" ht="15.75" customHeight="1" x14ac:dyDescent="0.2">
      <c r="A934" s="44"/>
      <c r="B934" s="47"/>
      <c r="C934" s="50"/>
      <c r="D934" s="50"/>
      <c r="E934" s="50"/>
      <c r="F934" s="50"/>
      <c r="G934" s="46"/>
      <c r="H934" s="46"/>
      <c r="I934" s="46"/>
      <c r="J934" s="46"/>
      <c r="K934" s="46"/>
      <c r="L934" s="71"/>
      <c r="M934" s="60"/>
      <c r="N934" s="60"/>
      <c r="O934" s="60"/>
      <c r="P934" s="60"/>
      <c r="W934" s="2"/>
      <c r="X934" s="2"/>
    </row>
    <row r="935" spans="1:24" ht="15.75" customHeight="1" x14ac:dyDescent="0.2">
      <c r="A935" s="44"/>
      <c r="B935" s="47"/>
      <c r="C935" s="50"/>
      <c r="D935" s="50"/>
      <c r="E935" s="50"/>
      <c r="F935" s="50"/>
      <c r="G935" s="46"/>
      <c r="H935" s="46"/>
      <c r="I935" s="46"/>
      <c r="J935" s="46"/>
      <c r="K935" s="46"/>
      <c r="L935" s="71"/>
      <c r="M935" s="60"/>
      <c r="N935" s="60"/>
      <c r="O935" s="60"/>
      <c r="P935" s="60"/>
      <c r="W935" s="2"/>
      <c r="X935" s="2"/>
    </row>
    <row r="936" spans="1:24" ht="15.75" customHeight="1" x14ac:dyDescent="0.2">
      <c r="A936" s="44"/>
      <c r="B936" s="47"/>
      <c r="C936" s="50"/>
      <c r="D936" s="50"/>
      <c r="E936" s="50"/>
      <c r="F936" s="50"/>
      <c r="G936" s="46"/>
      <c r="H936" s="46"/>
      <c r="I936" s="46"/>
      <c r="J936" s="46"/>
      <c r="K936" s="46"/>
      <c r="L936" s="71"/>
      <c r="M936" s="60"/>
      <c r="N936" s="60"/>
      <c r="O936" s="60"/>
      <c r="P936" s="60"/>
      <c r="W936" s="2"/>
      <c r="X936" s="2"/>
    </row>
    <row r="937" spans="1:24" ht="15.75" customHeight="1" x14ac:dyDescent="0.2">
      <c r="A937" s="44"/>
      <c r="B937" s="47"/>
      <c r="C937" s="50"/>
      <c r="D937" s="50"/>
      <c r="E937" s="50"/>
      <c r="F937" s="50"/>
      <c r="G937" s="46"/>
      <c r="H937" s="46"/>
      <c r="I937" s="46"/>
      <c r="J937" s="46"/>
      <c r="K937" s="46"/>
      <c r="L937" s="71"/>
      <c r="M937" s="60"/>
      <c r="N937" s="60"/>
      <c r="O937" s="60"/>
      <c r="P937" s="60"/>
      <c r="W937" s="2"/>
      <c r="X937" s="2"/>
    </row>
    <row r="938" spans="1:24" ht="15.75" customHeight="1" x14ac:dyDescent="0.2">
      <c r="A938" s="44"/>
      <c r="B938" s="47"/>
      <c r="C938" s="50"/>
      <c r="D938" s="50"/>
      <c r="E938" s="50"/>
      <c r="F938" s="50"/>
      <c r="G938" s="46"/>
      <c r="H938" s="46"/>
      <c r="I938" s="46"/>
      <c r="J938" s="46"/>
      <c r="K938" s="46"/>
      <c r="L938" s="71"/>
      <c r="M938" s="60"/>
      <c r="N938" s="60"/>
      <c r="O938" s="60"/>
      <c r="P938" s="60"/>
      <c r="W938" s="2"/>
      <c r="X938" s="2"/>
    </row>
    <row r="939" spans="1:24" ht="15.75" customHeight="1" x14ac:dyDescent="0.2">
      <c r="A939" s="44"/>
      <c r="B939" s="47"/>
      <c r="C939" s="50"/>
      <c r="D939" s="50"/>
      <c r="E939" s="50"/>
      <c r="F939" s="50"/>
      <c r="G939" s="46"/>
      <c r="H939" s="46"/>
      <c r="I939" s="46"/>
      <c r="J939" s="46"/>
      <c r="K939" s="46"/>
      <c r="L939" s="71"/>
      <c r="M939" s="60"/>
      <c r="N939" s="60"/>
      <c r="O939" s="60"/>
      <c r="P939" s="60"/>
      <c r="W939" s="2"/>
      <c r="X939" s="2"/>
    </row>
    <row r="940" spans="1:24" ht="15.75" customHeight="1" x14ac:dyDescent="0.2">
      <c r="A940" s="44"/>
      <c r="B940" s="47"/>
      <c r="C940" s="50"/>
      <c r="D940" s="50"/>
      <c r="E940" s="50"/>
      <c r="F940" s="50"/>
      <c r="G940" s="46"/>
      <c r="H940" s="46"/>
      <c r="I940" s="46"/>
      <c r="J940" s="46"/>
      <c r="K940" s="46"/>
      <c r="L940" s="71"/>
      <c r="M940" s="60"/>
      <c r="N940" s="60"/>
      <c r="O940" s="60"/>
      <c r="P940" s="60"/>
      <c r="W940" s="2"/>
      <c r="X940" s="2"/>
    </row>
    <row r="941" spans="1:24" ht="15.75" customHeight="1" x14ac:dyDescent="0.2">
      <c r="A941" s="44"/>
      <c r="B941" s="47"/>
      <c r="C941" s="50"/>
      <c r="D941" s="50"/>
      <c r="E941" s="50"/>
      <c r="F941" s="50"/>
      <c r="G941" s="46"/>
      <c r="H941" s="46"/>
      <c r="I941" s="46"/>
      <c r="J941" s="46"/>
      <c r="K941" s="46"/>
      <c r="L941" s="71"/>
      <c r="M941" s="60"/>
      <c r="N941" s="60"/>
      <c r="O941" s="60"/>
      <c r="P941" s="60"/>
      <c r="W941" s="2"/>
      <c r="X941" s="2"/>
    </row>
    <row r="942" spans="1:24" ht="15.75" customHeight="1" x14ac:dyDescent="0.2">
      <c r="A942" s="44"/>
      <c r="B942" s="47"/>
      <c r="C942" s="50"/>
      <c r="D942" s="50"/>
      <c r="E942" s="50"/>
      <c r="F942" s="50"/>
      <c r="G942" s="46"/>
      <c r="H942" s="46"/>
      <c r="I942" s="46"/>
      <c r="J942" s="46"/>
      <c r="K942" s="46"/>
      <c r="L942" s="71"/>
      <c r="M942" s="60"/>
      <c r="N942" s="60"/>
      <c r="O942" s="60"/>
      <c r="P942" s="60"/>
      <c r="W942" s="2"/>
      <c r="X942" s="2"/>
    </row>
    <row r="943" spans="1:24" ht="15.75" customHeight="1" x14ac:dyDescent="0.2">
      <c r="A943" s="44"/>
      <c r="B943" s="47"/>
      <c r="C943" s="50"/>
      <c r="D943" s="50"/>
      <c r="E943" s="50"/>
      <c r="F943" s="50"/>
      <c r="G943" s="46"/>
      <c r="H943" s="46"/>
      <c r="I943" s="46"/>
      <c r="J943" s="46"/>
      <c r="K943" s="46"/>
      <c r="L943" s="71"/>
      <c r="M943" s="60"/>
      <c r="N943" s="60"/>
      <c r="O943" s="60"/>
      <c r="P943" s="60"/>
      <c r="W943" s="2"/>
      <c r="X943" s="2"/>
    </row>
    <row r="944" spans="1:24" ht="15.75" customHeight="1" x14ac:dyDescent="0.2">
      <c r="A944" s="44"/>
      <c r="B944" s="47"/>
      <c r="C944" s="50"/>
      <c r="D944" s="50"/>
      <c r="E944" s="50"/>
      <c r="F944" s="50"/>
      <c r="G944" s="46"/>
      <c r="H944" s="46"/>
      <c r="I944" s="46"/>
      <c r="J944" s="46"/>
      <c r="K944" s="46"/>
      <c r="L944" s="71"/>
      <c r="M944" s="60"/>
      <c r="N944" s="60"/>
      <c r="O944" s="60"/>
      <c r="P944" s="60"/>
      <c r="W944" s="2"/>
      <c r="X944" s="2"/>
    </row>
    <row r="945" spans="1:24" ht="15.75" customHeight="1" x14ac:dyDescent="0.2">
      <c r="A945" s="44"/>
      <c r="B945" s="47"/>
      <c r="C945" s="50"/>
      <c r="D945" s="50"/>
      <c r="E945" s="50"/>
      <c r="F945" s="50"/>
      <c r="G945" s="46"/>
      <c r="H945" s="46"/>
      <c r="I945" s="46"/>
      <c r="J945" s="46"/>
      <c r="K945" s="46"/>
      <c r="L945" s="71"/>
      <c r="M945" s="60"/>
      <c r="N945" s="60"/>
      <c r="O945" s="60"/>
      <c r="P945" s="60"/>
      <c r="W945" s="2"/>
      <c r="X945" s="2"/>
    </row>
    <row r="946" spans="1:24" ht="15.75" customHeight="1" x14ac:dyDescent="0.2">
      <c r="A946" s="44"/>
      <c r="B946" s="47"/>
      <c r="C946" s="50"/>
      <c r="D946" s="50"/>
      <c r="E946" s="50"/>
      <c r="F946" s="50"/>
      <c r="G946" s="46"/>
      <c r="H946" s="46"/>
      <c r="I946" s="46"/>
      <c r="J946" s="46"/>
      <c r="K946" s="46"/>
      <c r="L946" s="71"/>
      <c r="M946" s="60"/>
      <c r="N946" s="60"/>
      <c r="O946" s="60"/>
      <c r="P946" s="60"/>
      <c r="W946" s="2"/>
      <c r="X946" s="2"/>
    </row>
    <row r="947" spans="1:24" ht="15.75" customHeight="1" x14ac:dyDescent="0.2">
      <c r="A947" s="44"/>
      <c r="B947" s="47"/>
      <c r="C947" s="50"/>
      <c r="D947" s="50"/>
      <c r="E947" s="50"/>
      <c r="F947" s="50"/>
      <c r="G947" s="46"/>
      <c r="H947" s="46"/>
      <c r="I947" s="46"/>
      <c r="J947" s="46"/>
      <c r="K947" s="46"/>
      <c r="L947" s="71"/>
      <c r="M947" s="60"/>
      <c r="N947" s="60"/>
      <c r="O947" s="60"/>
      <c r="P947" s="60"/>
      <c r="W947" s="2"/>
      <c r="X947" s="2"/>
    </row>
    <row r="948" spans="1:24" ht="15.75" customHeight="1" x14ac:dyDescent="0.2">
      <c r="A948" s="44"/>
      <c r="B948" s="47"/>
      <c r="C948" s="50"/>
      <c r="D948" s="50"/>
      <c r="E948" s="50"/>
      <c r="F948" s="50"/>
      <c r="G948" s="46"/>
      <c r="H948" s="46"/>
      <c r="I948" s="46"/>
      <c r="J948" s="46"/>
      <c r="K948" s="46"/>
      <c r="L948" s="71"/>
      <c r="M948" s="60"/>
      <c r="N948" s="60"/>
      <c r="O948" s="60"/>
      <c r="P948" s="60"/>
      <c r="W948" s="2"/>
      <c r="X948" s="2"/>
    </row>
    <row r="949" spans="1:24" ht="15.75" customHeight="1" x14ac:dyDescent="0.2">
      <c r="A949" s="44"/>
      <c r="B949" s="47"/>
      <c r="C949" s="50"/>
      <c r="D949" s="50"/>
      <c r="E949" s="50"/>
      <c r="F949" s="50"/>
      <c r="G949" s="46"/>
      <c r="H949" s="46"/>
      <c r="I949" s="46"/>
      <c r="J949" s="46"/>
      <c r="K949" s="46"/>
      <c r="L949" s="71"/>
      <c r="M949" s="60"/>
      <c r="N949" s="60"/>
      <c r="O949" s="60"/>
      <c r="P949" s="60"/>
      <c r="W949" s="2"/>
      <c r="X949" s="2"/>
    </row>
    <row r="950" spans="1:24" ht="15.75" customHeight="1" x14ac:dyDescent="0.2">
      <c r="A950" s="44"/>
      <c r="B950" s="47"/>
      <c r="C950" s="50"/>
      <c r="D950" s="50"/>
      <c r="E950" s="50"/>
      <c r="F950" s="50"/>
      <c r="G950" s="46"/>
      <c r="H950" s="46"/>
      <c r="I950" s="46"/>
      <c r="J950" s="46"/>
      <c r="K950" s="46"/>
      <c r="L950" s="71"/>
      <c r="M950" s="60"/>
      <c r="N950" s="60"/>
      <c r="O950" s="60"/>
      <c r="P950" s="60"/>
      <c r="W950" s="2"/>
      <c r="X950" s="2"/>
    </row>
    <row r="951" spans="1:24" ht="15.75" customHeight="1" x14ac:dyDescent="0.2">
      <c r="A951" s="44"/>
      <c r="B951" s="47"/>
      <c r="C951" s="50"/>
      <c r="D951" s="50"/>
      <c r="E951" s="50"/>
      <c r="F951" s="50"/>
      <c r="G951" s="46"/>
      <c r="H951" s="46"/>
      <c r="I951" s="46"/>
      <c r="J951" s="46"/>
      <c r="K951" s="46"/>
      <c r="L951" s="71"/>
      <c r="M951" s="60"/>
      <c r="N951" s="60"/>
      <c r="O951" s="60"/>
      <c r="P951" s="60"/>
      <c r="W951" s="2"/>
      <c r="X951" s="2"/>
    </row>
    <row r="952" spans="1:24" ht="15.75" customHeight="1" x14ac:dyDescent="0.2">
      <c r="A952" s="44"/>
      <c r="B952" s="47"/>
      <c r="C952" s="50"/>
      <c r="D952" s="50"/>
      <c r="E952" s="50"/>
      <c r="F952" s="50"/>
      <c r="G952" s="46"/>
      <c r="H952" s="46"/>
      <c r="I952" s="46"/>
      <c r="J952" s="46"/>
      <c r="K952" s="46"/>
      <c r="L952" s="71"/>
      <c r="M952" s="60"/>
      <c r="N952" s="60"/>
      <c r="O952" s="60"/>
      <c r="P952" s="60"/>
      <c r="W952" s="2"/>
      <c r="X952" s="2"/>
    </row>
    <row r="953" spans="1:24" ht="15.75" customHeight="1" x14ac:dyDescent="0.2">
      <c r="A953" s="44"/>
      <c r="B953" s="47"/>
      <c r="C953" s="50"/>
      <c r="D953" s="50"/>
      <c r="E953" s="50"/>
      <c r="F953" s="50"/>
      <c r="G953" s="46"/>
      <c r="H953" s="46"/>
      <c r="I953" s="46"/>
      <c r="J953" s="46"/>
      <c r="K953" s="46"/>
      <c r="L953" s="71"/>
      <c r="M953" s="60"/>
      <c r="N953" s="60"/>
      <c r="O953" s="60"/>
      <c r="P953" s="60"/>
      <c r="W953" s="2"/>
      <c r="X953" s="2"/>
    </row>
    <row r="954" spans="1:24" ht="15.75" customHeight="1" x14ac:dyDescent="0.2">
      <c r="A954" s="44"/>
      <c r="B954" s="47"/>
      <c r="C954" s="50"/>
      <c r="D954" s="50"/>
      <c r="E954" s="50"/>
      <c r="F954" s="50"/>
      <c r="G954" s="46"/>
      <c r="H954" s="46"/>
      <c r="I954" s="46"/>
      <c r="J954" s="46"/>
      <c r="K954" s="46"/>
      <c r="L954" s="71"/>
      <c r="M954" s="60"/>
      <c r="N954" s="60"/>
      <c r="O954" s="60"/>
      <c r="P954" s="60"/>
      <c r="W954" s="2"/>
      <c r="X954" s="2"/>
    </row>
    <row r="955" spans="1:24" ht="15.75" customHeight="1" x14ac:dyDescent="0.2">
      <c r="A955" s="44"/>
      <c r="B955" s="47"/>
      <c r="C955" s="50"/>
      <c r="D955" s="50"/>
      <c r="E955" s="50"/>
      <c r="F955" s="50"/>
      <c r="G955" s="46"/>
      <c r="H955" s="46"/>
      <c r="I955" s="46"/>
      <c r="J955" s="46"/>
      <c r="K955" s="46"/>
      <c r="L955" s="71"/>
      <c r="M955" s="60"/>
      <c r="N955" s="60"/>
      <c r="O955" s="60"/>
      <c r="P955" s="60"/>
      <c r="W955" s="2"/>
      <c r="X955" s="2"/>
    </row>
    <row r="956" spans="1:24" ht="15.75" customHeight="1" x14ac:dyDescent="0.2">
      <c r="A956" s="44"/>
      <c r="B956" s="47"/>
      <c r="C956" s="50"/>
      <c r="D956" s="50"/>
      <c r="E956" s="50"/>
      <c r="F956" s="50"/>
      <c r="G956" s="46"/>
      <c r="H956" s="46"/>
      <c r="I956" s="46"/>
      <c r="J956" s="46"/>
      <c r="K956" s="46"/>
      <c r="L956" s="71"/>
      <c r="M956" s="60"/>
      <c r="N956" s="60"/>
      <c r="O956" s="60"/>
      <c r="P956" s="60"/>
      <c r="W956" s="2"/>
      <c r="X956" s="2"/>
    </row>
    <row r="957" spans="1:24" ht="15.75" customHeight="1" x14ac:dyDescent="0.2">
      <c r="A957" s="44"/>
      <c r="B957" s="47"/>
      <c r="C957" s="50"/>
      <c r="D957" s="50"/>
      <c r="E957" s="50"/>
      <c r="F957" s="50"/>
      <c r="G957" s="46"/>
      <c r="H957" s="46"/>
      <c r="I957" s="46"/>
      <c r="J957" s="46"/>
      <c r="K957" s="46"/>
      <c r="L957" s="71"/>
      <c r="M957" s="60"/>
      <c r="N957" s="60"/>
      <c r="O957" s="60"/>
      <c r="P957" s="60"/>
      <c r="W957" s="2"/>
      <c r="X957" s="2"/>
    </row>
    <row r="958" spans="1:24" ht="15.75" customHeight="1" x14ac:dyDescent="0.2">
      <c r="A958" s="44"/>
      <c r="B958" s="47"/>
      <c r="C958" s="50"/>
      <c r="D958" s="50"/>
      <c r="E958" s="50"/>
      <c r="F958" s="50"/>
      <c r="G958" s="46"/>
      <c r="H958" s="46"/>
      <c r="I958" s="46"/>
      <c r="J958" s="46"/>
      <c r="K958" s="46"/>
      <c r="L958" s="71"/>
      <c r="M958" s="60"/>
      <c r="N958" s="60"/>
      <c r="O958" s="60"/>
      <c r="P958" s="60"/>
      <c r="W958" s="2"/>
      <c r="X958" s="2"/>
    </row>
    <row r="959" spans="1:24" ht="15.75" customHeight="1" x14ac:dyDescent="0.2">
      <c r="A959" s="44"/>
      <c r="B959" s="47"/>
      <c r="C959" s="50"/>
      <c r="D959" s="50"/>
      <c r="E959" s="50"/>
      <c r="F959" s="50"/>
      <c r="G959" s="46"/>
      <c r="H959" s="46"/>
      <c r="I959" s="46"/>
      <c r="J959" s="46"/>
      <c r="K959" s="46"/>
      <c r="L959" s="71"/>
      <c r="M959" s="60"/>
      <c r="N959" s="60"/>
      <c r="O959" s="60"/>
      <c r="P959" s="60"/>
      <c r="W959" s="2"/>
      <c r="X959" s="2"/>
    </row>
    <row r="960" spans="1:24" ht="15.75" customHeight="1" x14ac:dyDescent="0.2">
      <c r="A960" s="44"/>
      <c r="B960" s="47"/>
      <c r="C960" s="50"/>
      <c r="D960" s="50"/>
      <c r="E960" s="50"/>
      <c r="F960" s="50"/>
      <c r="G960" s="46"/>
      <c r="H960" s="46"/>
      <c r="I960" s="46"/>
      <c r="J960" s="46"/>
      <c r="K960" s="46"/>
      <c r="L960" s="71"/>
      <c r="M960" s="60"/>
      <c r="N960" s="60"/>
      <c r="O960" s="60"/>
      <c r="P960" s="60"/>
      <c r="W960" s="2"/>
      <c r="X960" s="2"/>
    </row>
    <row r="961" spans="1:24" ht="15.75" customHeight="1" x14ac:dyDescent="0.2">
      <c r="A961" s="44"/>
      <c r="B961" s="47"/>
      <c r="C961" s="50"/>
      <c r="D961" s="50"/>
      <c r="E961" s="50"/>
      <c r="F961" s="50"/>
      <c r="G961" s="46"/>
      <c r="H961" s="46"/>
      <c r="I961" s="46"/>
      <c r="J961" s="46"/>
      <c r="K961" s="46"/>
      <c r="L961" s="71"/>
      <c r="M961" s="60"/>
      <c r="N961" s="60"/>
      <c r="O961" s="60"/>
      <c r="P961" s="60"/>
      <c r="W961" s="2"/>
      <c r="X961" s="2"/>
    </row>
    <row r="962" spans="1:24" ht="15.75" customHeight="1" x14ac:dyDescent="0.2">
      <c r="A962" s="44"/>
      <c r="B962" s="47"/>
      <c r="C962" s="50"/>
      <c r="D962" s="50"/>
      <c r="E962" s="50"/>
      <c r="F962" s="50"/>
      <c r="G962" s="46"/>
      <c r="H962" s="46"/>
      <c r="I962" s="46"/>
      <c r="J962" s="46"/>
      <c r="K962" s="46"/>
      <c r="L962" s="71"/>
      <c r="M962" s="60"/>
      <c r="N962" s="60"/>
      <c r="O962" s="60"/>
      <c r="P962" s="60"/>
      <c r="W962" s="2"/>
      <c r="X962" s="2"/>
    </row>
    <row r="963" spans="1:24" ht="15.75" customHeight="1" x14ac:dyDescent="0.2">
      <c r="A963" s="44"/>
      <c r="B963" s="47"/>
      <c r="C963" s="50"/>
      <c r="D963" s="50"/>
      <c r="E963" s="50"/>
      <c r="F963" s="50"/>
      <c r="G963" s="46"/>
      <c r="H963" s="46"/>
      <c r="I963" s="46"/>
      <c r="J963" s="46"/>
      <c r="K963" s="46"/>
      <c r="L963" s="71"/>
      <c r="M963" s="60"/>
      <c r="N963" s="60"/>
      <c r="O963" s="60"/>
      <c r="P963" s="60"/>
      <c r="W963" s="2"/>
      <c r="X963" s="2"/>
    </row>
    <row r="964" spans="1:24" ht="15.75" customHeight="1" x14ac:dyDescent="0.2">
      <c r="A964" s="44"/>
      <c r="B964" s="47"/>
      <c r="C964" s="50"/>
      <c r="D964" s="50"/>
      <c r="E964" s="50"/>
      <c r="F964" s="50"/>
      <c r="G964" s="46"/>
      <c r="H964" s="46"/>
      <c r="I964" s="46"/>
      <c r="J964" s="46"/>
      <c r="K964" s="46"/>
      <c r="L964" s="71"/>
      <c r="M964" s="60"/>
      <c r="N964" s="60"/>
      <c r="O964" s="60"/>
      <c r="P964" s="60"/>
      <c r="W964" s="2"/>
      <c r="X964" s="2"/>
    </row>
    <row r="965" spans="1:24" ht="15.75" customHeight="1" x14ac:dyDescent="0.2">
      <c r="A965" s="44"/>
      <c r="B965" s="47"/>
      <c r="C965" s="50"/>
      <c r="D965" s="50"/>
      <c r="E965" s="50"/>
      <c r="F965" s="50"/>
      <c r="G965" s="46"/>
      <c r="H965" s="46"/>
      <c r="I965" s="46"/>
      <c r="J965" s="46"/>
      <c r="K965" s="46"/>
      <c r="L965" s="71"/>
      <c r="M965" s="60"/>
      <c r="N965" s="60"/>
      <c r="O965" s="60"/>
      <c r="P965" s="60"/>
      <c r="W965" s="2"/>
      <c r="X965" s="2"/>
    </row>
    <row r="966" spans="1:24" ht="15.75" customHeight="1" x14ac:dyDescent="0.2">
      <c r="A966" s="44"/>
      <c r="B966" s="47"/>
      <c r="C966" s="50"/>
      <c r="D966" s="50"/>
      <c r="E966" s="50"/>
      <c r="F966" s="50"/>
      <c r="G966" s="46"/>
      <c r="H966" s="46"/>
      <c r="I966" s="46"/>
      <c r="J966" s="46"/>
      <c r="K966" s="46"/>
      <c r="L966" s="71"/>
      <c r="M966" s="60"/>
      <c r="N966" s="60"/>
      <c r="O966" s="60"/>
      <c r="P966" s="60"/>
      <c r="W966" s="2"/>
      <c r="X966" s="2"/>
    </row>
    <row r="967" spans="1:24" ht="15.75" customHeight="1" x14ac:dyDescent="0.2">
      <c r="A967" s="44"/>
      <c r="B967" s="47"/>
      <c r="C967" s="50"/>
      <c r="D967" s="50"/>
      <c r="E967" s="50"/>
      <c r="F967" s="50"/>
      <c r="G967" s="46"/>
      <c r="H967" s="46"/>
      <c r="I967" s="46"/>
      <c r="J967" s="46"/>
      <c r="K967" s="46"/>
      <c r="L967" s="71"/>
      <c r="M967" s="60"/>
      <c r="N967" s="60"/>
      <c r="O967" s="60"/>
      <c r="P967" s="60"/>
      <c r="W967" s="2"/>
      <c r="X967" s="2"/>
    </row>
    <row r="968" spans="1:24" ht="15.75" customHeight="1" x14ac:dyDescent="0.2">
      <c r="A968" s="44"/>
      <c r="B968" s="47"/>
      <c r="C968" s="50"/>
      <c r="D968" s="50"/>
      <c r="E968" s="50"/>
      <c r="F968" s="50"/>
      <c r="G968" s="46"/>
      <c r="H968" s="46"/>
      <c r="I968" s="46"/>
      <c r="J968" s="46"/>
      <c r="K968" s="46"/>
      <c r="L968" s="71"/>
      <c r="M968" s="60"/>
      <c r="N968" s="60"/>
      <c r="O968" s="60"/>
      <c r="P968" s="60"/>
      <c r="W968" s="2"/>
      <c r="X968" s="2"/>
    </row>
    <row r="969" spans="1:24" ht="15.75" customHeight="1" x14ac:dyDescent="0.2">
      <c r="A969" s="44"/>
      <c r="B969" s="47"/>
      <c r="C969" s="50"/>
      <c r="D969" s="50"/>
      <c r="E969" s="50"/>
      <c r="F969" s="50"/>
      <c r="G969" s="46"/>
      <c r="H969" s="46"/>
      <c r="I969" s="46"/>
      <c r="J969" s="46"/>
      <c r="K969" s="46"/>
      <c r="L969" s="71"/>
      <c r="M969" s="60"/>
      <c r="N969" s="60"/>
      <c r="O969" s="60"/>
      <c r="P969" s="60"/>
      <c r="W969" s="2"/>
      <c r="X969" s="2"/>
    </row>
    <row r="970" spans="1:24" ht="15.75" customHeight="1" x14ac:dyDescent="0.2">
      <c r="A970" s="44"/>
      <c r="B970" s="47"/>
      <c r="C970" s="50"/>
      <c r="D970" s="50"/>
      <c r="E970" s="50"/>
      <c r="F970" s="50"/>
      <c r="G970" s="46"/>
      <c r="H970" s="46"/>
      <c r="I970" s="46"/>
      <c r="J970" s="46"/>
      <c r="K970" s="46"/>
      <c r="L970" s="71"/>
      <c r="M970" s="60"/>
      <c r="N970" s="60"/>
      <c r="O970" s="60"/>
      <c r="P970" s="60"/>
      <c r="W970" s="2"/>
      <c r="X970" s="2"/>
    </row>
    <row r="971" spans="1:24" ht="15.75" customHeight="1" x14ac:dyDescent="0.2">
      <c r="A971" s="44"/>
      <c r="B971" s="47"/>
      <c r="C971" s="50"/>
      <c r="D971" s="50"/>
      <c r="E971" s="50"/>
      <c r="F971" s="50"/>
      <c r="G971" s="46"/>
      <c r="H971" s="46"/>
      <c r="I971" s="46"/>
      <c r="J971" s="46"/>
      <c r="K971" s="46"/>
      <c r="L971" s="71"/>
      <c r="M971" s="60"/>
      <c r="N971" s="60"/>
      <c r="O971" s="60"/>
      <c r="P971" s="60"/>
      <c r="W971" s="2"/>
      <c r="X971" s="2"/>
    </row>
    <row r="972" spans="1:24" ht="15.75" customHeight="1" x14ac:dyDescent="0.2">
      <c r="A972" s="44"/>
      <c r="B972" s="47"/>
      <c r="C972" s="50"/>
      <c r="D972" s="50"/>
      <c r="E972" s="50"/>
      <c r="F972" s="50"/>
      <c r="G972" s="46"/>
      <c r="H972" s="46"/>
      <c r="I972" s="46"/>
      <c r="J972" s="46"/>
      <c r="K972" s="46"/>
      <c r="L972" s="71"/>
      <c r="M972" s="60"/>
      <c r="N972" s="60"/>
      <c r="O972" s="60"/>
      <c r="P972" s="60"/>
      <c r="W972" s="2"/>
      <c r="X972" s="2"/>
    </row>
    <row r="973" spans="1:24" ht="15.75" customHeight="1" x14ac:dyDescent="0.2">
      <c r="A973" s="44"/>
      <c r="B973" s="47"/>
      <c r="C973" s="50"/>
      <c r="D973" s="50"/>
      <c r="E973" s="50"/>
      <c r="F973" s="50"/>
      <c r="G973" s="46"/>
      <c r="H973" s="46"/>
      <c r="I973" s="46"/>
      <c r="J973" s="46"/>
      <c r="K973" s="46"/>
      <c r="L973" s="71"/>
      <c r="M973" s="60"/>
      <c r="N973" s="60"/>
      <c r="O973" s="60"/>
      <c r="P973" s="60"/>
      <c r="W973" s="2"/>
      <c r="X973" s="2"/>
    </row>
    <row r="974" spans="1:24" ht="15.75" customHeight="1" x14ac:dyDescent="0.2">
      <c r="A974" s="44"/>
      <c r="B974" s="47"/>
      <c r="C974" s="50"/>
      <c r="D974" s="50"/>
      <c r="E974" s="50"/>
      <c r="F974" s="50"/>
      <c r="G974" s="46"/>
      <c r="H974" s="46"/>
      <c r="I974" s="46"/>
      <c r="J974" s="46"/>
      <c r="K974" s="46"/>
      <c r="L974" s="71"/>
      <c r="M974" s="60"/>
      <c r="N974" s="60"/>
      <c r="O974" s="60"/>
      <c r="P974" s="60"/>
      <c r="W974" s="2"/>
      <c r="X974" s="2"/>
    </row>
    <row r="975" spans="1:24" ht="15.75" customHeight="1" x14ac:dyDescent="0.2">
      <c r="A975" s="44"/>
      <c r="B975" s="47"/>
      <c r="C975" s="50"/>
      <c r="D975" s="50"/>
      <c r="E975" s="50"/>
      <c r="F975" s="50"/>
      <c r="G975" s="46"/>
      <c r="H975" s="46"/>
      <c r="I975" s="46"/>
      <c r="J975" s="46"/>
      <c r="K975" s="46"/>
      <c r="L975" s="71"/>
      <c r="M975" s="60"/>
      <c r="N975" s="60"/>
      <c r="O975" s="60"/>
      <c r="P975" s="60"/>
      <c r="W975" s="2"/>
      <c r="X975" s="2"/>
    </row>
    <row r="976" spans="1:24" ht="15.75" customHeight="1" x14ac:dyDescent="0.2">
      <c r="A976" s="44"/>
      <c r="B976" s="47"/>
      <c r="C976" s="50"/>
      <c r="D976" s="50"/>
      <c r="E976" s="50"/>
      <c r="F976" s="50"/>
      <c r="G976" s="46"/>
      <c r="H976" s="46"/>
      <c r="I976" s="46"/>
      <c r="J976" s="46"/>
      <c r="K976" s="46"/>
      <c r="L976" s="71"/>
      <c r="M976" s="60"/>
      <c r="N976" s="60"/>
      <c r="O976" s="60"/>
      <c r="P976" s="60"/>
      <c r="W976" s="2"/>
      <c r="X976" s="2"/>
    </row>
    <row r="977" spans="1:24" ht="15.75" customHeight="1" x14ac:dyDescent="0.2">
      <c r="A977" s="44"/>
      <c r="B977" s="47"/>
      <c r="C977" s="50"/>
      <c r="D977" s="50"/>
      <c r="E977" s="50"/>
      <c r="F977" s="50"/>
      <c r="G977" s="46"/>
      <c r="H977" s="46"/>
      <c r="I977" s="46"/>
      <c r="J977" s="46"/>
      <c r="K977" s="46"/>
      <c r="L977" s="71"/>
      <c r="M977" s="60"/>
      <c r="N977" s="60"/>
      <c r="O977" s="60"/>
      <c r="P977" s="60"/>
      <c r="W977" s="2"/>
      <c r="X977" s="2"/>
    </row>
    <row r="978" spans="1:24" ht="15.75" customHeight="1" x14ac:dyDescent="0.2">
      <c r="A978" s="44"/>
      <c r="B978" s="47"/>
      <c r="C978" s="50"/>
      <c r="D978" s="50"/>
      <c r="E978" s="50"/>
      <c r="F978" s="50"/>
      <c r="G978" s="46"/>
      <c r="H978" s="46"/>
      <c r="I978" s="46"/>
      <c r="J978" s="46"/>
      <c r="K978" s="46"/>
      <c r="L978" s="71"/>
      <c r="M978" s="60"/>
      <c r="N978" s="60"/>
      <c r="O978" s="60"/>
      <c r="P978" s="60"/>
      <c r="W978" s="2"/>
      <c r="X978" s="2"/>
    </row>
    <row r="979" spans="1:24" ht="15.75" customHeight="1" x14ac:dyDescent="0.2">
      <c r="A979" s="44"/>
      <c r="B979" s="47"/>
      <c r="C979" s="50"/>
      <c r="D979" s="50"/>
      <c r="E979" s="50"/>
      <c r="F979" s="50"/>
      <c r="G979" s="46"/>
      <c r="H979" s="46"/>
      <c r="I979" s="46"/>
      <c r="J979" s="46"/>
      <c r="K979" s="46"/>
      <c r="L979" s="71"/>
      <c r="M979" s="60"/>
      <c r="N979" s="60"/>
      <c r="O979" s="60"/>
      <c r="P979" s="60"/>
      <c r="W979" s="2"/>
      <c r="X979" s="2"/>
    </row>
    <row r="980" spans="1:24" ht="15.75" customHeight="1" x14ac:dyDescent="0.2">
      <c r="A980" s="44"/>
      <c r="B980" s="47"/>
      <c r="C980" s="50"/>
      <c r="D980" s="50"/>
      <c r="E980" s="50"/>
      <c r="F980" s="50"/>
      <c r="G980" s="46"/>
      <c r="H980" s="46"/>
      <c r="I980" s="46"/>
      <c r="J980" s="46"/>
      <c r="K980" s="46"/>
      <c r="L980" s="71"/>
      <c r="M980" s="60"/>
      <c r="N980" s="60"/>
      <c r="O980" s="60"/>
      <c r="P980" s="60"/>
      <c r="W980" s="2"/>
      <c r="X980" s="2"/>
    </row>
    <row r="981" spans="1:24" ht="15.75" customHeight="1" x14ac:dyDescent="0.2">
      <c r="A981" s="44"/>
      <c r="B981" s="47"/>
      <c r="C981" s="50"/>
      <c r="D981" s="50"/>
      <c r="E981" s="50"/>
      <c r="F981" s="50"/>
      <c r="G981" s="46"/>
      <c r="H981" s="46"/>
      <c r="I981" s="46"/>
      <c r="J981" s="46"/>
      <c r="K981" s="46"/>
      <c r="L981" s="71"/>
      <c r="M981" s="60"/>
      <c r="N981" s="60"/>
      <c r="O981" s="60"/>
      <c r="P981" s="60"/>
      <c r="W981" s="2"/>
      <c r="X981" s="2"/>
    </row>
    <row r="982" spans="1:24" ht="15.75" customHeight="1" x14ac:dyDescent="0.2">
      <c r="A982" s="44"/>
      <c r="B982" s="47"/>
      <c r="C982" s="50"/>
      <c r="D982" s="50"/>
      <c r="E982" s="50"/>
      <c r="F982" s="50"/>
      <c r="G982" s="46"/>
      <c r="H982" s="46"/>
      <c r="I982" s="46"/>
      <c r="J982" s="46"/>
      <c r="K982" s="46"/>
      <c r="L982" s="71"/>
      <c r="M982" s="60"/>
      <c r="N982" s="60"/>
      <c r="O982" s="60"/>
      <c r="P982" s="60"/>
      <c r="W982" s="2"/>
      <c r="X982" s="2"/>
    </row>
    <row r="983" spans="1:24" ht="15.75" customHeight="1" x14ac:dyDescent="0.2">
      <c r="A983" s="44"/>
      <c r="B983" s="47"/>
      <c r="C983" s="50"/>
      <c r="D983" s="50"/>
      <c r="E983" s="50"/>
      <c r="F983" s="50"/>
      <c r="G983" s="46"/>
      <c r="H983" s="46"/>
      <c r="I983" s="46"/>
      <c r="J983" s="46"/>
      <c r="K983" s="46"/>
      <c r="L983" s="71"/>
      <c r="M983" s="60"/>
      <c r="N983" s="60"/>
      <c r="O983" s="60"/>
      <c r="P983" s="60"/>
      <c r="W983" s="2"/>
      <c r="X983" s="2"/>
    </row>
    <row r="984" spans="1:24" ht="15.75" customHeight="1" x14ac:dyDescent="0.2">
      <c r="A984" s="44"/>
      <c r="B984" s="47"/>
      <c r="C984" s="50"/>
      <c r="D984" s="50"/>
      <c r="E984" s="50"/>
      <c r="F984" s="50"/>
      <c r="G984" s="46"/>
      <c r="H984" s="46"/>
      <c r="I984" s="46"/>
      <c r="J984" s="46"/>
      <c r="K984" s="46"/>
      <c r="L984" s="71"/>
      <c r="M984" s="60"/>
      <c r="N984" s="60"/>
      <c r="O984" s="60"/>
      <c r="P984" s="60"/>
      <c r="W984" s="2"/>
      <c r="X984" s="2"/>
    </row>
    <row r="985" spans="1:24" ht="15.75" customHeight="1" x14ac:dyDescent="0.2">
      <c r="A985" s="44"/>
      <c r="B985" s="47"/>
      <c r="C985" s="50"/>
      <c r="D985" s="50"/>
      <c r="E985" s="50"/>
      <c r="F985" s="50"/>
      <c r="G985" s="46"/>
      <c r="H985" s="46"/>
      <c r="I985" s="46"/>
      <c r="J985" s="46"/>
      <c r="K985" s="46"/>
      <c r="L985" s="71"/>
      <c r="M985" s="60"/>
      <c r="N985" s="60"/>
      <c r="O985" s="60"/>
      <c r="P985" s="60"/>
      <c r="W985" s="2"/>
      <c r="X985" s="2"/>
    </row>
    <row r="986" spans="1:24" ht="15.75" customHeight="1" x14ac:dyDescent="0.2">
      <c r="A986" s="44"/>
      <c r="B986" s="47"/>
      <c r="C986" s="50"/>
      <c r="D986" s="50"/>
      <c r="E986" s="50"/>
      <c r="F986" s="50"/>
      <c r="G986" s="46"/>
      <c r="H986" s="46"/>
      <c r="I986" s="46"/>
      <c r="J986" s="46"/>
      <c r="K986" s="46"/>
      <c r="L986" s="71"/>
      <c r="M986" s="60"/>
      <c r="N986" s="60"/>
      <c r="O986" s="60"/>
      <c r="P986" s="60"/>
      <c r="W986" s="2"/>
      <c r="X986" s="2"/>
    </row>
    <row r="987" spans="1:24" ht="15.75" customHeight="1" x14ac:dyDescent="0.2">
      <c r="A987" s="44"/>
      <c r="B987" s="47"/>
      <c r="C987" s="50"/>
      <c r="D987" s="50"/>
      <c r="E987" s="50"/>
      <c r="F987" s="50"/>
      <c r="G987" s="46"/>
      <c r="H987" s="46"/>
      <c r="I987" s="46"/>
      <c r="J987" s="46"/>
      <c r="K987" s="46"/>
      <c r="L987" s="71"/>
      <c r="M987" s="60"/>
      <c r="N987" s="60"/>
      <c r="O987" s="60"/>
      <c r="P987" s="60"/>
      <c r="W987" s="2"/>
      <c r="X987" s="2"/>
    </row>
    <row r="988" spans="1:24" ht="15.75" customHeight="1" x14ac:dyDescent="0.2">
      <c r="A988" s="44"/>
      <c r="B988" s="47"/>
      <c r="C988" s="50"/>
      <c r="D988" s="50"/>
      <c r="E988" s="50"/>
      <c r="F988" s="50"/>
      <c r="G988" s="46"/>
      <c r="H988" s="46"/>
      <c r="I988" s="46"/>
      <c r="J988" s="46"/>
      <c r="K988" s="46"/>
      <c r="L988" s="71"/>
      <c r="M988" s="60"/>
      <c r="N988" s="60"/>
      <c r="O988" s="60"/>
      <c r="P988" s="60"/>
      <c r="W988" s="2"/>
      <c r="X988" s="2"/>
    </row>
    <row r="989" spans="1:24" ht="15.75" customHeight="1" x14ac:dyDescent="0.2">
      <c r="A989" s="44"/>
      <c r="B989" s="47"/>
      <c r="C989" s="50"/>
      <c r="D989" s="50"/>
      <c r="E989" s="50"/>
      <c r="F989" s="50"/>
      <c r="G989" s="46"/>
      <c r="H989" s="46"/>
      <c r="I989" s="46"/>
      <c r="J989" s="46"/>
      <c r="K989" s="46"/>
      <c r="L989" s="71"/>
      <c r="M989" s="60"/>
      <c r="N989" s="60"/>
      <c r="O989" s="60"/>
      <c r="P989" s="60"/>
      <c r="W989" s="2"/>
      <c r="X989" s="2"/>
    </row>
    <row r="990" spans="1:24" ht="15.75" customHeight="1" x14ac:dyDescent="0.2">
      <c r="A990" s="44"/>
      <c r="B990" s="47"/>
      <c r="C990" s="50"/>
      <c r="D990" s="50"/>
      <c r="E990" s="50"/>
      <c r="F990" s="50"/>
      <c r="G990" s="46"/>
      <c r="H990" s="46"/>
      <c r="I990" s="46"/>
      <c r="J990" s="46"/>
      <c r="K990" s="46"/>
      <c r="L990" s="71"/>
      <c r="M990" s="60"/>
      <c r="N990" s="60"/>
      <c r="O990" s="60"/>
      <c r="P990" s="60"/>
      <c r="W990" s="2"/>
      <c r="X990" s="2"/>
    </row>
    <row r="991" spans="1:24" ht="15.75" customHeight="1" x14ac:dyDescent="0.2">
      <c r="A991" s="44"/>
      <c r="B991" s="47"/>
      <c r="C991" s="50"/>
      <c r="D991" s="50"/>
      <c r="E991" s="50"/>
      <c r="F991" s="50"/>
      <c r="G991" s="46"/>
      <c r="H991" s="46"/>
      <c r="I991" s="46"/>
      <c r="J991" s="46"/>
      <c r="K991" s="46"/>
      <c r="L991" s="71"/>
      <c r="M991" s="60"/>
      <c r="N991" s="60"/>
      <c r="O991" s="60"/>
      <c r="P991" s="60"/>
      <c r="W991" s="2"/>
      <c r="X991" s="2"/>
    </row>
    <row r="992" spans="1:24" ht="15.75" customHeight="1" x14ac:dyDescent="0.2">
      <c r="A992" s="44"/>
      <c r="B992" s="47"/>
      <c r="C992" s="50"/>
      <c r="D992" s="50"/>
      <c r="E992" s="50"/>
      <c r="F992" s="50"/>
      <c r="G992" s="46"/>
      <c r="H992" s="46"/>
      <c r="I992" s="46"/>
      <c r="J992" s="46"/>
      <c r="K992" s="46"/>
      <c r="L992" s="71"/>
      <c r="M992" s="60"/>
      <c r="N992" s="60"/>
      <c r="O992" s="60"/>
      <c r="P992" s="60"/>
      <c r="W992" s="2"/>
      <c r="X992" s="2"/>
    </row>
    <row r="993" spans="1:24" ht="15.75" customHeight="1" x14ac:dyDescent="0.2">
      <c r="A993" s="44"/>
      <c r="B993" s="47"/>
      <c r="C993" s="50"/>
      <c r="D993" s="50"/>
      <c r="E993" s="50"/>
      <c r="F993" s="50"/>
      <c r="G993" s="46"/>
      <c r="H993" s="46"/>
      <c r="I993" s="46"/>
      <c r="J993" s="46"/>
      <c r="K993" s="46"/>
      <c r="L993" s="71"/>
      <c r="M993" s="60"/>
      <c r="N993" s="60"/>
      <c r="O993" s="60"/>
      <c r="P993" s="60"/>
      <c r="W993" s="2"/>
      <c r="X993" s="2"/>
    </row>
    <row r="994" spans="1:24" ht="15.75" customHeight="1" x14ac:dyDescent="0.2">
      <c r="A994" s="44"/>
      <c r="B994" s="47"/>
      <c r="C994" s="50"/>
      <c r="D994" s="50"/>
      <c r="E994" s="50"/>
      <c r="F994" s="50"/>
      <c r="G994" s="46"/>
      <c r="H994" s="46"/>
      <c r="I994" s="46"/>
      <c r="J994" s="46"/>
      <c r="K994" s="46"/>
      <c r="L994" s="71"/>
      <c r="M994" s="60"/>
      <c r="N994" s="60"/>
      <c r="O994" s="60"/>
      <c r="P994" s="60"/>
      <c r="W994" s="2"/>
      <c r="X994" s="2"/>
    </row>
    <row r="995" spans="1:24" ht="15.75" customHeight="1" x14ac:dyDescent="0.2">
      <c r="A995" s="44"/>
      <c r="D995" s="50"/>
      <c r="E995" s="50"/>
      <c r="J995" s="46"/>
      <c r="K995" s="46"/>
    </row>
    <row r="996" spans="1:24" ht="15.75" customHeight="1" x14ac:dyDescent="0.2">
      <c r="A996" s="44"/>
      <c r="D996" s="50"/>
      <c r="E996" s="50"/>
      <c r="J996" s="46"/>
      <c r="K996" s="46"/>
    </row>
    <row r="997" spans="1:24" ht="15.75" customHeight="1" x14ac:dyDescent="0.2">
      <c r="A997" s="44"/>
      <c r="D997" s="50"/>
      <c r="E997" s="50"/>
      <c r="J997" s="46"/>
      <c r="K997" s="46"/>
    </row>
    <row r="998" spans="1:24" ht="15.75" customHeight="1" x14ac:dyDescent="0.2">
      <c r="A998" s="44"/>
      <c r="D998" s="50"/>
      <c r="E998" s="50"/>
      <c r="J998" s="46"/>
      <c r="K998" s="46"/>
    </row>
    <row r="999" spans="1:24" ht="15.75" customHeight="1" x14ac:dyDescent="0.2">
      <c r="A999" s="44" t="str">
        <f ca="1">Referencias!G1002</f>
        <v/>
      </c>
      <c r="D999" s="50"/>
      <c r="E999" s="50"/>
      <c r="J999" s="46"/>
      <c r="K999" s="46"/>
    </row>
    <row r="1000" spans="1:24" ht="15.75" customHeight="1" x14ac:dyDescent="0.2">
      <c r="A1000" s="44" t="str">
        <f ca="1">Referencias!G1003</f>
        <v/>
      </c>
      <c r="D1000" s="50"/>
      <c r="E1000" s="50"/>
      <c r="J1000" s="46"/>
      <c r="K1000" s="46"/>
    </row>
  </sheetData>
  <conditionalFormatting sqref="B18:B994">
    <cfRule type="notContainsBlanks" dxfId="3" priority="1">
      <formula>LEN(TRIM(B18))&gt;0</formula>
    </cfRule>
  </conditionalFormatting>
  <dataValidations count="1">
    <dataValidation type="list" allowBlank="1" showErrorMessage="1" sqref="D2:D1000" xr:uid="{00000000-0002-0000-0100-000002000000}">
      <formula1>"Mujer,Hombre,Otro"</formula1>
    </dataValidation>
  </dataValidations>
  <pageMargins left="0.7" right="0.7" top="0.75" bottom="0.75" header="0" footer="0"/>
  <pageSetup orientation="landscape"/>
  <extLst>
    <ext xmlns:x14="http://schemas.microsoft.com/office/spreadsheetml/2009/9/main" uri="{CCE6A557-97BC-4b89-ADB6-D9C93CAAB3DF}">
      <x14:dataValidations xmlns:xm="http://schemas.microsoft.com/office/excel/2006/main" count="4">
        <x14:dataValidation type="list" allowBlank="1" showErrorMessage="1" xr:uid="{00000000-0002-0000-0100-000000000000}">
          <x14:formula1>
            <xm:f>Referencias!$M$5:$M$1123</xm:f>
          </x14:formula1>
          <xm:sqref>K2:K1000</xm:sqref>
        </x14:dataValidation>
        <x14:dataValidation type="list" allowBlank="1" showErrorMessage="1" xr:uid="{00000000-0002-0000-0100-000001000000}">
          <x14:formula1>
            <xm:f>Referencias!$M$5:$M$12</xm:f>
          </x14:formula1>
          <xm:sqref>C60:C62 F60:F62</xm:sqref>
        </x14:dataValidation>
        <x14:dataValidation type="list" allowBlank="1" showErrorMessage="1" xr:uid="{00000000-0002-0000-0100-000003000000}">
          <x14:formula1>
            <xm:f>Referencias!$I$5:$I$12</xm:f>
          </x14:formula1>
          <xm:sqref>E2:E1000</xm:sqref>
        </x14:dataValidation>
        <x14:dataValidation type="list" allowBlank="1" showErrorMessage="1" xr:uid="{00000000-0002-0000-0100-000004000000}">
          <x14:formula1>
            <xm:f>Referencias!$K$5:$K$37</xm:f>
          </x14:formula1>
          <xm:sqref>J2:J1000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9900"/>
    <outlinePr summaryBelow="0" summaryRight="0"/>
  </sheetPr>
  <dimension ref="A1:AV950"/>
  <sheetViews>
    <sheetView workbookViewId="0">
      <pane ySplit="1" topLeftCell="A2" activePane="bottomLeft" state="frozen"/>
      <selection pane="bottomLeft" activeCell="G64" sqref="G64"/>
    </sheetView>
  </sheetViews>
  <sheetFormatPr baseColWidth="10" defaultColWidth="12.5703125" defaultRowHeight="15" customHeight="1" x14ac:dyDescent="0.2"/>
  <cols>
    <col min="1" max="1" width="10.5703125" customWidth="1"/>
    <col min="2" max="2" width="13.5703125" customWidth="1"/>
    <col min="3" max="3" width="14.42578125" customWidth="1"/>
    <col min="4" max="5" width="15.5703125" customWidth="1"/>
    <col min="6" max="6" width="20" customWidth="1"/>
    <col min="7" max="7" width="23.7109375" customWidth="1"/>
    <col min="8" max="8" width="21.85546875" customWidth="1"/>
    <col min="9" max="9" width="12.42578125" customWidth="1"/>
    <col min="10" max="12" width="31.42578125" customWidth="1"/>
    <col min="13" max="13" width="27.85546875" customWidth="1"/>
    <col min="14" max="14" width="17.28515625" customWidth="1"/>
    <col min="15" max="16" width="20" customWidth="1"/>
    <col min="17" max="17" width="19.42578125" customWidth="1"/>
    <col min="18" max="19" width="16.5703125" customWidth="1"/>
    <col min="20" max="20" width="17.5703125" customWidth="1"/>
    <col min="21" max="22" width="20" hidden="1" customWidth="1"/>
    <col min="23" max="23" width="14.140625" customWidth="1"/>
    <col min="24" max="24" width="16" customWidth="1"/>
    <col min="25" max="27" width="20" customWidth="1"/>
    <col min="28" max="28" width="20" hidden="1" customWidth="1"/>
    <col min="29" max="29" width="20" customWidth="1"/>
    <col min="30" max="30" width="20" hidden="1" customWidth="1"/>
    <col min="31" max="31" width="19.140625" hidden="1" customWidth="1"/>
    <col min="32" max="32" width="19.140625" customWidth="1"/>
    <col min="33" max="34" width="20.28515625" customWidth="1"/>
    <col min="35" max="35" width="25.42578125" customWidth="1"/>
  </cols>
  <sheetData>
    <row r="1" spans="1:48" ht="42.75" customHeight="1" x14ac:dyDescent="0.2">
      <c r="A1" s="72" t="s">
        <v>95</v>
      </c>
      <c r="B1" s="72" t="s">
        <v>96</v>
      </c>
      <c r="C1" s="36" t="s">
        <v>40</v>
      </c>
      <c r="D1" s="37" t="s">
        <v>41</v>
      </c>
      <c r="E1" s="73" t="s">
        <v>97</v>
      </c>
      <c r="F1" s="72" t="s">
        <v>98</v>
      </c>
      <c r="G1" s="74" t="s">
        <v>99</v>
      </c>
      <c r="H1" s="72" t="s">
        <v>100</v>
      </c>
      <c r="I1" s="72" t="s">
        <v>101</v>
      </c>
      <c r="J1" s="72" t="s">
        <v>102</v>
      </c>
      <c r="K1" s="72" t="s">
        <v>103</v>
      </c>
      <c r="L1" s="72" t="s">
        <v>104</v>
      </c>
      <c r="M1" s="75" t="s">
        <v>105</v>
      </c>
      <c r="N1" s="72" t="s">
        <v>106</v>
      </c>
      <c r="O1" s="72" t="s">
        <v>107</v>
      </c>
      <c r="P1" s="72" t="s">
        <v>108</v>
      </c>
      <c r="Q1" s="75" t="s">
        <v>109</v>
      </c>
      <c r="R1" s="75" t="s">
        <v>110</v>
      </c>
      <c r="S1" s="75" t="s">
        <v>111</v>
      </c>
      <c r="T1" s="72" t="s">
        <v>112</v>
      </c>
      <c r="U1" s="72" t="s">
        <v>113</v>
      </c>
      <c r="V1" s="75" t="s">
        <v>114</v>
      </c>
      <c r="W1" s="72" t="s">
        <v>115</v>
      </c>
      <c r="X1" s="76" t="s">
        <v>116</v>
      </c>
      <c r="Y1" s="72" t="s">
        <v>117</v>
      </c>
      <c r="Z1" s="72" t="s">
        <v>118</v>
      </c>
      <c r="AA1" s="72" t="s">
        <v>119</v>
      </c>
      <c r="AB1" s="77" t="s">
        <v>120</v>
      </c>
      <c r="AC1" s="77" t="s">
        <v>121</v>
      </c>
      <c r="AD1" s="77" t="s">
        <v>122</v>
      </c>
      <c r="AE1" s="77" t="s">
        <v>123</v>
      </c>
      <c r="AF1" s="42" t="s">
        <v>58</v>
      </c>
      <c r="AG1" s="42" t="s">
        <v>59</v>
      </c>
      <c r="AH1" s="42" t="s">
        <v>60</v>
      </c>
      <c r="AI1" s="42" t="s">
        <v>61</v>
      </c>
      <c r="AJ1" s="60"/>
      <c r="AK1" s="60"/>
      <c r="AL1" s="60"/>
      <c r="AM1" s="60"/>
      <c r="AN1" s="60"/>
      <c r="AO1" s="60"/>
      <c r="AP1" s="60"/>
      <c r="AQ1" s="60"/>
      <c r="AR1" s="60"/>
      <c r="AS1" s="60"/>
      <c r="AT1" s="60"/>
      <c r="AU1" s="60"/>
      <c r="AV1" s="60"/>
    </row>
    <row r="2" spans="1:48" ht="15.75" customHeight="1" x14ac:dyDescent="0.2">
      <c r="A2" s="78">
        <v>1</v>
      </c>
      <c r="B2" s="79">
        <v>45666</v>
      </c>
      <c r="C2" s="44">
        <v>10</v>
      </c>
      <c r="D2" s="80"/>
      <c r="E2" s="81" t="str">
        <f ca="1">IFERROR(__xludf.DUMMYFUNCTION("IF(G2="""","""",FILTER(Especie!$A$2:$A$982,Especie!$H$2:$H$982=G2))"),"FPVA_012")</f>
        <v>FPVA_012</v>
      </c>
      <c r="F2" s="48" t="s">
        <v>124</v>
      </c>
      <c r="G2" s="82" t="s">
        <v>125</v>
      </c>
      <c r="H2" s="48" t="s">
        <v>126</v>
      </c>
      <c r="I2" s="48"/>
      <c r="J2" s="48" t="s">
        <v>127</v>
      </c>
      <c r="K2" s="59" t="s">
        <v>128</v>
      </c>
      <c r="L2" s="59" t="s">
        <v>129</v>
      </c>
      <c r="M2" s="50" t="s">
        <v>130</v>
      </c>
      <c r="N2" s="50" t="s">
        <v>131</v>
      </c>
      <c r="O2" s="50" t="s">
        <v>132</v>
      </c>
      <c r="P2" s="59" t="s">
        <v>133</v>
      </c>
      <c r="Q2" s="83">
        <v>2</v>
      </c>
      <c r="R2" s="60" t="s">
        <v>134</v>
      </c>
      <c r="S2" s="60"/>
      <c r="T2" s="59"/>
      <c r="W2" s="50"/>
      <c r="X2" s="84" t="s">
        <v>135</v>
      </c>
      <c r="Y2" s="59" t="s">
        <v>136</v>
      </c>
      <c r="Z2" s="85" t="s">
        <v>137</v>
      </c>
      <c r="AC2" s="59" t="s">
        <v>138</v>
      </c>
      <c r="AE2" s="60"/>
      <c r="AF2" s="48" t="s">
        <v>139</v>
      </c>
      <c r="AG2" s="86">
        <v>46062</v>
      </c>
      <c r="AH2" s="59" t="s">
        <v>70</v>
      </c>
      <c r="AI2" s="48" t="s">
        <v>140</v>
      </c>
    </row>
    <row r="3" spans="1:48" ht="15.75" customHeight="1" x14ac:dyDescent="0.2">
      <c r="A3" s="78">
        <v>2</v>
      </c>
      <c r="B3" s="79">
        <v>45697</v>
      </c>
      <c r="C3" s="44">
        <v>1</v>
      </c>
      <c r="D3" s="80"/>
      <c r="E3" s="81" t="str">
        <f ca="1">IFERROR(__xludf.DUMMYFUNCTION("IF(G3="""","""",FILTER(Especie!$A$2:$A$982,Especie!$H$2:$H$982=G3))"),"FPVA_001")</f>
        <v>FPVA_001</v>
      </c>
      <c r="F3" s="48" t="s">
        <v>124</v>
      </c>
      <c r="G3" s="82" t="s">
        <v>141</v>
      </c>
      <c r="H3" s="48" t="s">
        <v>142</v>
      </c>
      <c r="I3" s="48" t="s">
        <v>143</v>
      </c>
      <c r="J3" s="48" t="s">
        <v>144</v>
      </c>
      <c r="L3" s="59" t="s">
        <v>145</v>
      </c>
      <c r="M3" s="50" t="s">
        <v>146</v>
      </c>
      <c r="N3" s="50" t="s">
        <v>147</v>
      </c>
      <c r="O3" s="50" t="s">
        <v>148</v>
      </c>
      <c r="P3" s="59" t="s">
        <v>149</v>
      </c>
      <c r="Q3" s="83">
        <v>8</v>
      </c>
      <c r="R3" s="60" t="s">
        <v>150</v>
      </c>
      <c r="S3" s="60"/>
      <c r="T3" s="59" t="s">
        <v>151</v>
      </c>
      <c r="W3" s="50"/>
      <c r="X3" s="84" t="s">
        <v>152</v>
      </c>
      <c r="Y3" s="59" t="s">
        <v>153</v>
      </c>
      <c r="Z3" s="85" t="s">
        <v>154</v>
      </c>
      <c r="AA3" s="46"/>
      <c r="AB3" s="46"/>
      <c r="AC3" s="46" t="s">
        <v>155</v>
      </c>
      <c r="AD3" s="46"/>
      <c r="AE3" s="60"/>
      <c r="AF3" s="48" t="s">
        <v>139</v>
      </c>
      <c r="AG3" s="86">
        <v>46062</v>
      </c>
      <c r="AH3" s="59" t="s">
        <v>70</v>
      </c>
      <c r="AI3" s="48" t="s">
        <v>140</v>
      </c>
    </row>
    <row r="4" spans="1:48" ht="15.75" customHeight="1" x14ac:dyDescent="0.2">
      <c r="A4" s="78">
        <v>3</v>
      </c>
      <c r="B4" s="79">
        <v>45781</v>
      </c>
      <c r="C4" s="44">
        <v>15</v>
      </c>
      <c r="D4" s="44"/>
      <c r="E4" s="81" t="str">
        <f ca="1">IFERROR(__xludf.DUMMYFUNCTION("IF(G4="""","""",FILTER(Especie!$A$2:$A$982,Especie!$H$2:$H$982=G4))"),"FPVA_071")</f>
        <v>FPVA_071</v>
      </c>
      <c r="F4" s="59" t="s">
        <v>124</v>
      </c>
      <c r="G4" s="87" t="s">
        <v>156</v>
      </c>
      <c r="H4" s="88" t="s">
        <v>157</v>
      </c>
      <c r="J4" s="59" t="s">
        <v>158</v>
      </c>
      <c r="L4" s="88" t="s">
        <v>159</v>
      </c>
      <c r="M4" s="84" t="s">
        <v>160</v>
      </c>
      <c r="N4" s="59" t="s">
        <v>131</v>
      </c>
      <c r="O4" s="59" t="s">
        <v>161</v>
      </c>
      <c r="P4" s="59" t="s">
        <v>133</v>
      </c>
      <c r="Q4" s="89">
        <v>40</v>
      </c>
      <c r="R4" s="59" t="s">
        <v>162</v>
      </c>
      <c r="T4" s="59" t="s">
        <v>163</v>
      </c>
      <c r="W4" s="59"/>
      <c r="X4" s="84" t="s">
        <v>135</v>
      </c>
      <c r="Y4" s="88" t="s">
        <v>164</v>
      </c>
      <c r="AC4" s="88" t="s">
        <v>165</v>
      </c>
      <c r="AE4" s="60"/>
      <c r="AF4" s="48" t="s">
        <v>139</v>
      </c>
      <c r="AG4" s="86">
        <v>46162</v>
      </c>
      <c r="AH4" s="59" t="s">
        <v>70</v>
      </c>
      <c r="AI4" s="48" t="s">
        <v>140</v>
      </c>
    </row>
    <row r="5" spans="1:48" ht="15.75" customHeight="1" x14ac:dyDescent="0.2">
      <c r="A5" s="78">
        <v>4</v>
      </c>
      <c r="B5" s="79">
        <v>45845</v>
      </c>
      <c r="C5" s="44">
        <v>3</v>
      </c>
      <c r="D5" s="44"/>
      <c r="E5" s="81" t="str">
        <f ca="1">IFERROR(__xludf.DUMMYFUNCTION("IF(G5="""","""",FILTER(Especie!$A$2:$A$982,Especie!$H$2:$H$982=G5))"),"FPVA_002")</f>
        <v>FPVA_002</v>
      </c>
      <c r="F5" s="48" t="s">
        <v>166</v>
      </c>
      <c r="G5" s="90" t="s">
        <v>167</v>
      </c>
      <c r="H5" s="91" t="s">
        <v>168</v>
      </c>
      <c r="I5" s="91"/>
      <c r="J5" s="48" t="s">
        <v>169</v>
      </c>
      <c r="L5" s="50" t="s">
        <v>170</v>
      </c>
      <c r="M5" s="92" t="s">
        <v>171</v>
      </c>
      <c r="N5" s="92" t="s">
        <v>147</v>
      </c>
      <c r="O5" s="93" t="s">
        <v>172</v>
      </c>
      <c r="P5" s="92" t="s">
        <v>173</v>
      </c>
      <c r="Q5" s="83">
        <v>5</v>
      </c>
      <c r="R5" s="83" t="s">
        <v>174</v>
      </c>
      <c r="S5" s="89"/>
      <c r="T5" s="83" t="s">
        <v>175</v>
      </c>
      <c r="U5" s="89"/>
      <c r="V5" s="92"/>
      <c r="W5" s="92"/>
      <c r="X5" s="84" t="s">
        <v>176</v>
      </c>
      <c r="Y5" s="93" t="s">
        <v>177</v>
      </c>
      <c r="Z5" s="94" t="s">
        <v>178</v>
      </c>
      <c r="AA5" s="93"/>
      <c r="AB5" s="93"/>
      <c r="AC5" s="93" t="s">
        <v>179</v>
      </c>
      <c r="AD5" s="93"/>
      <c r="AE5" s="83"/>
      <c r="AF5" s="92" t="s">
        <v>139</v>
      </c>
      <c r="AG5" s="86">
        <v>46062</v>
      </c>
      <c r="AH5" s="84" t="s">
        <v>70</v>
      </c>
      <c r="AI5" s="92" t="s">
        <v>140</v>
      </c>
      <c r="AJ5" s="89"/>
    </row>
    <row r="6" spans="1:48" ht="15.75" customHeight="1" x14ac:dyDescent="0.2">
      <c r="A6" s="78">
        <v>5</v>
      </c>
      <c r="B6" s="79">
        <v>45872</v>
      </c>
      <c r="C6" s="80">
        <v>6</v>
      </c>
      <c r="D6" s="80"/>
      <c r="E6" s="81" t="str">
        <f ca="1">IFERROR(__xludf.DUMMYFUNCTION("IF(G6="""","""",FILTER(Especie!$A$2:$A$982,Especie!$H$2:$H$982=G6))"),"FPVA_003")</f>
        <v>FPVA_003</v>
      </c>
      <c r="F6" s="48" t="s">
        <v>124</v>
      </c>
      <c r="G6" s="82" t="s">
        <v>180</v>
      </c>
      <c r="H6" s="48" t="s">
        <v>181</v>
      </c>
      <c r="I6" s="48"/>
      <c r="J6" s="48" t="s">
        <v>182</v>
      </c>
      <c r="K6" s="59" t="s">
        <v>183</v>
      </c>
      <c r="L6" s="85" t="s">
        <v>184</v>
      </c>
      <c r="M6" s="92" t="s">
        <v>185</v>
      </c>
      <c r="N6" s="92" t="s">
        <v>147</v>
      </c>
      <c r="O6" s="93" t="s">
        <v>148</v>
      </c>
      <c r="P6" s="92" t="s">
        <v>133</v>
      </c>
      <c r="Q6" s="83">
        <v>500</v>
      </c>
      <c r="R6" s="83" t="s">
        <v>186</v>
      </c>
      <c r="S6" s="83"/>
      <c r="T6" s="92" t="s">
        <v>151</v>
      </c>
      <c r="U6" s="92"/>
      <c r="V6" s="92"/>
      <c r="W6" s="92"/>
      <c r="X6" s="92" t="s">
        <v>135</v>
      </c>
      <c r="Y6" s="93"/>
      <c r="Z6" s="93" t="s">
        <v>187</v>
      </c>
      <c r="AA6" s="93"/>
      <c r="AB6" s="93"/>
      <c r="AC6" s="93" t="s">
        <v>155</v>
      </c>
      <c r="AD6" s="93"/>
      <c r="AE6" s="83"/>
      <c r="AF6" s="92" t="s">
        <v>139</v>
      </c>
      <c r="AG6" s="86">
        <v>46062</v>
      </c>
      <c r="AH6" s="84" t="s">
        <v>70</v>
      </c>
      <c r="AI6" s="92" t="s">
        <v>140</v>
      </c>
      <c r="AJ6" s="89"/>
    </row>
    <row r="7" spans="1:48" ht="15.75" customHeight="1" x14ac:dyDescent="0.2">
      <c r="A7" s="78">
        <v>6</v>
      </c>
      <c r="B7" s="79">
        <v>45874</v>
      </c>
      <c r="C7" s="95">
        <v>5</v>
      </c>
      <c r="D7" s="80"/>
      <c r="E7" s="81" t="str">
        <f ca="1">IFERROR(__xludf.DUMMYFUNCTION("IF(G7="""","""",FILTER(Especie!$A$2:$A$982,Especie!$H$2:$H$982=G7))"),"FPVA_005")</f>
        <v>FPVA_005</v>
      </c>
      <c r="F7" s="48" t="s">
        <v>124</v>
      </c>
      <c r="G7" s="82" t="s">
        <v>188</v>
      </c>
      <c r="H7" s="48" t="s">
        <v>189</v>
      </c>
      <c r="I7" s="48"/>
      <c r="J7" s="48" t="s">
        <v>144</v>
      </c>
      <c r="L7" s="96" t="s">
        <v>190</v>
      </c>
      <c r="M7" s="92" t="s">
        <v>146</v>
      </c>
      <c r="N7" s="97" t="s">
        <v>147</v>
      </c>
      <c r="O7" s="92" t="s">
        <v>148</v>
      </c>
      <c r="P7" s="92" t="s">
        <v>149</v>
      </c>
      <c r="Q7" s="83">
        <v>1</v>
      </c>
      <c r="R7" s="83" t="s">
        <v>191</v>
      </c>
      <c r="S7" s="89"/>
      <c r="T7" s="92" t="s">
        <v>192</v>
      </c>
      <c r="U7" s="89"/>
      <c r="V7" s="92"/>
      <c r="W7" s="92"/>
      <c r="X7" s="92" t="s">
        <v>152</v>
      </c>
      <c r="Y7" s="92" t="s">
        <v>193</v>
      </c>
      <c r="Z7" s="92" t="s">
        <v>194</v>
      </c>
      <c r="AA7" s="89"/>
      <c r="AB7" s="89"/>
      <c r="AC7" s="93" t="s">
        <v>195</v>
      </c>
      <c r="AD7" s="89"/>
      <c r="AE7" s="83"/>
      <c r="AF7" s="92" t="s">
        <v>139</v>
      </c>
      <c r="AG7" s="86">
        <v>46062</v>
      </c>
      <c r="AH7" s="84" t="s">
        <v>70</v>
      </c>
      <c r="AI7" s="92" t="s">
        <v>140</v>
      </c>
      <c r="AJ7" s="89"/>
    </row>
    <row r="8" spans="1:48" ht="15.75" customHeight="1" x14ac:dyDescent="0.2">
      <c r="A8" s="78">
        <v>7</v>
      </c>
      <c r="B8" s="79">
        <v>45874</v>
      </c>
      <c r="C8" s="95">
        <v>5</v>
      </c>
      <c r="D8" s="80"/>
      <c r="E8" s="81" t="str">
        <f ca="1">IFERROR(__xludf.DUMMYFUNCTION("IF(G8="""","""",FILTER(Especie!$A$2:$A$982,Especie!$H$2:$H$982=G8))"),"FPVA_006")</f>
        <v>FPVA_006</v>
      </c>
      <c r="F8" s="48" t="s">
        <v>124</v>
      </c>
      <c r="G8" s="82" t="s">
        <v>196</v>
      </c>
      <c r="H8" s="98" t="s">
        <v>197</v>
      </c>
      <c r="I8" s="99"/>
      <c r="J8" s="98" t="s">
        <v>144</v>
      </c>
      <c r="L8" s="59" t="s">
        <v>198</v>
      </c>
      <c r="M8" s="98" t="s">
        <v>199</v>
      </c>
      <c r="N8" s="92" t="s">
        <v>147</v>
      </c>
      <c r="O8" s="92" t="s">
        <v>161</v>
      </c>
      <c r="P8" s="92" t="s">
        <v>133</v>
      </c>
      <c r="Q8" s="98">
        <v>2</v>
      </c>
      <c r="R8" s="98" t="s">
        <v>174</v>
      </c>
      <c r="S8" s="98"/>
      <c r="T8" s="98" t="s">
        <v>192</v>
      </c>
      <c r="U8" s="98"/>
      <c r="V8" s="98"/>
      <c r="W8" s="98"/>
      <c r="X8" s="84" t="s">
        <v>200</v>
      </c>
      <c r="Y8" s="98" t="s">
        <v>201</v>
      </c>
      <c r="Z8" s="98" t="s">
        <v>202</v>
      </c>
      <c r="AA8" s="98" t="s">
        <v>203</v>
      </c>
      <c r="AB8" s="98"/>
      <c r="AC8" s="98" t="s">
        <v>155</v>
      </c>
      <c r="AD8" s="98"/>
      <c r="AE8" s="98"/>
      <c r="AF8" s="92" t="s">
        <v>139</v>
      </c>
      <c r="AG8" s="86">
        <v>46062</v>
      </c>
      <c r="AH8" s="84" t="s">
        <v>70</v>
      </c>
      <c r="AI8" s="92" t="s">
        <v>140</v>
      </c>
      <c r="AJ8" s="89"/>
    </row>
    <row r="9" spans="1:48" ht="15.75" customHeight="1" x14ac:dyDescent="0.2">
      <c r="A9" s="78">
        <v>8</v>
      </c>
      <c r="B9" s="79">
        <v>45883</v>
      </c>
      <c r="C9" s="80">
        <v>1</v>
      </c>
      <c r="D9" s="80"/>
      <c r="E9" s="81" t="str">
        <f ca="1">IFERROR(__xludf.DUMMYFUNCTION("IF(G9="""","""",FILTER(Especie!$A$2:$A$982,Especie!$H$2:$H$982=G9))"),"FPVA_007")</f>
        <v>FPVA_007</v>
      </c>
      <c r="F9" s="48" t="s">
        <v>166</v>
      </c>
      <c r="G9" s="100" t="s">
        <v>204</v>
      </c>
      <c r="H9" s="48" t="s">
        <v>205</v>
      </c>
      <c r="I9" s="48"/>
      <c r="J9" s="48" t="s">
        <v>169</v>
      </c>
      <c r="L9" s="59" t="s">
        <v>206</v>
      </c>
      <c r="M9" s="97" t="s">
        <v>171</v>
      </c>
      <c r="N9" s="97" t="s">
        <v>147</v>
      </c>
      <c r="O9" s="93" t="s">
        <v>172</v>
      </c>
      <c r="P9" s="93" t="s">
        <v>173</v>
      </c>
      <c r="Q9" s="101" t="s">
        <v>207</v>
      </c>
      <c r="R9" s="83"/>
      <c r="S9" s="83"/>
      <c r="T9" s="93" t="s">
        <v>151</v>
      </c>
      <c r="U9" s="93"/>
      <c r="V9" s="93"/>
      <c r="W9" s="97"/>
      <c r="X9" s="102" t="s">
        <v>208</v>
      </c>
      <c r="Y9" s="93" t="s">
        <v>209</v>
      </c>
      <c r="Z9" s="93" t="s">
        <v>210</v>
      </c>
      <c r="AA9" s="92"/>
      <c r="AB9" s="92"/>
      <c r="AC9" s="92" t="s">
        <v>195</v>
      </c>
      <c r="AD9" s="92"/>
      <c r="AE9" s="83"/>
      <c r="AF9" s="92" t="s">
        <v>139</v>
      </c>
      <c r="AG9" s="86">
        <v>46062</v>
      </c>
      <c r="AH9" s="84" t="s">
        <v>70</v>
      </c>
      <c r="AI9" s="92" t="s">
        <v>140</v>
      </c>
      <c r="AJ9" s="89"/>
    </row>
    <row r="10" spans="1:48" ht="15.75" customHeight="1" x14ac:dyDescent="0.2">
      <c r="A10" s="78">
        <v>9</v>
      </c>
      <c r="B10" s="79">
        <v>45883</v>
      </c>
      <c r="C10" s="44">
        <v>3</v>
      </c>
      <c r="D10" s="44"/>
      <c r="E10" s="81" t="str">
        <f ca="1">IFERROR(__xludf.DUMMYFUNCTION("IF(G10="""","""",FILTER(Especie!$A$2:$A$982,Especie!$H$2:$H$982=G10))"),"FPVA_001")</f>
        <v>FPVA_001</v>
      </c>
      <c r="F10" s="48" t="s">
        <v>124</v>
      </c>
      <c r="G10" s="82" t="s">
        <v>141</v>
      </c>
      <c r="H10" s="48" t="s">
        <v>142</v>
      </c>
      <c r="I10" s="48" t="s">
        <v>143</v>
      </c>
      <c r="J10" s="48" t="s">
        <v>144</v>
      </c>
      <c r="L10" s="50" t="s">
        <v>211</v>
      </c>
      <c r="M10" s="92" t="s">
        <v>146</v>
      </c>
      <c r="N10" s="92" t="s">
        <v>147</v>
      </c>
      <c r="O10" s="93" t="s">
        <v>148</v>
      </c>
      <c r="P10" s="92" t="s">
        <v>149</v>
      </c>
      <c r="Q10" s="92">
        <v>5</v>
      </c>
      <c r="R10" s="92" t="s">
        <v>212</v>
      </c>
      <c r="S10" s="89"/>
      <c r="T10" s="83" t="s">
        <v>151</v>
      </c>
      <c r="U10" s="92"/>
      <c r="V10" s="92"/>
      <c r="W10" s="92"/>
      <c r="X10" s="92" t="s">
        <v>152</v>
      </c>
      <c r="Y10" s="93"/>
      <c r="Z10" s="93" t="s">
        <v>213</v>
      </c>
      <c r="AA10" s="93"/>
      <c r="AB10" s="93"/>
      <c r="AC10" s="93" t="s">
        <v>165</v>
      </c>
      <c r="AD10" s="93"/>
      <c r="AE10" s="93"/>
      <c r="AF10" s="92" t="s">
        <v>139</v>
      </c>
      <c r="AG10" s="86">
        <v>46062</v>
      </c>
      <c r="AH10" s="84" t="s">
        <v>70</v>
      </c>
      <c r="AI10" s="92" t="s">
        <v>140</v>
      </c>
      <c r="AJ10" s="89"/>
    </row>
    <row r="11" spans="1:48" ht="15.75" customHeight="1" x14ac:dyDescent="0.2">
      <c r="A11" s="78">
        <v>10</v>
      </c>
      <c r="B11" s="79">
        <v>45883</v>
      </c>
      <c r="C11" s="103">
        <v>5</v>
      </c>
      <c r="D11" s="80"/>
      <c r="E11" s="81" t="str">
        <f ca="1">IFERROR(__xludf.DUMMYFUNCTION("IF(G11="""","""",FILTER(Especie!$A$2:$A$982,Especie!$H$2:$H$982=G11))"),"FPVA_006")</f>
        <v>FPVA_006</v>
      </c>
      <c r="F11" s="48" t="s">
        <v>124</v>
      </c>
      <c r="G11" s="104" t="s">
        <v>196</v>
      </c>
      <c r="H11" s="48" t="s">
        <v>197</v>
      </c>
      <c r="I11" s="48"/>
      <c r="J11" s="48" t="s">
        <v>144</v>
      </c>
      <c r="L11" s="59" t="s">
        <v>198</v>
      </c>
      <c r="M11" s="92" t="s">
        <v>146</v>
      </c>
      <c r="N11" s="97" t="s">
        <v>147</v>
      </c>
      <c r="O11" s="92" t="s">
        <v>148</v>
      </c>
      <c r="P11" s="92" t="s">
        <v>149</v>
      </c>
      <c r="Q11" s="83">
        <v>1</v>
      </c>
      <c r="R11" s="83" t="s">
        <v>191</v>
      </c>
      <c r="S11" s="83"/>
      <c r="T11" s="92" t="s">
        <v>214</v>
      </c>
      <c r="U11" s="92"/>
      <c r="V11" s="92"/>
      <c r="W11" s="92"/>
      <c r="X11" s="92" t="s">
        <v>215</v>
      </c>
      <c r="Y11" s="92" t="s">
        <v>193</v>
      </c>
      <c r="Z11" s="92"/>
      <c r="AA11" s="89"/>
      <c r="AB11" s="89"/>
      <c r="AC11" s="102" t="s">
        <v>195</v>
      </c>
      <c r="AD11" s="89"/>
      <c r="AE11" s="83"/>
      <c r="AF11" s="92" t="s">
        <v>139</v>
      </c>
      <c r="AG11" s="86">
        <v>46062</v>
      </c>
      <c r="AH11" s="84" t="s">
        <v>70</v>
      </c>
      <c r="AI11" s="92" t="s">
        <v>140</v>
      </c>
      <c r="AJ11" s="89"/>
    </row>
    <row r="12" spans="1:48" ht="15.75" customHeight="1" x14ac:dyDescent="0.2">
      <c r="A12" s="78">
        <v>11</v>
      </c>
      <c r="B12" s="79">
        <v>45886</v>
      </c>
      <c r="C12" s="80">
        <v>6</v>
      </c>
      <c r="D12" s="44"/>
      <c r="E12" s="81" t="str">
        <f ca="1">IFERROR(__xludf.DUMMYFUNCTION("IF(G12="""","""",FILTER(Especie!$A$2:$A$982,Especie!$H$2:$H$982=G12))"),"FPVA_002")</f>
        <v>FPVA_002</v>
      </c>
      <c r="F12" s="48" t="s">
        <v>166</v>
      </c>
      <c r="G12" s="90" t="s">
        <v>167</v>
      </c>
      <c r="H12" s="91" t="s">
        <v>168</v>
      </c>
      <c r="I12" s="91"/>
      <c r="J12" s="48" t="s">
        <v>169</v>
      </c>
      <c r="L12" s="59" t="s">
        <v>216</v>
      </c>
      <c r="M12" s="97" t="s">
        <v>171</v>
      </c>
      <c r="N12" s="97" t="s">
        <v>147</v>
      </c>
      <c r="O12" s="97" t="s">
        <v>172</v>
      </c>
      <c r="P12" s="84" t="s">
        <v>217</v>
      </c>
      <c r="Q12" s="83">
        <v>1</v>
      </c>
      <c r="R12" s="83" t="s">
        <v>218</v>
      </c>
      <c r="S12" s="83"/>
      <c r="T12" s="102" t="s">
        <v>163</v>
      </c>
      <c r="U12" s="89"/>
      <c r="V12" s="89"/>
      <c r="W12" s="97"/>
      <c r="X12" s="84" t="s">
        <v>176</v>
      </c>
      <c r="Y12" s="84" t="s">
        <v>219</v>
      </c>
      <c r="Z12" s="94" t="s">
        <v>220</v>
      </c>
      <c r="AA12" s="89"/>
      <c r="AB12" s="89"/>
      <c r="AC12" s="102" t="s">
        <v>155</v>
      </c>
      <c r="AD12" s="89"/>
      <c r="AE12" s="83"/>
      <c r="AF12" s="92" t="s">
        <v>139</v>
      </c>
      <c r="AG12" s="86">
        <v>46062</v>
      </c>
      <c r="AH12" s="84" t="s">
        <v>70</v>
      </c>
      <c r="AI12" s="92" t="s">
        <v>140</v>
      </c>
      <c r="AJ12" s="89"/>
    </row>
    <row r="13" spans="1:48" ht="15.75" customHeight="1" x14ac:dyDescent="0.2">
      <c r="A13" s="78">
        <v>12</v>
      </c>
      <c r="B13" s="79">
        <v>45889</v>
      </c>
      <c r="C13" s="44">
        <v>5</v>
      </c>
      <c r="D13" s="80"/>
      <c r="E13" s="81" t="str">
        <f ca="1">IFERROR(__xludf.DUMMYFUNCTION("IF(G13="""","""",FILTER(Especie!$A$2:$A$982,Especie!$H$2:$H$982=G13))"),"FPVA_004")</f>
        <v>FPVA_004</v>
      </c>
      <c r="F13" s="48" t="s">
        <v>124</v>
      </c>
      <c r="G13" s="82" t="s">
        <v>221</v>
      </c>
      <c r="H13" s="48" t="s">
        <v>222</v>
      </c>
      <c r="I13" s="48"/>
      <c r="J13" s="48" t="s">
        <v>144</v>
      </c>
      <c r="L13" s="96" t="s">
        <v>223</v>
      </c>
      <c r="M13" s="92" t="s">
        <v>146</v>
      </c>
      <c r="N13" s="92" t="s">
        <v>147</v>
      </c>
      <c r="O13" s="93" t="s">
        <v>148</v>
      </c>
      <c r="P13" s="84" t="s">
        <v>149</v>
      </c>
      <c r="Q13" s="83">
        <v>500</v>
      </c>
      <c r="R13" s="83" t="s">
        <v>186</v>
      </c>
      <c r="S13" s="83"/>
      <c r="T13" s="92" t="s">
        <v>151</v>
      </c>
      <c r="U13" s="92"/>
      <c r="V13" s="92"/>
      <c r="W13" s="92"/>
      <c r="X13" s="92" t="s">
        <v>135</v>
      </c>
      <c r="Y13" s="93" t="s">
        <v>224</v>
      </c>
      <c r="Z13" s="93"/>
      <c r="AA13" s="93"/>
      <c r="AB13" s="93"/>
      <c r="AC13" s="102" t="s">
        <v>195</v>
      </c>
      <c r="AD13" s="93"/>
      <c r="AE13" s="83"/>
      <c r="AF13" s="92" t="s">
        <v>139</v>
      </c>
      <c r="AG13" s="86">
        <v>46062</v>
      </c>
      <c r="AH13" s="84" t="s">
        <v>70</v>
      </c>
      <c r="AI13" s="92" t="s">
        <v>140</v>
      </c>
      <c r="AJ13" s="89"/>
    </row>
    <row r="14" spans="1:48" ht="15.75" customHeight="1" x14ac:dyDescent="0.2">
      <c r="A14" s="78">
        <v>13</v>
      </c>
      <c r="B14" s="79">
        <v>45889</v>
      </c>
      <c r="C14" s="44">
        <v>5</v>
      </c>
      <c r="D14" s="80"/>
      <c r="E14" s="81" t="str">
        <f ca="1">IFERROR(__xludf.DUMMYFUNCTION("IF(G14="""","""",FILTER(Especie!$A$2:$A$982,Especie!$H$2:$H$982=G14))"),"FPVA_004")</f>
        <v>FPVA_004</v>
      </c>
      <c r="F14" s="48" t="s">
        <v>124</v>
      </c>
      <c r="G14" s="82" t="s">
        <v>221</v>
      </c>
      <c r="H14" s="91" t="s">
        <v>222</v>
      </c>
      <c r="I14" s="91"/>
      <c r="J14" s="48" t="s">
        <v>144</v>
      </c>
      <c r="L14" s="85" t="s">
        <v>225</v>
      </c>
      <c r="M14" s="50" t="s">
        <v>146</v>
      </c>
      <c r="N14" s="97" t="s">
        <v>147</v>
      </c>
      <c r="O14" s="97" t="s">
        <v>148</v>
      </c>
      <c r="P14" s="97" t="s">
        <v>149</v>
      </c>
      <c r="Q14" s="83">
        <v>1</v>
      </c>
      <c r="R14" s="83" t="s">
        <v>191</v>
      </c>
      <c r="S14" s="83"/>
      <c r="T14" s="102" t="s">
        <v>226</v>
      </c>
      <c r="U14" s="89"/>
      <c r="V14" s="89"/>
      <c r="W14" s="97"/>
      <c r="X14" s="102" t="s">
        <v>227</v>
      </c>
      <c r="Y14" s="102" t="s">
        <v>193</v>
      </c>
      <c r="Z14" s="94" t="s">
        <v>194</v>
      </c>
      <c r="AA14" s="89"/>
      <c r="AB14" s="89"/>
      <c r="AC14" s="102" t="s">
        <v>195</v>
      </c>
      <c r="AD14" s="89"/>
      <c r="AE14" s="83"/>
      <c r="AF14" s="92" t="s">
        <v>139</v>
      </c>
      <c r="AG14" s="86">
        <v>46062</v>
      </c>
      <c r="AH14" s="84" t="s">
        <v>70</v>
      </c>
      <c r="AI14" s="92" t="s">
        <v>140</v>
      </c>
      <c r="AJ14" s="89"/>
    </row>
    <row r="15" spans="1:48" ht="15.75" customHeight="1" x14ac:dyDescent="0.2">
      <c r="A15" s="78">
        <v>14</v>
      </c>
      <c r="B15" s="79">
        <v>45891</v>
      </c>
      <c r="C15" s="44">
        <v>5</v>
      </c>
      <c r="D15" s="80"/>
      <c r="E15" s="81" t="str">
        <f ca="1">IFERROR(__xludf.DUMMYFUNCTION("IF(G15="""","""",FILTER(Especie!$A$2:$A$982,Especie!$H$2:$H$982=G15))"),"FPVA_008")</f>
        <v>FPVA_008</v>
      </c>
      <c r="F15" s="48" t="s">
        <v>124</v>
      </c>
      <c r="G15" s="82" t="s">
        <v>228</v>
      </c>
      <c r="H15" s="91" t="s">
        <v>229</v>
      </c>
      <c r="I15" s="91"/>
      <c r="J15" s="48" t="s">
        <v>144</v>
      </c>
      <c r="L15" s="85" t="s">
        <v>225</v>
      </c>
      <c r="M15" s="50" t="s">
        <v>146</v>
      </c>
      <c r="N15" s="97" t="s">
        <v>147</v>
      </c>
      <c r="O15" s="97" t="s">
        <v>148</v>
      </c>
      <c r="P15" s="97" t="s">
        <v>149</v>
      </c>
      <c r="Q15" s="83">
        <v>1</v>
      </c>
      <c r="R15" s="83" t="s">
        <v>191</v>
      </c>
      <c r="S15" s="83"/>
      <c r="T15" s="102" t="s">
        <v>226</v>
      </c>
      <c r="U15" s="89"/>
      <c r="V15" s="89"/>
      <c r="W15" s="97"/>
      <c r="X15" s="102" t="s">
        <v>230</v>
      </c>
      <c r="Y15" s="102" t="s">
        <v>193</v>
      </c>
      <c r="Z15" s="94" t="s">
        <v>231</v>
      </c>
      <c r="AA15" s="89"/>
      <c r="AB15" s="89"/>
      <c r="AC15" s="102" t="s">
        <v>195</v>
      </c>
      <c r="AD15" s="89"/>
      <c r="AE15" s="83"/>
      <c r="AF15" s="92" t="s">
        <v>139</v>
      </c>
      <c r="AG15" s="86">
        <v>46062</v>
      </c>
      <c r="AH15" s="84" t="s">
        <v>70</v>
      </c>
      <c r="AI15" s="92" t="s">
        <v>140</v>
      </c>
      <c r="AJ15" s="89"/>
    </row>
    <row r="16" spans="1:48" ht="15.75" customHeight="1" x14ac:dyDescent="0.2">
      <c r="A16" s="78">
        <v>15</v>
      </c>
      <c r="B16" s="79">
        <v>45892</v>
      </c>
      <c r="C16" s="44">
        <v>9</v>
      </c>
      <c r="D16" s="80"/>
      <c r="E16" s="81" t="str">
        <f ca="1">IFERROR(__xludf.DUMMYFUNCTION("IF(G16="""","""",FILTER(Especie!$A$2:$A$982,Especie!$H$2:$H$982=G16))"),"FPVA_009")</f>
        <v>FPVA_009</v>
      </c>
      <c r="F16" s="48" t="s">
        <v>124</v>
      </c>
      <c r="G16" s="82" t="s">
        <v>232</v>
      </c>
      <c r="H16" s="48" t="s">
        <v>233</v>
      </c>
      <c r="I16" s="48"/>
      <c r="J16" s="48" t="s">
        <v>234</v>
      </c>
      <c r="K16" s="59" t="s">
        <v>235</v>
      </c>
      <c r="L16" s="59" t="s">
        <v>236</v>
      </c>
      <c r="M16" s="50" t="s">
        <v>130</v>
      </c>
      <c r="N16" s="97" t="s">
        <v>147</v>
      </c>
      <c r="O16" s="97" t="s">
        <v>132</v>
      </c>
      <c r="P16" s="84" t="s">
        <v>237</v>
      </c>
      <c r="Q16" s="83">
        <v>1</v>
      </c>
      <c r="R16" s="83" t="s">
        <v>238</v>
      </c>
      <c r="S16" s="83"/>
      <c r="T16" s="84" t="s">
        <v>151</v>
      </c>
      <c r="U16" s="89"/>
      <c r="V16" s="89"/>
      <c r="W16" s="97"/>
      <c r="X16" s="84" t="s">
        <v>152</v>
      </c>
      <c r="Y16" s="89"/>
      <c r="Z16" s="84" t="s">
        <v>239</v>
      </c>
      <c r="AA16" s="89"/>
      <c r="AB16" s="89"/>
      <c r="AC16" s="89"/>
      <c r="AD16" s="89"/>
      <c r="AE16" s="83"/>
      <c r="AF16" s="92" t="s">
        <v>139</v>
      </c>
      <c r="AG16" s="86">
        <v>46062</v>
      </c>
      <c r="AH16" s="84" t="s">
        <v>70</v>
      </c>
      <c r="AI16" s="92" t="s">
        <v>140</v>
      </c>
      <c r="AJ16" s="89"/>
    </row>
    <row r="17" spans="1:36" ht="15.75" customHeight="1" x14ac:dyDescent="0.2">
      <c r="A17" s="78">
        <v>16</v>
      </c>
      <c r="B17" s="79">
        <v>45893</v>
      </c>
      <c r="C17" s="44">
        <v>1</v>
      </c>
      <c r="D17" s="80"/>
      <c r="E17" s="81" t="str">
        <f ca="1">IFERROR(__xludf.DUMMYFUNCTION("IF(G17="""","""",FILTER(Especie!$A$2:$A$982,Especie!$H$2:$H$982=G17))"),"FPVA_009")</f>
        <v>FPVA_009</v>
      </c>
      <c r="F17" s="48" t="s">
        <v>124</v>
      </c>
      <c r="G17" s="82" t="s">
        <v>232</v>
      </c>
      <c r="H17" s="48" t="s">
        <v>233</v>
      </c>
      <c r="I17" s="48"/>
      <c r="J17" s="48" t="s">
        <v>127</v>
      </c>
      <c r="K17" s="59" t="s">
        <v>128</v>
      </c>
      <c r="L17" s="105" t="s">
        <v>129</v>
      </c>
      <c r="M17" s="50" t="s">
        <v>130</v>
      </c>
      <c r="N17" s="97" t="s">
        <v>147</v>
      </c>
      <c r="O17" s="97" t="s">
        <v>132</v>
      </c>
      <c r="P17" s="84" t="s">
        <v>133</v>
      </c>
      <c r="Q17" s="83">
        <v>50</v>
      </c>
      <c r="R17" s="83" t="s">
        <v>174</v>
      </c>
      <c r="S17" s="83"/>
      <c r="T17" s="84" t="s">
        <v>151</v>
      </c>
      <c r="U17" s="89"/>
      <c r="V17" s="89"/>
      <c r="W17" s="97"/>
      <c r="X17" s="84" t="s">
        <v>152</v>
      </c>
      <c r="Y17" s="84" t="s">
        <v>136</v>
      </c>
      <c r="Z17" s="84" t="s">
        <v>240</v>
      </c>
      <c r="AA17" s="89"/>
      <c r="AB17" s="89"/>
      <c r="AC17" s="84" t="s">
        <v>138</v>
      </c>
      <c r="AD17" s="89"/>
      <c r="AE17" s="83"/>
      <c r="AF17" s="92" t="s">
        <v>139</v>
      </c>
      <c r="AG17" s="86">
        <v>46062</v>
      </c>
      <c r="AH17" s="84" t="s">
        <v>70</v>
      </c>
      <c r="AI17" s="92" t="s">
        <v>140</v>
      </c>
      <c r="AJ17" s="89"/>
    </row>
    <row r="18" spans="1:36" ht="15.75" customHeight="1" x14ac:dyDescent="0.2">
      <c r="A18" s="78">
        <v>17</v>
      </c>
      <c r="B18" s="79">
        <v>45900</v>
      </c>
      <c r="C18" s="44">
        <v>12</v>
      </c>
      <c r="D18" s="80"/>
      <c r="E18" s="81" t="str">
        <f ca="1">IFERROR(__xludf.DUMMYFUNCTION("IF(G18="""","""",FILTER(Especie!$A$2:$A$982,Especie!$H$2:$H$982=G18))"),"FPVA_011")</f>
        <v>FPVA_011</v>
      </c>
      <c r="F18" s="48" t="s">
        <v>124</v>
      </c>
      <c r="G18" s="104" t="s">
        <v>241</v>
      </c>
      <c r="H18" s="48" t="s">
        <v>242</v>
      </c>
      <c r="I18" s="48"/>
      <c r="J18" s="48" t="s">
        <v>127</v>
      </c>
      <c r="K18" s="59" t="s">
        <v>128</v>
      </c>
      <c r="L18" s="105" t="s">
        <v>129</v>
      </c>
      <c r="M18" s="50" t="s">
        <v>130</v>
      </c>
      <c r="N18" s="97" t="s">
        <v>131</v>
      </c>
      <c r="O18" s="97" t="s">
        <v>132</v>
      </c>
      <c r="P18" s="84" t="s">
        <v>133</v>
      </c>
      <c r="Q18" s="83">
        <v>2</v>
      </c>
      <c r="R18" s="83" t="s">
        <v>134</v>
      </c>
      <c r="S18" s="83"/>
      <c r="T18" s="84" t="s">
        <v>151</v>
      </c>
      <c r="U18" s="89"/>
      <c r="V18" s="89"/>
      <c r="W18" s="97"/>
      <c r="X18" s="84" t="s">
        <v>200</v>
      </c>
      <c r="Y18" s="84" t="s">
        <v>136</v>
      </c>
      <c r="Z18" s="94" t="s">
        <v>137</v>
      </c>
      <c r="AA18" s="89"/>
      <c r="AB18" s="89"/>
      <c r="AC18" s="84" t="s">
        <v>165</v>
      </c>
      <c r="AD18" s="89"/>
      <c r="AE18" s="83"/>
      <c r="AF18" s="92" t="s">
        <v>139</v>
      </c>
      <c r="AG18" s="86">
        <v>46062</v>
      </c>
      <c r="AH18" s="84" t="s">
        <v>70</v>
      </c>
      <c r="AI18" s="92" t="s">
        <v>140</v>
      </c>
      <c r="AJ18" s="89"/>
    </row>
    <row r="19" spans="1:36" ht="15.75" customHeight="1" x14ac:dyDescent="0.2">
      <c r="A19" s="78">
        <v>18</v>
      </c>
      <c r="B19" s="79">
        <v>45901</v>
      </c>
      <c r="C19" s="44">
        <v>10</v>
      </c>
      <c r="D19" s="80"/>
      <c r="E19" s="81" t="str">
        <f ca="1">IFERROR(__xludf.DUMMYFUNCTION("IF(G19="""","""",FILTER(Especie!$A$2:$A$982,Especie!$H$2:$H$982=G19))"),"FPVA_012")</f>
        <v>FPVA_012</v>
      </c>
      <c r="F19" s="48" t="s">
        <v>124</v>
      </c>
      <c r="G19" s="90" t="s">
        <v>125</v>
      </c>
      <c r="H19" s="48" t="s">
        <v>243</v>
      </c>
      <c r="I19" s="48"/>
      <c r="J19" s="48" t="s">
        <v>127</v>
      </c>
      <c r="K19" s="59" t="s">
        <v>128</v>
      </c>
      <c r="M19" s="97" t="s">
        <v>130</v>
      </c>
      <c r="N19" s="97" t="s">
        <v>131</v>
      </c>
      <c r="O19" s="97" t="s">
        <v>161</v>
      </c>
      <c r="P19" s="84" t="s">
        <v>133</v>
      </c>
      <c r="Q19" s="83">
        <v>2</v>
      </c>
      <c r="R19" s="83" t="s">
        <v>134</v>
      </c>
      <c r="S19" s="83"/>
      <c r="T19" s="84" t="s">
        <v>151</v>
      </c>
      <c r="U19" s="89"/>
      <c r="V19" s="89"/>
      <c r="W19" s="97"/>
      <c r="X19" s="84" t="s">
        <v>135</v>
      </c>
      <c r="Y19" s="89" t="s">
        <v>136</v>
      </c>
      <c r="Z19" s="89" t="s">
        <v>244</v>
      </c>
      <c r="AA19" s="89"/>
      <c r="AB19" s="89"/>
      <c r="AC19" s="89" t="s">
        <v>138</v>
      </c>
      <c r="AD19" s="89"/>
      <c r="AE19" s="83"/>
      <c r="AF19" s="92" t="s">
        <v>139</v>
      </c>
      <c r="AG19" s="86">
        <v>46162</v>
      </c>
      <c r="AH19" s="84" t="s">
        <v>70</v>
      </c>
      <c r="AI19" s="92" t="s">
        <v>140</v>
      </c>
      <c r="AJ19" s="89"/>
    </row>
    <row r="20" spans="1:36" ht="15.75" customHeight="1" x14ac:dyDescent="0.2">
      <c r="A20" s="78">
        <v>19</v>
      </c>
      <c r="B20" s="79">
        <v>45901</v>
      </c>
      <c r="C20" s="44">
        <v>15</v>
      </c>
      <c r="D20" s="44"/>
      <c r="E20" s="81" t="str">
        <f ca="1">IFERROR(__xludf.DUMMYFUNCTION("IF(G20="""","""",FILTER(Especie!$A$2:$A$982,Especie!$H$2:$H$982=G20))"),"FPVA_011")</f>
        <v>FPVA_011</v>
      </c>
      <c r="F20" s="59" t="s">
        <v>124</v>
      </c>
      <c r="G20" s="87" t="s">
        <v>241</v>
      </c>
      <c r="H20" s="88" t="s">
        <v>242</v>
      </c>
      <c r="J20" s="59" t="s">
        <v>127</v>
      </c>
      <c r="K20" s="59" t="s">
        <v>128</v>
      </c>
      <c r="M20" s="84" t="s">
        <v>245</v>
      </c>
      <c r="N20" s="84" t="s">
        <v>131</v>
      </c>
      <c r="O20" s="84" t="s">
        <v>161</v>
      </c>
      <c r="P20" s="84" t="s">
        <v>133</v>
      </c>
      <c r="Q20" s="89">
        <v>2</v>
      </c>
      <c r="R20" s="84" t="s">
        <v>134</v>
      </c>
      <c r="S20" s="89"/>
      <c r="T20" s="84" t="s">
        <v>151</v>
      </c>
      <c r="U20" s="89"/>
      <c r="V20" s="89"/>
      <c r="W20" s="84"/>
      <c r="X20" s="84" t="s">
        <v>215</v>
      </c>
      <c r="Y20" s="89" t="s">
        <v>246</v>
      </c>
      <c r="Z20" s="89" t="s">
        <v>247</v>
      </c>
      <c r="AA20" s="89"/>
      <c r="AB20" s="89"/>
      <c r="AC20" s="89" t="s">
        <v>165</v>
      </c>
      <c r="AD20" s="89"/>
      <c r="AE20" s="83"/>
      <c r="AF20" s="92" t="s">
        <v>139</v>
      </c>
      <c r="AG20" s="86">
        <v>46162</v>
      </c>
      <c r="AH20" s="84" t="s">
        <v>70</v>
      </c>
      <c r="AI20" s="92" t="s">
        <v>140</v>
      </c>
      <c r="AJ20" s="89"/>
    </row>
    <row r="21" spans="1:36" ht="15.75" customHeight="1" x14ac:dyDescent="0.2">
      <c r="A21" s="78">
        <v>20</v>
      </c>
      <c r="B21" s="79">
        <v>45902</v>
      </c>
      <c r="C21" s="80">
        <v>8</v>
      </c>
      <c r="D21" s="80"/>
      <c r="E21" s="81" t="str">
        <f ca="1">IFERROR(__xludf.DUMMYFUNCTION("IF(G21="""","""",FILTER(Especie!$A$2:$A$982,Especie!$H$2:$H$982=G21))"),"FPVA_019")</f>
        <v>FPVA_019</v>
      </c>
      <c r="F21" s="48" t="s">
        <v>124</v>
      </c>
      <c r="G21" s="104" t="s">
        <v>248</v>
      </c>
      <c r="H21" s="48" t="s">
        <v>249</v>
      </c>
      <c r="I21" s="48"/>
      <c r="J21" s="48" t="s">
        <v>144</v>
      </c>
      <c r="L21" s="59" t="s">
        <v>250</v>
      </c>
      <c r="M21" s="50" t="s">
        <v>146</v>
      </c>
      <c r="N21" s="97" t="s">
        <v>147</v>
      </c>
      <c r="O21" s="97" t="s">
        <v>161</v>
      </c>
      <c r="P21" s="84" t="s">
        <v>133</v>
      </c>
      <c r="Q21" s="83" t="s">
        <v>251</v>
      </c>
      <c r="R21" s="83" t="s">
        <v>186</v>
      </c>
      <c r="S21" s="83"/>
      <c r="T21" s="84" t="s">
        <v>214</v>
      </c>
      <c r="U21" s="89"/>
      <c r="V21" s="89"/>
      <c r="W21" s="97"/>
      <c r="X21" s="84" t="s">
        <v>252</v>
      </c>
      <c r="Y21" s="89"/>
      <c r="Z21" s="84" t="s">
        <v>253</v>
      </c>
      <c r="AA21" s="89"/>
      <c r="AB21" s="89"/>
      <c r="AC21" s="84" t="s">
        <v>195</v>
      </c>
      <c r="AD21" s="89"/>
      <c r="AE21" s="83"/>
      <c r="AF21" s="92" t="s">
        <v>139</v>
      </c>
      <c r="AG21" s="86">
        <v>46062</v>
      </c>
      <c r="AH21" s="84" t="s">
        <v>70</v>
      </c>
      <c r="AI21" s="92" t="s">
        <v>140</v>
      </c>
      <c r="AJ21" s="89"/>
    </row>
    <row r="22" spans="1:36" ht="15.75" customHeight="1" x14ac:dyDescent="0.2">
      <c r="A22" s="78">
        <v>21</v>
      </c>
      <c r="B22" s="79">
        <v>45902</v>
      </c>
      <c r="C22" s="44">
        <v>1</v>
      </c>
      <c r="D22" s="80"/>
      <c r="E22" s="81" t="str">
        <f ca="1">IFERROR(__xludf.DUMMYFUNCTION("IF(G22="""","""",FILTER(Especie!$A$2:$A$982,Especie!$H$2:$H$982=G22))"),"FPVA_001")</f>
        <v>FPVA_001</v>
      </c>
      <c r="F22" s="48" t="s">
        <v>124</v>
      </c>
      <c r="G22" s="82" t="s">
        <v>141</v>
      </c>
      <c r="H22" s="48" t="s">
        <v>142</v>
      </c>
      <c r="I22" s="48" t="s">
        <v>143</v>
      </c>
      <c r="J22" s="48" t="s">
        <v>144</v>
      </c>
      <c r="L22" s="59" t="s">
        <v>211</v>
      </c>
      <c r="M22" s="50" t="s">
        <v>146</v>
      </c>
      <c r="N22" s="97" t="s">
        <v>147</v>
      </c>
      <c r="O22" s="97" t="s">
        <v>148</v>
      </c>
      <c r="P22" s="84" t="s">
        <v>149</v>
      </c>
      <c r="Q22" s="83">
        <v>5</v>
      </c>
      <c r="R22" s="83" t="s">
        <v>212</v>
      </c>
      <c r="S22" s="83"/>
      <c r="T22" s="84" t="s">
        <v>151</v>
      </c>
      <c r="U22" s="89"/>
      <c r="V22" s="89"/>
      <c r="W22" s="97"/>
      <c r="X22" s="84" t="s">
        <v>152</v>
      </c>
      <c r="Y22" s="84" t="s">
        <v>254</v>
      </c>
      <c r="Z22" s="84" t="s">
        <v>255</v>
      </c>
      <c r="AA22" s="89"/>
      <c r="AB22" s="89"/>
      <c r="AC22" s="84" t="s">
        <v>256</v>
      </c>
      <c r="AD22" s="89"/>
      <c r="AE22" s="83"/>
      <c r="AF22" s="92" t="s">
        <v>139</v>
      </c>
      <c r="AG22" s="86">
        <v>46062</v>
      </c>
      <c r="AH22" s="84" t="s">
        <v>70</v>
      </c>
      <c r="AI22" s="92" t="s">
        <v>140</v>
      </c>
      <c r="AJ22" s="89"/>
    </row>
    <row r="23" spans="1:36" ht="15.75" customHeight="1" x14ac:dyDescent="0.2">
      <c r="A23" s="78">
        <v>22</v>
      </c>
      <c r="B23" s="79">
        <v>45902</v>
      </c>
      <c r="C23" s="44">
        <v>6</v>
      </c>
      <c r="D23" s="44"/>
      <c r="E23" s="81" t="str">
        <f ca="1">IFERROR(__xludf.DUMMYFUNCTION("IF(G23="""","""",FILTER(Especie!$A$2:$A$982,Especie!$H$2:$H$982=G23))"),"FPVA_015")</f>
        <v>FPVA_015</v>
      </c>
      <c r="F23" s="98" t="s">
        <v>257</v>
      </c>
      <c r="G23" s="90" t="s">
        <v>258</v>
      </c>
      <c r="H23" s="48" t="s">
        <v>259</v>
      </c>
      <c r="I23" s="48"/>
      <c r="J23" s="48" t="s">
        <v>169</v>
      </c>
      <c r="L23" s="59" t="s">
        <v>260</v>
      </c>
      <c r="M23" s="50" t="s">
        <v>261</v>
      </c>
      <c r="N23" s="97" t="s">
        <v>147</v>
      </c>
      <c r="O23" s="97" t="s">
        <v>262</v>
      </c>
      <c r="P23" s="84" t="s">
        <v>263</v>
      </c>
      <c r="Q23" s="83">
        <v>12</v>
      </c>
      <c r="R23" s="83" t="s">
        <v>174</v>
      </c>
      <c r="S23" s="83"/>
      <c r="T23" s="84" t="s">
        <v>151</v>
      </c>
      <c r="U23" s="89"/>
      <c r="V23" s="89"/>
      <c r="W23" s="97"/>
      <c r="X23" s="84" t="s">
        <v>200</v>
      </c>
      <c r="Y23" s="84" t="s">
        <v>264</v>
      </c>
      <c r="Z23" s="94" t="s">
        <v>265</v>
      </c>
      <c r="AA23" s="89"/>
      <c r="AB23" s="89"/>
      <c r="AC23" s="84" t="s">
        <v>138</v>
      </c>
      <c r="AD23" s="89"/>
      <c r="AE23" s="83"/>
      <c r="AF23" s="92" t="s">
        <v>139</v>
      </c>
      <c r="AG23" s="86">
        <v>46062</v>
      </c>
      <c r="AH23" s="84" t="s">
        <v>70</v>
      </c>
      <c r="AI23" s="92" t="s">
        <v>140</v>
      </c>
      <c r="AJ23" s="89"/>
    </row>
    <row r="24" spans="1:36" ht="16.5" customHeight="1" x14ac:dyDescent="0.2">
      <c r="A24" s="78">
        <v>23</v>
      </c>
      <c r="B24" s="79">
        <v>45902</v>
      </c>
      <c r="C24" s="44">
        <v>4</v>
      </c>
      <c r="D24" s="44"/>
      <c r="E24" s="81" t="str">
        <f ca="1">IFERROR(__xludf.DUMMYFUNCTION("IF(G24="""","""",FILTER(Especie!$A$2:$A$982,Especie!$H$2:$H$982=G24))"),"FPVA_058")</f>
        <v>FPVA_058</v>
      </c>
      <c r="F24" s="48" t="s">
        <v>124</v>
      </c>
      <c r="G24" s="104" t="s">
        <v>266</v>
      </c>
      <c r="H24" s="106" t="s">
        <v>267</v>
      </c>
      <c r="I24" s="48"/>
      <c r="J24" s="48" t="s">
        <v>169</v>
      </c>
      <c r="L24" s="59" t="s">
        <v>268</v>
      </c>
      <c r="M24" s="50" t="s">
        <v>269</v>
      </c>
      <c r="N24" s="97" t="s">
        <v>270</v>
      </c>
      <c r="O24" s="97" t="s">
        <v>161</v>
      </c>
      <c r="P24" s="84" t="s">
        <v>271</v>
      </c>
      <c r="Q24" s="101" t="s">
        <v>207</v>
      </c>
      <c r="R24" s="83"/>
      <c r="S24" s="83"/>
      <c r="T24" s="84" t="s">
        <v>192</v>
      </c>
      <c r="U24" s="89"/>
      <c r="V24" s="89"/>
      <c r="W24" s="97"/>
      <c r="X24" s="84" t="s">
        <v>152</v>
      </c>
      <c r="Y24" s="84" t="s">
        <v>272</v>
      </c>
      <c r="Z24" s="84"/>
      <c r="AA24" s="89"/>
      <c r="AB24" s="89"/>
      <c r="AC24" s="84" t="s">
        <v>273</v>
      </c>
      <c r="AD24" s="89"/>
      <c r="AE24" s="83"/>
      <c r="AF24" s="92" t="s">
        <v>139</v>
      </c>
      <c r="AG24" s="86">
        <v>46062</v>
      </c>
      <c r="AH24" s="84" t="s">
        <v>70</v>
      </c>
      <c r="AI24" s="92" t="s">
        <v>140</v>
      </c>
      <c r="AJ24" s="89"/>
    </row>
    <row r="25" spans="1:36" ht="15.75" customHeight="1" x14ac:dyDescent="0.2">
      <c r="A25" s="78">
        <v>24</v>
      </c>
      <c r="B25" s="79">
        <v>45902</v>
      </c>
      <c r="C25" s="44">
        <v>15</v>
      </c>
      <c r="D25" s="44"/>
      <c r="E25" s="81" t="str">
        <f ca="1">IFERROR(__xludf.DUMMYFUNCTION("IF(G25="""","""",FILTER(Especie!$A$2:$A$982,Especie!$H$2:$H$982=G25))"),"FPVA_011")</f>
        <v>FPVA_011</v>
      </c>
      <c r="F25" s="48" t="s">
        <v>124</v>
      </c>
      <c r="G25" s="104" t="s">
        <v>241</v>
      </c>
      <c r="H25" s="48" t="s">
        <v>242</v>
      </c>
      <c r="I25" s="48"/>
      <c r="J25" s="48" t="s">
        <v>127</v>
      </c>
      <c r="K25" s="59" t="s">
        <v>128</v>
      </c>
      <c r="L25" s="105" t="s">
        <v>129</v>
      </c>
      <c r="M25" s="50" t="s">
        <v>130</v>
      </c>
      <c r="N25" s="97" t="s">
        <v>131</v>
      </c>
      <c r="O25" s="97" t="s">
        <v>132</v>
      </c>
      <c r="P25" s="84" t="s">
        <v>133</v>
      </c>
      <c r="Q25" s="83">
        <v>2</v>
      </c>
      <c r="R25" s="83" t="s">
        <v>134</v>
      </c>
      <c r="S25" s="83"/>
      <c r="T25" s="84" t="s">
        <v>151</v>
      </c>
      <c r="U25" s="89"/>
      <c r="V25" s="89"/>
      <c r="W25" s="97"/>
      <c r="X25" s="84" t="s">
        <v>215</v>
      </c>
      <c r="Y25" s="84" t="s">
        <v>136</v>
      </c>
      <c r="Z25" s="94" t="s">
        <v>274</v>
      </c>
      <c r="AA25" s="89"/>
      <c r="AB25" s="89"/>
      <c r="AC25" s="84" t="s">
        <v>165</v>
      </c>
      <c r="AD25" s="89"/>
      <c r="AE25" s="83"/>
      <c r="AF25" s="92" t="s">
        <v>139</v>
      </c>
      <c r="AG25" s="86">
        <v>46062</v>
      </c>
      <c r="AH25" s="84" t="s">
        <v>70</v>
      </c>
      <c r="AI25" s="92" t="s">
        <v>140</v>
      </c>
      <c r="AJ25" s="89"/>
    </row>
    <row r="26" spans="1:36" ht="15.75" customHeight="1" x14ac:dyDescent="0.2">
      <c r="A26" s="78">
        <v>25</v>
      </c>
      <c r="B26" s="79">
        <v>45903</v>
      </c>
      <c r="C26" s="44">
        <v>13</v>
      </c>
      <c r="D26" s="44"/>
      <c r="E26" s="81" t="str">
        <f ca="1">IFERROR(__xludf.DUMMYFUNCTION("IF(G26="""","""",FILTER(Especie!$A$2:$A$982,Especie!$H$2:$H$982=G26))"),"FPVA_012")</f>
        <v>FPVA_012</v>
      </c>
      <c r="F26" s="48" t="s">
        <v>124</v>
      </c>
      <c r="G26" s="82" t="s">
        <v>125</v>
      </c>
      <c r="H26" s="48" t="s">
        <v>126</v>
      </c>
      <c r="I26" s="48"/>
      <c r="J26" s="48" t="s">
        <v>127</v>
      </c>
      <c r="K26" s="59" t="s">
        <v>128</v>
      </c>
      <c r="L26" s="59" t="s">
        <v>128</v>
      </c>
      <c r="M26" s="50" t="s">
        <v>275</v>
      </c>
      <c r="N26" s="97" t="s">
        <v>147</v>
      </c>
      <c r="O26" s="97" t="s">
        <v>132</v>
      </c>
      <c r="P26" s="84" t="s">
        <v>133</v>
      </c>
      <c r="Q26" s="83">
        <v>3</v>
      </c>
      <c r="R26" s="83" t="s">
        <v>134</v>
      </c>
      <c r="S26" s="83"/>
      <c r="T26" s="84" t="s">
        <v>151</v>
      </c>
      <c r="U26" s="89"/>
      <c r="V26" s="89"/>
      <c r="W26" s="97"/>
      <c r="X26" s="84" t="s">
        <v>135</v>
      </c>
      <c r="Y26" s="84" t="s">
        <v>276</v>
      </c>
      <c r="Z26" s="84" t="s">
        <v>277</v>
      </c>
      <c r="AA26" s="89"/>
      <c r="AB26" s="89"/>
      <c r="AC26" s="84" t="s">
        <v>138</v>
      </c>
      <c r="AD26" s="89"/>
      <c r="AE26" s="83"/>
      <c r="AF26" s="92" t="s">
        <v>139</v>
      </c>
      <c r="AG26" s="86">
        <v>46062</v>
      </c>
      <c r="AH26" s="84" t="s">
        <v>70</v>
      </c>
      <c r="AI26" s="92" t="s">
        <v>140</v>
      </c>
      <c r="AJ26" s="89"/>
    </row>
    <row r="27" spans="1:36" ht="15.75" customHeight="1" x14ac:dyDescent="0.2">
      <c r="A27" s="78">
        <v>26</v>
      </c>
      <c r="B27" s="79">
        <v>45903</v>
      </c>
      <c r="C27" s="44">
        <v>13</v>
      </c>
      <c r="D27" s="44"/>
      <c r="E27" s="81" t="str">
        <f ca="1">IFERROR(__xludf.DUMMYFUNCTION("IF(G27="""","""",FILTER(Especie!$A$2:$A$982,Especie!$H$2:$H$982=G27))"),"FPVA_012")</f>
        <v>FPVA_012</v>
      </c>
      <c r="F27" s="48" t="s">
        <v>124</v>
      </c>
      <c r="G27" s="82" t="s">
        <v>125</v>
      </c>
      <c r="H27" s="48" t="s">
        <v>126</v>
      </c>
      <c r="I27" s="48"/>
      <c r="J27" s="48" t="s">
        <v>127</v>
      </c>
      <c r="K27" s="59" t="s">
        <v>128</v>
      </c>
      <c r="L27" s="59" t="s">
        <v>128</v>
      </c>
      <c r="M27" s="50" t="s">
        <v>275</v>
      </c>
      <c r="N27" s="97" t="s">
        <v>147</v>
      </c>
      <c r="O27" s="97" t="s">
        <v>132</v>
      </c>
      <c r="P27" s="84" t="s">
        <v>133</v>
      </c>
      <c r="Q27" s="83">
        <v>3</v>
      </c>
      <c r="R27" s="83" t="s">
        <v>134</v>
      </c>
      <c r="S27" s="83"/>
      <c r="T27" s="84" t="s">
        <v>151</v>
      </c>
      <c r="U27" s="89"/>
      <c r="V27" s="89"/>
      <c r="W27" s="97"/>
      <c r="X27" s="84" t="s">
        <v>135</v>
      </c>
      <c r="Y27" s="84" t="s">
        <v>276</v>
      </c>
      <c r="Z27" s="84" t="s">
        <v>277</v>
      </c>
      <c r="AA27" s="89"/>
      <c r="AB27" s="89"/>
      <c r="AC27" s="84" t="s">
        <v>138</v>
      </c>
      <c r="AD27" s="89"/>
      <c r="AE27" s="83"/>
      <c r="AF27" s="92" t="s">
        <v>139</v>
      </c>
      <c r="AG27" s="86">
        <v>46062</v>
      </c>
      <c r="AH27" s="84" t="s">
        <v>70</v>
      </c>
      <c r="AI27" s="92" t="s">
        <v>140</v>
      </c>
      <c r="AJ27" s="89"/>
    </row>
    <row r="28" spans="1:36" ht="15.75" customHeight="1" x14ac:dyDescent="0.2">
      <c r="A28" s="78">
        <v>27</v>
      </c>
      <c r="B28" s="79">
        <v>45903</v>
      </c>
      <c r="C28" s="44">
        <v>8</v>
      </c>
      <c r="D28" s="80"/>
      <c r="E28" s="81" t="str">
        <f ca="1">IFERROR(__xludf.DUMMYFUNCTION("IF(G28="""","""",FILTER(Especie!$A$2:$A$982,Especie!$H$2:$H$982=G28))"),"FPVA_024")</f>
        <v>FPVA_024</v>
      </c>
      <c r="F28" s="48" t="s">
        <v>124</v>
      </c>
      <c r="G28" s="104" t="s">
        <v>278</v>
      </c>
      <c r="H28" s="48" t="s">
        <v>279</v>
      </c>
      <c r="I28" s="48"/>
      <c r="J28" s="48" t="s">
        <v>144</v>
      </c>
      <c r="L28" s="59" t="s">
        <v>280</v>
      </c>
      <c r="M28" s="50" t="s">
        <v>146</v>
      </c>
      <c r="N28" s="92" t="s">
        <v>147</v>
      </c>
      <c r="O28" s="92" t="s">
        <v>148</v>
      </c>
      <c r="P28" s="92" t="s">
        <v>149</v>
      </c>
      <c r="Q28" s="83">
        <v>200</v>
      </c>
      <c r="R28" s="83" t="s">
        <v>186</v>
      </c>
      <c r="S28" s="83"/>
      <c r="T28" s="92" t="s">
        <v>226</v>
      </c>
      <c r="U28" s="92"/>
      <c r="V28" s="92"/>
      <c r="W28" s="97"/>
      <c r="X28" s="84" t="s">
        <v>135</v>
      </c>
      <c r="Y28" s="92" t="s">
        <v>193</v>
      </c>
      <c r="Z28" s="92" t="s">
        <v>281</v>
      </c>
      <c r="AA28" s="89"/>
      <c r="AB28" s="89"/>
      <c r="AC28" s="84" t="s">
        <v>195</v>
      </c>
      <c r="AD28" s="89"/>
      <c r="AE28" s="83"/>
      <c r="AF28" s="92" t="s">
        <v>139</v>
      </c>
      <c r="AG28" s="86">
        <v>46062</v>
      </c>
      <c r="AH28" s="84" t="s">
        <v>70</v>
      </c>
      <c r="AI28" s="92" t="s">
        <v>140</v>
      </c>
      <c r="AJ28" s="89"/>
    </row>
    <row r="29" spans="1:36" ht="15.75" customHeight="1" x14ac:dyDescent="0.2">
      <c r="A29" s="78">
        <v>28</v>
      </c>
      <c r="B29" s="79">
        <v>45903</v>
      </c>
      <c r="C29" s="44">
        <v>13</v>
      </c>
      <c r="D29" s="80"/>
      <c r="E29" s="81" t="str">
        <f ca="1">IFERROR(__xludf.DUMMYFUNCTION("IF(G29="""","""",FILTER(Especie!$A$2:$A$982,Especie!$H$2:$H$982=G29))"),"FPVA_012")</f>
        <v>FPVA_012</v>
      </c>
      <c r="F29" s="48" t="s">
        <v>124</v>
      </c>
      <c r="G29" s="90" t="s">
        <v>125</v>
      </c>
      <c r="H29" s="48" t="s">
        <v>243</v>
      </c>
      <c r="I29" s="48"/>
      <c r="J29" s="48" t="s">
        <v>127</v>
      </c>
      <c r="K29" s="59" t="s">
        <v>128</v>
      </c>
      <c r="M29" s="97" t="s">
        <v>275</v>
      </c>
      <c r="N29" s="97" t="s">
        <v>147</v>
      </c>
      <c r="O29" s="97" t="s">
        <v>161</v>
      </c>
      <c r="P29" s="84" t="s">
        <v>133</v>
      </c>
      <c r="Q29" s="83">
        <v>3</v>
      </c>
      <c r="R29" s="83" t="s">
        <v>134</v>
      </c>
      <c r="S29" s="83"/>
      <c r="T29" s="84" t="s">
        <v>151</v>
      </c>
      <c r="U29" s="89"/>
      <c r="V29" s="89"/>
      <c r="W29" s="97"/>
      <c r="X29" s="84" t="s">
        <v>135</v>
      </c>
      <c r="Y29" s="89" t="s">
        <v>246</v>
      </c>
      <c r="Z29" s="89" t="s">
        <v>282</v>
      </c>
      <c r="AA29" s="89"/>
      <c r="AB29" s="89"/>
      <c r="AC29" s="89" t="s">
        <v>138</v>
      </c>
      <c r="AD29" s="89"/>
      <c r="AE29" s="83"/>
      <c r="AF29" s="92" t="s">
        <v>139</v>
      </c>
      <c r="AG29" s="86">
        <v>46162</v>
      </c>
      <c r="AH29" s="84" t="s">
        <v>70</v>
      </c>
      <c r="AI29" s="92" t="s">
        <v>140</v>
      </c>
      <c r="AJ29" s="89"/>
    </row>
    <row r="30" spans="1:36" ht="15.75" customHeight="1" x14ac:dyDescent="0.2">
      <c r="A30" s="78">
        <v>29</v>
      </c>
      <c r="B30" s="79">
        <v>45903</v>
      </c>
      <c r="C30" s="44">
        <v>13</v>
      </c>
      <c r="D30" s="80"/>
      <c r="E30" s="81" t="str">
        <f ca="1">IFERROR(__xludf.DUMMYFUNCTION("IF(G30="""","""",FILTER(Especie!$A$2:$A$982,Especie!$H$2:$H$982=G30))"),"FPVA_012")</f>
        <v>FPVA_012</v>
      </c>
      <c r="F30" s="48" t="s">
        <v>124</v>
      </c>
      <c r="G30" s="90" t="s">
        <v>125</v>
      </c>
      <c r="H30" s="48" t="s">
        <v>283</v>
      </c>
      <c r="I30" s="48" t="s">
        <v>284</v>
      </c>
      <c r="J30" s="48" t="s">
        <v>127</v>
      </c>
      <c r="K30" s="59" t="s">
        <v>128</v>
      </c>
      <c r="M30" s="97" t="s">
        <v>275</v>
      </c>
      <c r="N30" s="97" t="s">
        <v>147</v>
      </c>
      <c r="O30" s="97" t="s">
        <v>161</v>
      </c>
      <c r="P30" s="84" t="s">
        <v>133</v>
      </c>
      <c r="Q30" s="83">
        <v>3</v>
      </c>
      <c r="R30" s="83" t="s">
        <v>134</v>
      </c>
      <c r="S30" s="83"/>
      <c r="T30" s="84" t="s">
        <v>151</v>
      </c>
      <c r="U30" s="89"/>
      <c r="V30" s="89"/>
      <c r="W30" s="97"/>
      <c r="X30" s="84" t="s">
        <v>135</v>
      </c>
      <c r="Y30" s="89" t="s">
        <v>246</v>
      </c>
      <c r="Z30" s="89" t="s">
        <v>282</v>
      </c>
      <c r="AA30" s="89"/>
      <c r="AB30" s="89"/>
      <c r="AC30" s="89" t="s">
        <v>138</v>
      </c>
      <c r="AD30" s="89"/>
      <c r="AE30" s="83"/>
      <c r="AF30" s="92" t="s">
        <v>139</v>
      </c>
      <c r="AG30" s="86">
        <v>46162</v>
      </c>
      <c r="AH30" s="84" t="s">
        <v>70</v>
      </c>
      <c r="AI30" s="92" t="s">
        <v>140</v>
      </c>
      <c r="AJ30" s="89"/>
    </row>
    <row r="31" spans="1:36" ht="15.75" customHeight="1" x14ac:dyDescent="0.2">
      <c r="A31" s="78">
        <v>30</v>
      </c>
      <c r="B31" s="79">
        <v>45904</v>
      </c>
      <c r="C31" s="44">
        <v>11</v>
      </c>
      <c r="D31" s="44"/>
      <c r="E31" s="81" t="str">
        <f ca="1">IFERROR(__xludf.DUMMYFUNCTION("IF(G31="""","""",FILTER(Especie!$A$2:$A$982,Especie!$H$2:$H$982=G31))"),"FPVA_017")</f>
        <v>FPVA_017</v>
      </c>
      <c r="F31" s="48" t="s">
        <v>124</v>
      </c>
      <c r="G31" s="104" t="s">
        <v>285</v>
      </c>
      <c r="H31" s="48" t="s">
        <v>286</v>
      </c>
      <c r="I31" s="48"/>
      <c r="J31" s="48" t="s">
        <v>144</v>
      </c>
      <c r="L31" s="59" t="s">
        <v>287</v>
      </c>
      <c r="M31" s="50" t="s">
        <v>160</v>
      </c>
      <c r="N31" s="97" t="s">
        <v>147</v>
      </c>
      <c r="O31" s="97" t="s">
        <v>148</v>
      </c>
      <c r="P31" s="84" t="s">
        <v>149</v>
      </c>
      <c r="Q31" s="101" t="s">
        <v>207</v>
      </c>
      <c r="R31" s="83"/>
      <c r="S31" s="83"/>
      <c r="T31" s="84" t="s">
        <v>163</v>
      </c>
      <c r="U31" s="89"/>
      <c r="V31" s="89"/>
      <c r="W31" s="97"/>
      <c r="X31" s="84" t="s">
        <v>252</v>
      </c>
      <c r="Y31" s="84" t="s">
        <v>288</v>
      </c>
      <c r="Z31" s="84" t="s">
        <v>289</v>
      </c>
      <c r="AA31" s="89"/>
      <c r="AB31" s="89"/>
      <c r="AC31" s="84" t="s">
        <v>256</v>
      </c>
      <c r="AD31" s="89"/>
      <c r="AE31" s="83"/>
      <c r="AF31" s="92" t="s">
        <v>139</v>
      </c>
      <c r="AG31" s="86">
        <v>46062</v>
      </c>
      <c r="AH31" s="84" t="s">
        <v>70</v>
      </c>
      <c r="AI31" s="92" t="s">
        <v>140</v>
      </c>
      <c r="AJ31" s="89"/>
    </row>
    <row r="32" spans="1:36" ht="15.75" customHeight="1" x14ac:dyDescent="0.2">
      <c r="A32" s="78">
        <v>31</v>
      </c>
      <c r="B32" s="79">
        <v>45904</v>
      </c>
      <c r="C32" s="44">
        <v>12</v>
      </c>
      <c r="D32" s="80"/>
      <c r="E32" s="81" t="str">
        <f ca="1">IFERROR(__xludf.DUMMYFUNCTION("IF(G32="""","""",FILTER(Especie!$A$2:$A$982,Especie!$H$2:$H$982=G32))"),"FPVA_007")</f>
        <v>FPVA_007</v>
      </c>
      <c r="F32" s="48" t="s">
        <v>166</v>
      </c>
      <c r="G32" s="100" t="s">
        <v>204</v>
      </c>
      <c r="H32" s="48" t="s">
        <v>205</v>
      </c>
      <c r="I32" s="48"/>
      <c r="J32" s="48" t="s">
        <v>169</v>
      </c>
      <c r="L32" s="59" t="s">
        <v>290</v>
      </c>
      <c r="M32" s="50" t="s">
        <v>171</v>
      </c>
      <c r="N32" s="97" t="s">
        <v>147</v>
      </c>
      <c r="O32" s="97" t="s">
        <v>172</v>
      </c>
      <c r="P32" s="84" t="s">
        <v>217</v>
      </c>
      <c r="Q32" s="83">
        <v>10</v>
      </c>
      <c r="R32" s="83" t="s">
        <v>218</v>
      </c>
      <c r="S32" s="83"/>
      <c r="T32" s="84" t="s">
        <v>175</v>
      </c>
      <c r="U32" s="89"/>
      <c r="V32" s="89"/>
      <c r="W32" s="97"/>
      <c r="X32" s="84" t="s">
        <v>176</v>
      </c>
      <c r="Y32" s="84" t="s">
        <v>291</v>
      </c>
      <c r="Z32" s="84" t="s">
        <v>292</v>
      </c>
      <c r="AA32" s="84" t="s">
        <v>293</v>
      </c>
      <c r="AB32" s="89"/>
      <c r="AC32" s="84" t="s">
        <v>165</v>
      </c>
      <c r="AD32" s="89"/>
      <c r="AE32" s="83"/>
      <c r="AF32" s="92" t="s">
        <v>139</v>
      </c>
      <c r="AG32" s="86">
        <v>46062</v>
      </c>
      <c r="AH32" s="84" t="s">
        <v>70</v>
      </c>
      <c r="AI32" s="92" t="s">
        <v>140</v>
      </c>
      <c r="AJ32" s="89"/>
    </row>
    <row r="33" spans="1:36" ht="15.75" customHeight="1" x14ac:dyDescent="0.2">
      <c r="A33" s="78">
        <v>32</v>
      </c>
      <c r="B33" s="79">
        <v>45904</v>
      </c>
      <c r="C33" s="44">
        <v>4</v>
      </c>
      <c r="D33" s="44"/>
      <c r="E33" s="81" t="str">
        <f ca="1">IFERROR(__xludf.DUMMYFUNCTION("IF(G33="""","""",FILTER(Especie!$A$2:$A$982,Especie!$H$2:$H$982=G33))"),"FPVA_007")</f>
        <v>FPVA_007</v>
      </c>
      <c r="F33" s="48" t="s">
        <v>166</v>
      </c>
      <c r="G33" s="100" t="s">
        <v>204</v>
      </c>
      <c r="H33" s="48" t="s">
        <v>205</v>
      </c>
      <c r="I33" s="48"/>
      <c r="J33" s="48" t="s">
        <v>169</v>
      </c>
      <c r="L33" s="59" t="s">
        <v>294</v>
      </c>
      <c r="M33" s="50" t="s">
        <v>171</v>
      </c>
      <c r="N33" s="97" t="s">
        <v>147</v>
      </c>
      <c r="O33" s="97" t="s">
        <v>172</v>
      </c>
      <c r="P33" s="84" t="s">
        <v>217</v>
      </c>
      <c r="Q33" s="83">
        <v>1</v>
      </c>
      <c r="R33" s="83" t="s">
        <v>295</v>
      </c>
      <c r="S33" s="83"/>
      <c r="T33" s="84" t="s">
        <v>151</v>
      </c>
      <c r="U33" s="89"/>
      <c r="V33" s="89"/>
      <c r="W33" s="97"/>
      <c r="X33" s="84" t="s">
        <v>176</v>
      </c>
      <c r="Y33" s="84" t="s">
        <v>296</v>
      </c>
      <c r="Z33" s="84" t="s">
        <v>297</v>
      </c>
      <c r="AA33" s="89"/>
      <c r="AB33" s="89"/>
      <c r="AC33" s="84" t="s">
        <v>298</v>
      </c>
      <c r="AD33" s="89"/>
      <c r="AE33" s="83"/>
      <c r="AF33" s="92" t="s">
        <v>139</v>
      </c>
      <c r="AG33" s="86">
        <v>46062</v>
      </c>
      <c r="AH33" s="84" t="s">
        <v>70</v>
      </c>
      <c r="AI33" s="92" t="s">
        <v>140</v>
      </c>
      <c r="AJ33" s="89"/>
    </row>
    <row r="34" spans="1:36" ht="15.75" customHeight="1" x14ac:dyDescent="0.2">
      <c r="A34" s="78">
        <v>33</v>
      </c>
      <c r="B34" s="79">
        <v>45904</v>
      </c>
      <c r="C34" s="44">
        <v>7</v>
      </c>
      <c r="D34" s="80"/>
      <c r="E34" s="81" t="str">
        <f ca="1">IFERROR(__xludf.DUMMYFUNCTION("IF(G34="""","""",FILTER(Especie!$A$2:$A$982,Especie!$H$2:$H$982=G34))"),"FPVA_027")</f>
        <v>FPVA_027</v>
      </c>
      <c r="F34" s="98" t="s">
        <v>257</v>
      </c>
      <c r="G34" s="90" t="s">
        <v>299</v>
      </c>
      <c r="H34" s="48" t="s">
        <v>300</v>
      </c>
      <c r="I34" s="48"/>
      <c r="J34" s="48" t="s">
        <v>169</v>
      </c>
      <c r="L34" s="59" t="s">
        <v>301</v>
      </c>
      <c r="M34" s="50" t="s">
        <v>261</v>
      </c>
      <c r="N34" s="97" t="s">
        <v>147</v>
      </c>
      <c r="O34" s="97" t="s">
        <v>262</v>
      </c>
      <c r="P34" s="84" t="s">
        <v>263</v>
      </c>
      <c r="Q34" s="83">
        <v>25</v>
      </c>
      <c r="R34" s="83" t="s">
        <v>295</v>
      </c>
      <c r="S34" s="83"/>
      <c r="T34" s="84" t="s">
        <v>151</v>
      </c>
      <c r="U34" s="89"/>
      <c r="V34" s="89"/>
      <c r="W34" s="97"/>
      <c r="X34" s="84" t="s">
        <v>152</v>
      </c>
      <c r="Y34" s="84" t="s">
        <v>302</v>
      </c>
      <c r="Z34" s="84" t="s">
        <v>303</v>
      </c>
      <c r="AA34" s="84" t="s">
        <v>304</v>
      </c>
      <c r="AB34" s="89"/>
      <c r="AC34" s="84" t="s">
        <v>138</v>
      </c>
      <c r="AD34" s="89"/>
      <c r="AE34" s="83"/>
      <c r="AF34" s="92" t="s">
        <v>139</v>
      </c>
      <c r="AG34" s="86">
        <v>46062</v>
      </c>
      <c r="AH34" s="84" t="s">
        <v>70</v>
      </c>
      <c r="AI34" s="92" t="s">
        <v>140</v>
      </c>
      <c r="AJ34" s="89"/>
    </row>
    <row r="35" spans="1:36" ht="15.75" customHeight="1" x14ac:dyDescent="0.2">
      <c r="A35" s="78">
        <v>34</v>
      </c>
      <c r="B35" s="79">
        <v>45904</v>
      </c>
      <c r="C35" s="44">
        <v>1</v>
      </c>
      <c r="D35" s="80"/>
      <c r="E35" s="81" t="str">
        <f ca="1">IFERROR(__xludf.DUMMYFUNCTION("IF(G35="""","""",FILTER(Especie!$A$2:$A$982,Especie!$H$2:$H$982=G35))"),"FPVA_026")</f>
        <v>FPVA_026</v>
      </c>
      <c r="F35" s="48" t="s">
        <v>124</v>
      </c>
      <c r="G35" s="107" t="s">
        <v>305</v>
      </c>
      <c r="H35" s="48" t="s">
        <v>306</v>
      </c>
      <c r="I35" s="48"/>
      <c r="J35" s="48" t="s">
        <v>144</v>
      </c>
      <c r="L35" s="59" t="s">
        <v>307</v>
      </c>
      <c r="M35" s="50" t="s">
        <v>146</v>
      </c>
      <c r="N35" s="97" t="s">
        <v>131</v>
      </c>
      <c r="O35" s="97" t="s">
        <v>161</v>
      </c>
      <c r="P35" s="84" t="s">
        <v>133</v>
      </c>
      <c r="Q35" s="83">
        <v>300</v>
      </c>
      <c r="R35" s="83" t="s">
        <v>186</v>
      </c>
      <c r="S35" s="83"/>
      <c r="T35" s="84" t="s">
        <v>151</v>
      </c>
      <c r="U35" s="89"/>
      <c r="V35" s="89"/>
      <c r="W35" s="97"/>
      <c r="X35" s="84" t="s">
        <v>152</v>
      </c>
      <c r="Y35" s="84" t="s">
        <v>193</v>
      </c>
      <c r="Z35" s="84" t="s">
        <v>308</v>
      </c>
      <c r="AA35" s="89"/>
      <c r="AB35" s="89"/>
      <c r="AC35" s="84" t="s">
        <v>138</v>
      </c>
      <c r="AD35" s="89"/>
      <c r="AE35" s="83"/>
      <c r="AF35" s="92" t="s">
        <v>139</v>
      </c>
      <c r="AG35" s="86">
        <v>46062</v>
      </c>
      <c r="AH35" s="84" t="s">
        <v>70</v>
      </c>
      <c r="AI35" s="92" t="s">
        <v>140</v>
      </c>
      <c r="AJ35" s="89"/>
    </row>
    <row r="36" spans="1:36" ht="15.75" customHeight="1" x14ac:dyDescent="0.2">
      <c r="A36" s="78">
        <v>35</v>
      </c>
      <c r="B36" s="79">
        <v>45904</v>
      </c>
      <c r="C36" s="44">
        <v>3</v>
      </c>
      <c r="D36" s="80"/>
      <c r="E36" s="81" t="str">
        <f ca="1">IFERROR(__xludf.DUMMYFUNCTION("IF(G36="""","""",FILTER(Especie!$A$2:$A$982,Especie!$H$2:$H$982=G36))"),"FPVA_025")</f>
        <v>FPVA_025</v>
      </c>
      <c r="F36" s="48" t="s">
        <v>124</v>
      </c>
      <c r="G36" s="104" t="s">
        <v>309</v>
      </c>
      <c r="H36" s="48" t="s">
        <v>310</v>
      </c>
      <c r="I36" s="48"/>
      <c r="J36" s="48" t="s">
        <v>144</v>
      </c>
      <c r="L36" s="59" t="s">
        <v>311</v>
      </c>
      <c r="M36" s="97" t="s">
        <v>185</v>
      </c>
      <c r="N36" s="97" t="s">
        <v>147</v>
      </c>
      <c r="O36" s="97" t="s">
        <v>161</v>
      </c>
      <c r="P36" s="84" t="s">
        <v>133</v>
      </c>
      <c r="Q36" s="83">
        <v>1</v>
      </c>
      <c r="R36" s="83" t="s">
        <v>174</v>
      </c>
      <c r="S36" s="83"/>
      <c r="T36" s="84" t="s">
        <v>175</v>
      </c>
      <c r="U36" s="89"/>
      <c r="V36" s="89"/>
      <c r="W36" s="97"/>
      <c r="X36" s="84" t="s">
        <v>135</v>
      </c>
      <c r="Y36" s="84" t="s">
        <v>312</v>
      </c>
      <c r="Z36" s="84" t="s">
        <v>313</v>
      </c>
      <c r="AA36" s="84"/>
      <c r="AB36" s="89"/>
      <c r="AC36" s="84" t="s">
        <v>155</v>
      </c>
      <c r="AD36" s="89"/>
      <c r="AE36" s="83"/>
      <c r="AF36" s="92" t="s">
        <v>139</v>
      </c>
      <c r="AG36" s="86">
        <v>46062</v>
      </c>
      <c r="AH36" s="84" t="s">
        <v>70</v>
      </c>
      <c r="AI36" s="92" t="s">
        <v>140</v>
      </c>
      <c r="AJ36" s="89"/>
    </row>
    <row r="37" spans="1:36" ht="15.75" customHeight="1" x14ac:dyDescent="0.2">
      <c r="A37" s="78">
        <v>36</v>
      </c>
      <c r="B37" s="79">
        <v>45906</v>
      </c>
      <c r="C37" s="44">
        <v>5</v>
      </c>
      <c r="D37" s="80"/>
      <c r="E37" s="81" t="str">
        <f ca="1">IFERROR(__xludf.DUMMYFUNCTION("IF(G37="""","""",FILTER(Especie!$A$2:$A$982,Especie!$H$2:$H$982=G37))"),"FPVA_011")</f>
        <v>FPVA_011</v>
      </c>
      <c r="F37" s="48" t="s">
        <v>124</v>
      </c>
      <c r="G37" s="104" t="s">
        <v>241</v>
      </c>
      <c r="H37" s="48" t="s">
        <v>242</v>
      </c>
      <c r="I37" s="48"/>
      <c r="J37" s="48" t="s">
        <v>127</v>
      </c>
      <c r="K37" s="59" t="s">
        <v>128</v>
      </c>
      <c r="M37" s="50" t="s">
        <v>314</v>
      </c>
      <c r="N37" s="92" t="s">
        <v>147</v>
      </c>
      <c r="O37" s="92" t="s">
        <v>132</v>
      </c>
      <c r="P37" s="92" t="s">
        <v>237</v>
      </c>
      <c r="Q37" s="83">
        <v>20</v>
      </c>
      <c r="R37" s="83" t="s">
        <v>315</v>
      </c>
      <c r="S37" s="83"/>
      <c r="T37" s="92" t="s">
        <v>226</v>
      </c>
      <c r="U37" s="92"/>
      <c r="V37" s="92"/>
      <c r="W37" s="97"/>
      <c r="X37" s="84" t="s">
        <v>200</v>
      </c>
      <c r="Y37" s="92" t="s">
        <v>246</v>
      </c>
      <c r="Z37" s="92" t="s">
        <v>316</v>
      </c>
      <c r="AA37" s="84" t="s">
        <v>317</v>
      </c>
      <c r="AB37" s="89"/>
      <c r="AC37" s="84" t="s">
        <v>195</v>
      </c>
      <c r="AD37" s="89"/>
      <c r="AE37" s="83"/>
      <c r="AF37" s="92" t="s">
        <v>139</v>
      </c>
      <c r="AG37" s="86">
        <v>46062</v>
      </c>
      <c r="AH37" s="84" t="s">
        <v>70</v>
      </c>
      <c r="AI37" s="92" t="s">
        <v>140</v>
      </c>
      <c r="AJ37" s="89"/>
    </row>
    <row r="38" spans="1:36" ht="15.75" customHeight="1" x14ac:dyDescent="0.2">
      <c r="A38" s="78">
        <v>37</v>
      </c>
      <c r="B38" s="79">
        <v>45906</v>
      </c>
      <c r="C38" s="44">
        <v>1</v>
      </c>
      <c r="D38" s="80"/>
      <c r="E38" s="81" t="str">
        <f ca="1">IFERROR(__xludf.DUMMYFUNCTION("IF(G38="""","""",FILTER(Especie!$A$2:$A$982,Especie!$H$2:$H$982=G38))"),"FPVA_024")</f>
        <v>FPVA_024</v>
      </c>
      <c r="F38" s="48" t="s">
        <v>124</v>
      </c>
      <c r="G38" s="104" t="s">
        <v>278</v>
      </c>
      <c r="H38" s="48" t="s">
        <v>279</v>
      </c>
      <c r="I38" s="48"/>
      <c r="J38" s="48" t="s">
        <v>144</v>
      </c>
      <c r="L38" s="59" t="s">
        <v>318</v>
      </c>
      <c r="M38" s="50" t="s">
        <v>146</v>
      </c>
      <c r="N38" s="97" t="s">
        <v>147</v>
      </c>
      <c r="O38" s="97" t="s">
        <v>161</v>
      </c>
      <c r="P38" s="84" t="s">
        <v>149</v>
      </c>
      <c r="Q38" s="83">
        <v>250</v>
      </c>
      <c r="R38" s="83" t="s">
        <v>186</v>
      </c>
      <c r="S38" s="83"/>
      <c r="T38" s="84" t="s">
        <v>151</v>
      </c>
      <c r="U38" s="89"/>
      <c r="V38" s="89"/>
      <c r="W38" s="97"/>
      <c r="X38" s="84" t="s">
        <v>135</v>
      </c>
      <c r="Y38" s="84" t="s">
        <v>193</v>
      </c>
      <c r="Z38" s="84" t="s">
        <v>319</v>
      </c>
      <c r="AA38" s="89"/>
      <c r="AB38" s="89"/>
      <c r="AC38" s="84" t="s">
        <v>138</v>
      </c>
      <c r="AD38" s="89"/>
      <c r="AE38" s="83"/>
      <c r="AF38" s="92" t="s">
        <v>139</v>
      </c>
      <c r="AG38" s="86">
        <v>46062</v>
      </c>
      <c r="AH38" s="84" t="s">
        <v>70</v>
      </c>
      <c r="AI38" s="92" t="s">
        <v>140</v>
      </c>
      <c r="AJ38" s="89"/>
    </row>
    <row r="39" spans="1:36" ht="15.75" customHeight="1" x14ac:dyDescent="0.2">
      <c r="A39" s="78">
        <v>38</v>
      </c>
      <c r="B39" s="79">
        <v>45907</v>
      </c>
      <c r="C39" s="103">
        <v>9</v>
      </c>
      <c r="D39" s="80"/>
      <c r="E39" s="81" t="str">
        <f ca="1">IFERROR(__xludf.DUMMYFUNCTION("IF(G39="""","""",FILTER(Especie!$A$2:$A$982,Especie!$H$2:$H$982=G39))"),"FPVA_028")</f>
        <v>FPVA_028</v>
      </c>
      <c r="F39" s="98" t="s">
        <v>257</v>
      </c>
      <c r="G39" s="108" t="s">
        <v>320</v>
      </c>
      <c r="H39" s="98" t="s">
        <v>321</v>
      </c>
      <c r="I39" s="99"/>
      <c r="J39" s="48" t="s">
        <v>169</v>
      </c>
      <c r="K39" s="98"/>
      <c r="L39" s="99" t="s">
        <v>322</v>
      </c>
      <c r="M39" s="98" t="s">
        <v>261</v>
      </c>
      <c r="N39" s="98" t="s">
        <v>147</v>
      </c>
      <c r="O39" s="98" t="s">
        <v>262</v>
      </c>
      <c r="P39" s="98" t="s">
        <v>323</v>
      </c>
      <c r="Q39" s="98">
        <v>1</v>
      </c>
      <c r="R39" s="98" t="s">
        <v>174</v>
      </c>
      <c r="S39" s="98"/>
      <c r="T39" s="98" t="s">
        <v>163</v>
      </c>
      <c r="U39" s="98"/>
      <c r="V39" s="98"/>
      <c r="W39" s="98"/>
      <c r="X39" s="84" t="s">
        <v>200</v>
      </c>
      <c r="Y39" s="98" t="s">
        <v>324</v>
      </c>
      <c r="Z39" s="98" t="s">
        <v>325</v>
      </c>
      <c r="AA39" s="98" t="s">
        <v>326</v>
      </c>
      <c r="AB39" s="98"/>
      <c r="AC39" s="98" t="s">
        <v>165</v>
      </c>
      <c r="AD39" s="98"/>
      <c r="AE39" s="98"/>
      <c r="AF39" s="92" t="s">
        <v>139</v>
      </c>
      <c r="AG39" s="86">
        <v>46062</v>
      </c>
      <c r="AH39" s="84" t="s">
        <v>70</v>
      </c>
      <c r="AI39" s="92" t="s">
        <v>140</v>
      </c>
      <c r="AJ39" s="89"/>
    </row>
    <row r="40" spans="1:36" ht="15.75" customHeight="1" x14ac:dyDescent="0.2">
      <c r="A40" s="78">
        <v>39</v>
      </c>
      <c r="B40" s="79">
        <v>45908</v>
      </c>
      <c r="C40" s="44">
        <v>6</v>
      </c>
      <c r="D40" s="80"/>
      <c r="E40" s="81" t="str">
        <f ca="1">IFERROR(__xludf.DUMMYFUNCTION("IF(G40="""","""",FILTER(Especie!$A$2:$A$982,Especie!$H$2:$H$982=G40))"),"FPVA_016")</f>
        <v>FPVA_016</v>
      </c>
      <c r="F40" s="48" t="s">
        <v>124</v>
      </c>
      <c r="G40" s="104" t="s">
        <v>327</v>
      </c>
      <c r="H40" s="48" t="s">
        <v>328</v>
      </c>
      <c r="I40" s="48"/>
      <c r="J40" s="48" t="s">
        <v>169</v>
      </c>
      <c r="L40" s="59" t="s">
        <v>329</v>
      </c>
      <c r="M40" s="50" t="s">
        <v>269</v>
      </c>
      <c r="N40" s="97" t="s">
        <v>147</v>
      </c>
      <c r="O40" s="97" t="s">
        <v>148</v>
      </c>
      <c r="P40" s="84" t="s">
        <v>149</v>
      </c>
      <c r="Q40" s="83">
        <v>10</v>
      </c>
      <c r="R40" s="83" t="s">
        <v>218</v>
      </c>
      <c r="S40" s="83"/>
      <c r="T40" s="84" t="s">
        <v>163</v>
      </c>
      <c r="U40" s="89"/>
      <c r="V40" s="89"/>
      <c r="W40" s="97"/>
      <c r="X40" s="84" t="s">
        <v>135</v>
      </c>
      <c r="Y40" s="84" t="s">
        <v>330</v>
      </c>
      <c r="Z40" s="94" t="s">
        <v>331</v>
      </c>
      <c r="AA40" s="84" t="s">
        <v>332</v>
      </c>
      <c r="AB40" s="89"/>
      <c r="AC40" s="84" t="s">
        <v>138</v>
      </c>
      <c r="AD40" s="89"/>
      <c r="AE40" s="83"/>
      <c r="AF40" s="92" t="s">
        <v>139</v>
      </c>
      <c r="AG40" s="86">
        <v>46062</v>
      </c>
      <c r="AH40" s="84" t="s">
        <v>70</v>
      </c>
      <c r="AI40" s="92" t="s">
        <v>140</v>
      </c>
      <c r="AJ40" s="89"/>
    </row>
    <row r="41" spans="1:36" ht="15.75" customHeight="1" x14ac:dyDescent="0.2">
      <c r="A41" s="78">
        <v>40</v>
      </c>
      <c r="B41" s="79">
        <v>45908</v>
      </c>
      <c r="C41" s="44">
        <v>14</v>
      </c>
      <c r="D41" s="80"/>
      <c r="E41" s="81" t="str">
        <f ca="1">IFERROR(__xludf.DUMMYFUNCTION("IF(G41="""","""",FILTER(Especie!$A$2:$A$982,Especie!$H$2:$H$982=G41))"),"FPVA_035")</f>
        <v>FPVA_035</v>
      </c>
      <c r="F41" s="48" t="s">
        <v>124</v>
      </c>
      <c r="G41" s="90" t="s">
        <v>333</v>
      </c>
      <c r="H41" s="48" t="s">
        <v>334</v>
      </c>
      <c r="I41" s="48"/>
      <c r="J41" s="48" t="s">
        <v>169</v>
      </c>
      <c r="M41" s="97" t="s">
        <v>160</v>
      </c>
      <c r="N41" s="97" t="s">
        <v>147</v>
      </c>
      <c r="O41" s="97" t="s">
        <v>161</v>
      </c>
      <c r="P41" s="84" t="s">
        <v>133</v>
      </c>
      <c r="Q41" s="83">
        <v>1</v>
      </c>
      <c r="R41" s="83" t="s">
        <v>134</v>
      </c>
      <c r="S41" s="83"/>
      <c r="T41" s="84" t="s">
        <v>151</v>
      </c>
      <c r="U41" s="89"/>
      <c r="V41" s="89"/>
      <c r="W41" s="97"/>
      <c r="X41" s="84" t="s">
        <v>135</v>
      </c>
      <c r="Y41" s="89" t="s">
        <v>246</v>
      </c>
      <c r="Z41" s="89" t="s">
        <v>335</v>
      </c>
      <c r="AA41" s="89" t="s">
        <v>317</v>
      </c>
      <c r="AB41" s="89"/>
      <c r="AC41" s="89" t="s">
        <v>138</v>
      </c>
      <c r="AD41" s="89"/>
      <c r="AE41" s="83"/>
      <c r="AF41" s="92" t="s">
        <v>139</v>
      </c>
      <c r="AG41" s="86">
        <v>46162</v>
      </c>
      <c r="AH41" s="84" t="s">
        <v>70</v>
      </c>
      <c r="AI41" s="92" t="s">
        <v>140</v>
      </c>
      <c r="AJ41" s="89"/>
    </row>
    <row r="42" spans="1:36" ht="15.75" customHeight="1" x14ac:dyDescent="0.2">
      <c r="A42" s="78">
        <v>41</v>
      </c>
      <c r="B42" s="79">
        <v>45909</v>
      </c>
      <c r="C42" s="103">
        <v>7</v>
      </c>
      <c r="D42" s="80"/>
      <c r="E42" s="81" t="str">
        <f ca="1">IFERROR(__xludf.DUMMYFUNCTION("IF(G42="""","""",FILTER(Especie!$A$2:$A$982,Especie!$H$2:$H$982=G42))"),"FPVA_036")</f>
        <v>FPVA_036</v>
      </c>
      <c r="F42" s="48" t="s">
        <v>124</v>
      </c>
      <c r="G42" s="109" t="s">
        <v>336</v>
      </c>
      <c r="H42" s="99" t="s">
        <v>337</v>
      </c>
      <c r="I42" s="99"/>
      <c r="J42" s="99" t="s">
        <v>169</v>
      </c>
      <c r="K42" s="99"/>
      <c r="L42" s="99" t="s">
        <v>338</v>
      </c>
      <c r="M42" s="99" t="s">
        <v>269</v>
      </c>
      <c r="N42" s="98" t="s">
        <v>147</v>
      </c>
      <c r="O42" s="98" t="s">
        <v>161</v>
      </c>
      <c r="P42" s="98" t="s">
        <v>271</v>
      </c>
      <c r="Q42" s="98">
        <v>1</v>
      </c>
      <c r="R42" s="98" t="s">
        <v>339</v>
      </c>
      <c r="S42" s="98"/>
      <c r="T42" s="98" t="s">
        <v>151</v>
      </c>
      <c r="U42" s="98"/>
      <c r="V42" s="98"/>
      <c r="W42" s="98"/>
      <c r="X42" s="84" t="s">
        <v>152</v>
      </c>
      <c r="Y42" s="98" t="s">
        <v>340</v>
      </c>
      <c r="Z42" s="98" t="s">
        <v>341</v>
      </c>
      <c r="AA42" s="98" t="s">
        <v>342</v>
      </c>
      <c r="AB42" s="98"/>
      <c r="AC42" s="98" t="s">
        <v>343</v>
      </c>
      <c r="AD42" s="98"/>
      <c r="AE42" s="98"/>
      <c r="AF42" s="92" t="s">
        <v>139</v>
      </c>
      <c r="AG42" s="86">
        <v>46062</v>
      </c>
      <c r="AH42" s="84" t="s">
        <v>70</v>
      </c>
      <c r="AI42" s="92" t="s">
        <v>140</v>
      </c>
      <c r="AJ42" s="89"/>
    </row>
    <row r="43" spans="1:36" ht="15.75" customHeight="1" x14ac:dyDescent="0.2">
      <c r="A43" s="78">
        <v>42</v>
      </c>
      <c r="B43" s="79">
        <v>45911</v>
      </c>
      <c r="C43" s="44">
        <v>5</v>
      </c>
      <c r="D43" s="80"/>
      <c r="E43" s="81" t="str">
        <f ca="1">IFERROR(__xludf.DUMMYFUNCTION("IF(G43="""","""",FILTER(Especie!$A$2:$A$982,Especie!$H$2:$H$982=G43))"),"FPVA_006")</f>
        <v>FPVA_006</v>
      </c>
      <c r="F43" s="48" t="s">
        <v>124</v>
      </c>
      <c r="G43" s="48" t="s">
        <v>196</v>
      </c>
      <c r="H43" s="48" t="s">
        <v>197</v>
      </c>
      <c r="I43" s="48"/>
      <c r="J43" s="48" t="s">
        <v>144</v>
      </c>
      <c r="L43" s="88" t="s">
        <v>344</v>
      </c>
      <c r="M43" s="50" t="s">
        <v>345</v>
      </c>
      <c r="N43" s="97" t="s">
        <v>147</v>
      </c>
      <c r="O43" s="97" t="s">
        <v>148</v>
      </c>
      <c r="P43" s="84" t="s">
        <v>133</v>
      </c>
      <c r="Q43" s="83">
        <v>2</v>
      </c>
      <c r="R43" s="83" t="s">
        <v>174</v>
      </c>
      <c r="S43" s="83"/>
      <c r="T43" s="84"/>
      <c r="U43" s="89"/>
      <c r="V43" s="89"/>
      <c r="W43" s="97"/>
      <c r="X43" s="84" t="s">
        <v>200</v>
      </c>
      <c r="Y43" s="89" t="s">
        <v>346</v>
      </c>
      <c r="Z43" s="89" t="s">
        <v>347</v>
      </c>
      <c r="AA43" s="89"/>
      <c r="AB43" s="89"/>
      <c r="AC43" s="89" t="s">
        <v>155</v>
      </c>
      <c r="AD43" s="89"/>
      <c r="AE43" s="83"/>
      <c r="AF43" s="92" t="s">
        <v>139</v>
      </c>
      <c r="AG43" s="86">
        <v>46062</v>
      </c>
      <c r="AH43" s="84" t="s">
        <v>348</v>
      </c>
      <c r="AI43" s="92" t="s">
        <v>140</v>
      </c>
      <c r="AJ43" s="89"/>
    </row>
    <row r="44" spans="1:36" ht="15.75" customHeight="1" x14ac:dyDescent="0.2">
      <c r="A44" s="78">
        <v>43</v>
      </c>
      <c r="B44" s="79">
        <v>45914</v>
      </c>
      <c r="C44" s="44">
        <v>3</v>
      </c>
      <c r="D44" s="80"/>
      <c r="E44" s="81" t="str">
        <f ca="1">IFERROR(__xludf.DUMMYFUNCTION("IF(G44="""","""",FILTER(Especie!$A$2:$A$982,Especie!$H$2:$H$982=G44))"),"FPVA_002")</f>
        <v>FPVA_002</v>
      </c>
      <c r="F44" s="59" t="s">
        <v>166</v>
      </c>
      <c r="G44" s="87" t="s">
        <v>167</v>
      </c>
      <c r="H44" s="88" t="s">
        <v>168</v>
      </c>
      <c r="J44" s="59" t="s">
        <v>169</v>
      </c>
      <c r="M44" s="84" t="s">
        <v>171</v>
      </c>
      <c r="N44" s="84" t="s">
        <v>147</v>
      </c>
      <c r="O44" s="84" t="s">
        <v>172</v>
      </c>
      <c r="P44" s="84" t="s">
        <v>217</v>
      </c>
      <c r="Q44" s="89">
        <v>3</v>
      </c>
      <c r="R44" s="84" t="s">
        <v>295</v>
      </c>
      <c r="S44" s="89"/>
      <c r="T44" s="84" t="s">
        <v>151</v>
      </c>
      <c r="U44" s="89"/>
      <c r="V44" s="89"/>
      <c r="W44" s="84"/>
      <c r="X44" s="84" t="s">
        <v>176</v>
      </c>
      <c r="Y44" s="89"/>
      <c r="Z44" s="89" t="s">
        <v>349</v>
      </c>
      <c r="AA44" s="89" t="s">
        <v>350</v>
      </c>
      <c r="AB44" s="89"/>
      <c r="AC44" s="89" t="s">
        <v>343</v>
      </c>
      <c r="AD44" s="89"/>
      <c r="AE44" s="89"/>
      <c r="AF44" s="92" t="s">
        <v>139</v>
      </c>
      <c r="AG44" s="86">
        <v>46170</v>
      </c>
      <c r="AH44" s="84" t="s">
        <v>348</v>
      </c>
      <c r="AI44" s="92" t="s">
        <v>140</v>
      </c>
      <c r="AJ44" s="89"/>
    </row>
    <row r="45" spans="1:36" ht="15.75" customHeight="1" x14ac:dyDescent="0.2">
      <c r="A45" s="78">
        <v>44</v>
      </c>
      <c r="B45" s="79">
        <v>45915</v>
      </c>
      <c r="C45" s="44">
        <v>1</v>
      </c>
      <c r="D45" s="80"/>
      <c r="E45" s="81" t="str">
        <f ca="1">IFERROR(__xludf.DUMMYFUNCTION("IF(G45="""","""",FILTER(Especie!$A$2:$A$982,Especie!$H$2:$H$982=G45))"),"FPVA_028")</f>
        <v>FPVA_028</v>
      </c>
      <c r="F45" s="98" t="s">
        <v>257</v>
      </c>
      <c r="G45" s="90" t="s">
        <v>320</v>
      </c>
      <c r="H45" s="48" t="s">
        <v>351</v>
      </c>
      <c r="I45" s="48"/>
      <c r="J45" s="48" t="s">
        <v>169</v>
      </c>
      <c r="K45" s="59"/>
      <c r="L45" s="59" t="s">
        <v>352</v>
      </c>
      <c r="M45" s="50" t="s">
        <v>171</v>
      </c>
      <c r="N45" s="97" t="s">
        <v>147</v>
      </c>
      <c r="O45" s="97" t="s">
        <v>262</v>
      </c>
      <c r="P45" s="84" t="s">
        <v>353</v>
      </c>
      <c r="Q45" s="83">
        <v>12</v>
      </c>
      <c r="R45" s="83" t="s">
        <v>295</v>
      </c>
      <c r="S45" s="83"/>
      <c r="T45" s="84" t="s">
        <v>151</v>
      </c>
      <c r="U45" s="89"/>
      <c r="V45" s="89"/>
      <c r="W45" s="97"/>
      <c r="X45" s="84" t="s">
        <v>135</v>
      </c>
      <c r="Y45" s="84" t="s">
        <v>354</v>
      </c>
      <c r="Z45" s="84" t="s">
        <v>355</v>
      </c>
      <c r="AA45" s="89"/>
      <c r="AB45" s="89"/>
      <c r="AC45" s="84" t="s">
        <v>138</v>
      </c>
      <c r="AD45" s="89"/>
      <c r="AE45" s="83"/>
      <c r="AF45" s="92" t="s">
        <v>139</v>
      </c>
      <c r="AG45" s="86">
        <v>46062</v>
      </c>
      <c r="AH45" s="84" t="s">
        <v>70</v>
      </c>
      <c r="AI45" s="92" t="s">
        <v>140</v>
      </c>
      <c r="AJ45" s="89"/>
    </row>
    <row r="46" spans="1:36" ht="15.75" customHeight="1" x14ac:dyDescent="0.2">
      <c r="A46" s="78">
        <v>45</v>
      </c>
      <c r="B46" s="79">
        <v>45916</v>
      </c>
      <c r="C46" s="44">
        <v>13</v>
      </c>
      <c r="D46" s="80"/>
      <c r="E46" s="81" t="str">
        <f ca="1">IFERROR(__xludf.DUMMYFUNCTION("IF(G46="""","""",FILTER(Especie!$A$2:$A$982,Especie!$H$2:$H$982=G46))"),"FPVA_022")</f>
        <v>FPVA_022</v>
      </c>
      <c r="F46" s="48" t="s">
        <v>124</v>
      </c>
      <c r="G46" s="104" t="s">
        <v>356</v>
      </c>
      <c r="H46" s="48" t="s">
        <v>357</v>
      </c>
      <c r="I46" s="48"/>
      <c r="J46" s="48" t="s">
        <v>169</v>
      </c>
      <c r="L46" s="59" t="s">
        <v>358</v>
      </c>
      <c r="M46" s="50" t="s">
        <v>269</v>
      </c>
      <c r="N46" s="97" t="s">
        <v>147</v>
      </c>
      <c r="O46" s="97" t="s">
        <v>148</v>
      </c>
      <c r="P46" s="84" t="s">
        <v>149</v>
      </c>
      <c r="Q46" s="101" t="s">
        <v>207</v>
      </c>
      <c r="R46" s="83"/>
      <c r="S46" s="83"/>
      <c r="T46" s="84"/>
      <c r="U46" s="89"/>
      <c r="V46" s="89"/>
      <c r="W46" s="97"/>
      <c r="X46" s="84" t="s">
        <v>215</v>
      </c>
      <c r="Y46" s="84"/>
      <c r="Z46" s="84"/>
      <c r="AA46" s="89"/>
      <c r="AB46" s="89"/>
      <c r="AC46" s="84" t="s">
        <v>138</v>
      </c>
      <c r="AD46" s="89"/>
      <c r="AE46" s="83"/>
      <c r="AF46" s="92" t="s">
        <v>139</v>
      </c>
      <c r="AG46" s="86">
        <v>46062</v>
      </c>
      <c r="AH46" s="84" t="s">
        <v>70</v>
      </c>
      <c r="AI46" s="92" t="s">
        <v>140</v>
      </c>
      <c r="AJ46" s="89"/>
    </row>
    <row r="47" spans="1:36" ht="15.75" customHeight="1" x14ac:dyDescent="0.2">
      <c r="A47" s="78">
        <v>46</v>
      </c>
      <c r="B47" s="79">
        <v>45916</v>
      </c>
      <c r="C47" s="44">
        <v>10</v>
      </c>
      <c r="D47" s="80"/>
      <c r="E47" s="81" t="str">
        <f ca="1">IFERROR(__xludf.DUMMYFUNCTION("IF(G47="""","""",FILTER(Especie!$A$2:$A$982,Especie!$H$2:$H$982=G47))"),"FPVA_013")</f>
        <v>FPVA_013</v>
      </c>
      <c r="F47" s="48" t="s">
        <v>124</v>
      </c>
      <c r="G47" s="104" t="s">
        <v>359</v>
      </c>
      <c r="H47" s="48" t="s">
        <v>360</v>
      </c>
      <c r="I47" s="48"/>
      <c r="J47" s="48" t="s">
        <v>144</v>
      </c>
      <c r="L47" s="59" t="s">
        <v>361</v>
      </c>
      <c r="M47" s="50" t="s">
        <v>146</v>
      </c>
      <c r="N47" s="97" t="s">
        <v>131</v>
      </c>
      <c r="O47" s="97" t="s">
        <v>161</v>
      </c>
      <c r="P47" s="84" t="s">
        <v>350</v>
      </c>
      <c r="Q47" s="83">
        <v>3</v>
      </c>
      <c r="R47" s="83" t="s">
        <v>191</v>
      </c>
      <c r="S47" s="83"/>
      <c r="T47" s="84" t="s">
        <v>151</v>
      </c>
      <c r="U47" s="89"/>
      <c r="V47" s="89"/>
      <c r="W47" s="97"/>
      <c r="X47" s="84" t="s">
        <v>362</v>
      </c>
      <c r="Y47" s="84" t="s">
        <v>193</v>
      </c>
      <c r="Z47" s="94" t="s">
        <v>363</v>
      </c>
      <c r="AA47" s="89"/>
      <c r="AB47" s="89"/>
      <c r="AC47" s="84" t="s">
        <v>138</v>
      </c>
      <c r="AD47" s="89"/>
      <c r="AE47" s="83"/>
      <c r="AF47" s="92" t="s">
        <v>139</v>
      </c>
      <c r="AG47" s="86">
        <v>46062</v>
      </c>
      <c r="AH47" s="84" t="s">
        <v>70</v>
      </c>
      <c r="AI47" s="92" t="s">
        <v>140</v>
      </c>
      <c r="AJ47" s="89"/>
    </row>
    <row r="48" spans="1:36" ht="15.75" customHeight="1" x14ac:dyDescent="0.2">
      <c r="A48" s="78">
        <v>47</v>
      </c>
      <c r="B48" s="79">
        <v>45916</v>
      </c>
      <c r="C48" s="103">
        <v>5</v>
      </c>
      <c r="D48" s="80"/>
      <c r="E48" s="81" t="str">
        <f ca="1">IFERROR(__xludf.DUMMYFUNCTION("IF(G48="""","""",FILTER(Especie!$A$2:$A$982,Especie!$H$2:$H$982=G48))"),"FPVA_038")</f>
        <v>FPVA_038</v>
      </c>
      <c r="F48" s="98" t="s">
        <v>257</v>
      </c>
      <c r="G48" s="110" t="s">
        <v>364</v>
      </c>
      <c r="H48" s="99" t="s">
        <v>365</v>
      </c>
      <c r="I48" s="99"/>
      <c r="J48" s="99" t="s">
        <v>169</v>
      </c>
      <c r="K48" s="99"/>
      <c r="L48" s="99"/>
      <c r="M48" s="99" t="s">
        <v>171</v>
      </c>
      <c r="N48" s="98" t="s">
        <v>147</v>
      </c>
      <c r="O48" s="98" t="s">
        <v>262</v>
      </c>
      <c r="P48" s="98" t="s">
        <v>263</v>
      </c>
      <c r="Q48" s="98">
        <v>15</v>
      </c>
      <c r="R48" s="98" t="s">
        <v>295</v>
      </c>
      <c r="S48" s="98"/>
      <c r="T48" s="98" t="s">
        <v>214</v>
      </c>
      <c r="U48" s="98"/>
      <c r="V48" s="98"/>
      <c r="W48" s="98"/>
      <c r="X48" s="98" t="s">
        <v>366</v>
      </c>
      <c r="Y48" s="98"/>
      <c r="Z48" s="98" t="s">
        <v>367</v>
      </c>
      <c r="AA48" s="98"/>
      <c r="AB48" s="98"/>
      <c r="AC48" s="98" t="s">
        <v>368</v>
      </c>
      <c r="AD48" s="98"/>
      <c r="AE48" s="98"/>
      <c r="AF48" s="92" t="s">
        <v>139</v>
      </c>
      <c r="AG48" s="86">
        <v>46062</v>
      </c>
      <c r="AH48" s="84" t="s">
        <v>70</v>
      </c>
      <c r="AI48" s="92" t="s">
        <v>140</v>
      </c>
      <c r="AJ48" s="89"/>
    </row>
    <row r="49" spans="1:36" ht="15.75" customHeight="1" x14ac:dyDescent="0.2">
      <c r="A49" s="78">
        <v>48</v>
      </c>
      <c r="B49" s="79">
        <v>45917</v>
      </c>
      <c r="C49" s="103">
        <v>1</v>
      </c>
      <c r="D49" s="80"/>
      <c r="E49" s="81" t="str">
        <f ca="1">IFERROR(__xludf.DUMMYFUNCTION("IF(G49="""","""",FILTER(Especie!$A$2:$A$982,Especie!$H$2:$H$982=G49))"),"FPVA_043")</f>
        <v>FPVA_043</v>
      </c>
      <c r="F49" s="48" t="s">
        <v>124</v>
      </c>
      <c r="G49" s="150" t="s">
        <v>369</v>
      </c>
      <c r="H49" s="99" t="s">
        <v>370</v>
      </c>
      <c r="I49" s="99"/>
      <c r="J49" s="99" t="s">
        <v>127</v>
      </c>
      <c r="K49" s="59" t="s">
        <v>128</v>
      </c>
      <c r="L49" s="99"/>
      <c r="M49" s="99" t="s">
        <v>130</v>
      </c>
      <c r="N49" s="98" t="s">
        <v>147</v>
      </c>
      <c r="O49" s="98" t="s">
        <v>132</v>
      </c>
      <c r="P49" s="92" t="s">
        <v>237</v>
      </c>
      <c r="Q49" s="98">
        <v>9</v>
      </c>
      <c r="R49" s="98" t="s">
        <v>371</v>
      </c>
      <c r="S49" s="98"/>
      <c r="T49" s="98" t="s">
        <v>151</v>
      </c>
      <c r="U49" s="98"/>
      <c r="V49" s="98"/>
      <c r="W49" s="98"/>
      <c r="X49" s="84" t="s">
        <v>135</v>
      </c>
      <c r="Y49" s="98" t="s">
        <v>372</v>
      </c>
      <c r="Z49" s="98" t="s">
        <v>373</v>
      </c>
      <c r="AA49" s="98"/>
      <c r="AB49" s="98"/>
      <c r="AC49" s="84" t="s">
        <v>138</v>
      </c>
      <c r="AD49" s="98"/>
      <c r="AE49" s="98"/>
      <c r="AF49" s="92" t="s">
        <v>139</v>
      </c>
      <c r="AG49" s="86">
        <v>46062</v>
      </c>
      <c r="AH49" s="84" t="s">
        <v>70</v>
      </c>
      <c r="AI49" s="92" t="s">
        <v>140</v>
      </c>
      <c r="AJ49" s="89"/>
    </row>
    <row r="50" spans="1:36" ht="15.75" customHeight="1" x14ac:dyDescent="0.25">
      <c r="A50" s="78">
        <v>49</v>
      </c>
      <c r="B50" s="79">
        <v>45919</v>
      </c>
      <c r="C50" s="44">
        <v>6</v>
      </c>
      <c r="D50" s="80"/>
      <c r="E50" s="81" t="str">
        <f ca="1">IFERROR(__xludf.DUMMYFUNCTION("IF(G50="""","""",FILTER(Especie!$A$2:$A$982,Especie!$H$2:$H$982=G50))"),"FPVA_017")</f>
        <v>FPVA_017</v>
      </c>
      <c r="F50" s="48" t="s">
        <v>124</v>
      </c>
      <c r="G50" s="104" t="s">
        <v>285</v>
      </c>
      <c r="H50" s="111" t="s">
        <v>374</v>
      </c>
      <c r="I50" s="48"/>
      <c r="J50" s="48" t="s">
        <v>144</v>
      </c>
      <c r="L50" s="59" t="s">
        <v>375</v>
      </c>
      <c r="M50" s="50" t="s">
        <v>146</v>
      </c>
      <c r="N50" s="97" t="s">
        <v>147</v>
      </c>
      <c r="O50" s="97" t="s">
        <v>148</v>
      </c>
      <c r="P50" s="84" t="s">
        <v>149</v>
      </c>
      <c r="Q50" s="83">
        <v>1</v>
      </c>
      <c r="R50" s="83" t="s">
        <v>191</v>
      </c>
      <c r="S50" s="83"/>
      <c r="T50" s="84" t="s">
        <v>151</v>
      </c>
      <c r="U50" s="89"/>
      <c r="V50" s="89"/>
      <c r="W50" s="97"/>
      <c r="X50" s="84" t="s">
        <v>135</v>
      </c>
      <c r="Y50" s="84" t="s">
        <v>201</v>
      </c>
      <c r="Z50" s="94" t="s">
        <v>376</v>
      </c>
      <c r="AA50" s="84" t="s">
        <v>377</v>
      </c>
      <c r="AB50" s="89"/>
      <c r="AC50" s="84" t="s">
        <v>155</v>
      </c>
      <c r="AD50" s="89"/>
      <c r="AE50" s="83"/>
      <c r="AF50" s="92" t="s">
        <v>139</v>
      </c>
      <c r="AG50" s="86">
        <v>46062</v>
      </c>
      <c r="AH50" s="84" t="s">
        <v>70</v>
      </c>
      <c r="AI50" s="92" t="s">
        <v>140</v>
      </c>
      <c r="AJ50" s="89"/>
    </row>
    <row r="51" spans="1:36" ht="15.75" customHeight="1" x14ac:dyDescent="0.2">
      <c r="A51" s="78">
        <v>50</v>
      </c>
      <c r="B51" s="79">
        <v>45919</v>
      </c>
      <c r="C51" s="103">
        <v>5</v>
      </c>
      <c r="D51" s="80"/>
      <c r="E51" s="81" t="str">
        <f ca="1">IFERROR(__xludf.DUMMYFUNCTION("IF(G51="""","""",FILTER(Especie!$A$2:$A$982,Especie!$H$2:$H$982=G51))"),"FPVA_011")</f>
        <v>FPVA_011</v>
      </c>
      <c r="F51" s="48" t="s">
        <v>124</v>
      </c>
      <c r="G51" s="104" t="s">
        <v>241</v>
      </c>
      <c r="H51" s="99" t="s">
        <v>242</v>
      </c>
      <c r="I51" s="99"/>
      <c r="J51" s="99" t="s">
        <v>127</v>
      </c>
      <c r="K51" s="59" t="s">
        <v>128</v>
      </c>
      <c r="L51" s="99"/>
      <c r="M51" s="50" t="s">
        <v>314</v>
      </c>
      <c r="N51" s="98" t="s">
        <v>147</v>
      </c>
      <c r="O51" s="98" t="s">
        <v>132</v>
      </c>
      <c r="P51" s="98" t="s">
        <v>133</v>
      </c>
      <c r="Q51" s="98">
        <v>6</v>
      </c>
      <c r="R51" s="98" t="s">
        <v>162</v>
      </c>
      <c r="S51" s="98"/>
      <c r="T51" s="98" t="s">
        <v>226</v>
      </c>
      <c r="U51" s="98"/>
      <c r="V51" s="98"/>
      <c r="W51" s="98"/>
      <c r="X51" s="84" t="s">
        <v>200</v>
      </c>
      <c r="Y51" s="98" t="s">
        <v>246</v>
      </c>
      <c r="Z51" s="98" t="s">
        <v>378</v>
      </c>
      <c r="AA51" s="98"/>
      <c r="AB51" s="98"/>
      <c r="AC51" s="98" t="s">
        <v>195</v>
      </c>
      <c r="AD51" s="98"/>
      <c r="AE51" s="98"/>
      <c r="AF51" s="92" t="s">
        <v>139</v>
      </c>
      <c r="AG51" s="86">
        <v>46062</v>
      </c>
      <c r="AH51" s="84" t="s">
        <v>70</v>
      </c>
      <c r="AI51" s="92" t="s">
        <v>140</v>
      </c>
      <c r="AJ51" s="89"/>
    </row>
    <row r="52" spans="1:36" ht="15.75" customHeight="1" x14ac:dyDescent="0.2">
      <c r="A52" s="78">
        <v>51</v>
      </c>
      <c r="B52" s="79">
        <v>45919</v>
      </c>
      <c r="C52" s="44">
        <v>6</v>
      </c>
      <c r="D52" s="80"/>
      <c r="E52" s="81" t="str">
        <f ca="1">IFERROR(__xludf.DUMMYFUNCTION("IF(G52="""","""",FILTER(Especie!$A$2:$A$982,Especie!$H$2:$H$982=G52))"),"FPVA_016")</f>
        <v>FPVA_016</v>
      </c>
      <c r="F52" s="48" t="s">
        <v>124</v>
      </c>
      <c r="G52" s="104" t="s">
        <v>327</v>
      </c>
      <c r="H52" s="48" t="s">
        <v>328</v>
      </c>
      <c r="I52" s="48"/>
      <c r="J52" s="48" t="s">
        <v>169</v>
      </c>
      <c r="L52" s="59" t="s">
        <v>329</v>
      </c>
      <c r="M52" s="50" t="s">
        <v>269</v>
      </c>
      <c r="N52" s="97" t="s">
        <v>147</v>
      </c>
      <c r="O52" s="97" t="s">
        <v>148</v>
      </c>
      <c r="P52" s="92" t="s">
        <v>149</v>
      </c>
      <c r="Q52" s="83">
        <v>12</v>
      </c>
      <c r="R52" s="83" t="s">
        <v>218</v>
      </c>
      <c r="S52" s="83"/>
      <c r="T52" s="84" t="s">
        <v>163</v>
      </c>
      <c r="U52" s="89"/>
      <c r="V52" s="89"/>
      <c r="W52" s="97"/>
      <c r="X52" s="84" t="s">
        <v>135</v>
      </c>
      <c r="Y52" s="84" t="s">
        <v>330</v>
      </c>
      <c r="Z52" s="94" t="s">
        <v>331</v>
      </c>
      <c r="AA52" s="84" t="s">
        <v>332</v>
      </c>
      <c r="AB52" s="89"/>
      <c r="AC52" s="84" t="s">
        <v>138</v>
      </c>
      <c r="AD52" s="89"/>
      <c r="AE52" s="83"/>
      <c r="AF52" s="92" t="s">
        <v>139</v>
      </c>
      <c r="AG52" s="86">
        <v>46062</v>
      </c>
      <c r="AH52" s="84" t="s">
        <v>70</v>
      </c>
      <c r="AI52" s="92" t="s">
        <v>140</v>
      </c>
      <c r="AJ52" s="89"/>
    </row>
    <row r="53" spans="1:36" ht="15.75" customHeight="1" x14ac:dyDescent="0.2">
      <c r="A53" s="78">
        <v>52</v>
      </c>
      <c r="B53" s="79">
        <v>45920</v>
      </c>
      <c r="C53" s="44">
        <v>14</v>
      </c>
      <c r="D53" s="80"/>
      <c r="E53" s="81" t="str">
        <f ca="1">IFERROR(__xludf.DUMMYFUNCTION("IF(G53="""","""",FILTER(Especie!$A$2:$A$982,Especie!$H$2:$H$982=G53))"),"FPVA_070")</f>
        <v>FPVA_070</v>
      </c>
      <c r="F53" s="48" t="s">
        <v>124</v>
      </c>
      <c r="G53" s="90" t="s">
        <v>379</v>
      </c>
      <c r="H53" s="48" t="s">
        <v>380</v>
      </c>
      <c r="I53" s="48"/>
      <c r="J53" s="48" t="s">
        <v>144</v>
      </c>
      <c r="L53" s="88" t="s">
        <v>381</v>
      </c>
      <c r="M53" s="97" t="s">
        <v>185</v>
      </c>
      <c r="N53" s="97" t="s">
        <v>147</v>
      </c>
      <c r="O53" s="97" t="s">
        <v>161</v>
      </c>
      <c r="P53" s="84" t="s">
        <v>133</v>
      </c>
      <c r="Q53" s="83">
        <v>1</v>
      </c>
      <c r="R53" s="83" t="s">
        <v>174</v>
      </c>
      <c r="S53" s="83"/>
      <c r="T53" s="84" t="s">
        <v>163</v>
      </c>
      <c r="U53" s="89"/>
      <c r="V53" s="89"/>
      <c r="W53" s="97"/>
      <c r="X53" s="84" t="s">
        <v>215</v>
      </c>
      <c r="Y53" s="89" t="s">
        <v>193</v>
      </c>
      <c r="Z53" s="89" t="s">
        <v>382</v>
      </c>
      <c r="AA53" s="89"/>
      <c r="AB53" s="89"/>
      <c r="AC53" s="89" t="s">
        <v>155</v>
      </c>
      <c r="AD53" s="89"/>
      <c r="AE53" s="83"/>
      <c r="AF53" s="92" t="s">
        <v>139</v>
      </c>
      <c r="AG53" s="86">
        <v>46162</v>
      </c>
      <c r="AH53" s="84" t="s">
        <v>70</v>
      </c>
      <c r="AI53" s="92" t="s">
        <v>140</v>
      </c>
      <c r="AJ53" s="89"/>
    </row>
    <row r="54" spans="1:36" ht="28.5" customHeight="1" x14ac:dyDescent="0.2">
      <c r="A54" s="78">
        <v>53</v>
      </c>
      <c r="B54" s="79">
        <v>45922</v>
      </c>
      <c r="C54" s="44">
        <v>1</v>
      </c>
      <c r="D54" s="80"/>
      <c r="E54" s="81" t="str">
        <f ca="1">IFERROR(__xludf.DUMMYFUNCTION("IF(G54="""","""",FILTER(Especie!$A$2:$A$982,Especie!$H$2:$H$982=G54))"),"FPVA_029")</f>
        <v>FPVA_029</v>
      </c>
      <c r="F54" s="48" t="s">
        <v>124</v>
      </c>
      <c r="G54" s="104" t="s">
        <v>383</v>
      </c>
      <c r="H54" s="48" t="s">
        <v>384</v>
      </c>
      <c r="I54" s="48"/>
      <c r="J54" s="48" t="s">
        <v>234</v>
      </c>
      <c r="K54" s="59" t="s">
        <v>235</v>
      </c>
      <c r="M54" s="50" t="s">
        <v>130</v>
      </c>
      <c r="N54" s="97" t="s">
        <v>147</v>
      </c>
      <c r="O54" s="97" t="s">
        <v>132</v>
      </c>
      <c r="P54" s="92" t="s">
        <v>237</v>
      </c>
      <c r="Q54" s="83">
        <v>120</v>
      </c>
      <c r="R54" s="83" t="s">
        <v>385</v>
      </c>
      <c r="S54" s="83"/>
      <c r="T54" s="84" t="s">
        <v>151</v>
      </c>
      <c r="U54" s="89"/>
      <c r="V54" s="89"/>
      <c r="W54" s="97"/>
      <c r="X54" s="84" t="s">
        <v>152</v>
      </c>
      <c r="Y54" s="84" t="s">
        <v>386</v>
      </c>
      <c r="Z54" s="84" t="s">
        <v>387</v>
      </c>
      <c r="AA54" s="89"/>
      <c r="AB54" s="89"/>
      <c r="AC54" s="84" t="s">
        <v>388</v>
      </c>
      <c r="AD54" s="89"/>
      <c r="AE54" s="83"/>
      <c r="AF54" s="92" t="s">
        <v>139</v>
      </c>
      <c r="AG54" s="86">
        <v>46062</v>
      </c>
      <c r="AH54" s="84" t="s">
        <v>70</v>
      </c>
      <c r="AI54" s="92" t="s">
        <v>140</v>
      </c>
      <c r="AJ54" s="89"/>
    </row>
    <row r="55" spans="1:36" ht="15.75" customHeight="1" x14ac:dyDescent="0.2">
      <c r="A55" s="78">
        <v>54</v>
      </c>
      <c r="B55" s="79">
        <v>45923</v>
      </c>
      <c r="C55" s="80">
        <v>3</v>
      </c>
      <c r="D55" s="80"/>
      <c r="E55" s="81" t="str">
        <f ca="1">IFERROR(__xludf.DUMMYFUNCTION("IF(G55="""","""",FILTER(Especie!$A$2:$A$982,Especie!$H$2:$H$982=G55))"),"FPVA_002")</f>
        <v>FPVA_002</v>
      </c>
      <c r="F55" s="48" t="s">
        <v>166</v>
      </c>
      <c r="G55" s="90" t="s">
        <v>167</v>
      </c>
      <c r="H55" s="91" t="s">
        <v>168</v>
      </c>
      <c r="I55" s="91"/>
      <c r="J55" s="48" t="s">
        <v>169</v>
      </c>
      <c r="L55" s="59" t="s">
        <v>389</v>
      </c>
      <c r="M55" s="97" t="s">
        <v>171</v>
      </c>
      <c r="N55" s="97" t="s">
        <v>147</v>
      </c>
      <c r="O55" s="97" t="s">
        <v>172</v>
      </c>
      <c r="P55" s="84" t="s">
        <v>217</v>
      </c>
      <c r="Q55" s="83">
        <v>10</v>
      </c>
      <c r="R55" s="83" t="s">
        <v>174</v>
      </c>
      <c r="S55" s="83"/>
      <c r="T55" s="84" t="s">
        <v>214</v>
      </c>
      <c r="U55" s="89"/>
      <c r="V55" s="89"/>
      <c r="W55" s="97"/>
      <c r="X55" s="84" t="s">
        <v>176</v>
      </c>
      <c r="Y55" s="84" t="s">
        <v>390</v>
      </c>
      <c r="Z55" s="84" t="s">
        <v>391</v>
      </c>
      <c r="AA55" s="84" t="s">
        <v>392</v>
      </c>
      <c r="AB55" s="89"/>
      <c r="AC55" s="84" t="s">
        <v>393</v>
      </c>
      <c r="AD55" s="89"/>
      <c r="AE55" s="83"/>
      <c r="AF55" s="92" t="s">
        <v>139</v>
      </c>
      <c r="AG55" s="86">
        <v>46062</v>
      </c>
      <c r="AH55" s="84" t="s">
        <v>70</v>
      </c>
      <c r="AI55" s="92" t="s">
        <v>140</v>
      </c>
      <c r="AJ55" s="89"/>
    </row>
    <row r="56" spans="1:36" ht="15.75" customHeight="1" x14ac:dyDescent="0.2">
      <c r="A56" s="78">
        <v>55</v>
      </c>
      <c r="B56" s="79">
        <v>45924</v>
      </c>
      <c r="C56" s="80">
        <v>3</v>
      </c>
      <c r="D56" s="80"/>
      <c r="E56" s="81" t="str">
        <f ca="1">IFERROR(__xludf.DUMMYFUNCTION("IF(G56="""","""",FILTER(Especie!$A$2:$A$982,Especie!$H$2:$H$982=G56))"),"FPVA_009")</f>
        <v>FPVA_009</v>
      </c>
      <c r="F56" s="48" t="s">
        <v>124</v>
      </c>
      <c r="G56" s="82" t="s">
        <v>232</v>
      </c>
      <c r="H56" s="48" t="s">
        <v>233</v>
      </c>
      <c r="I56" s="48"/>
      <c r="J56" s="48" t="s">
        <v>234</v>
      </c>
      <c r="K56" s="59" t="s">
        <v>235</v>
      </c>
      <c r="M56" s="97" t="s">
        <v>130</v>
      </c>
      <c r="N56" s="97" t="s">
        <v>147</v>
      </c>
      <c r="O56" s="97" t="s">
        <v>132</v>
      </c>
      <c r="P56" s="92" t="s">
        <v>237</v>
      </c>
      <c r="Q56" s="83">
        <v>80</v>
      </c>
      <c r="R56" s="83" t="s">
        <v>218</v>
      </c>
      <c r="S56" s="83"/>
      <c r="T56" s="84" t="s">
        <v>151</v>
      </c>
      <c r="U56" s="89"/>
      <c r="V56" s="89"/>
      <c r="W56" s="97"/>
      <c r="X56" s="84" t="s">
        <v>152</v>
      </c>
      <c r="Y56" s="89"/>
      <c r="Z56" s="84" t="s">
        <v>394</v>
      </c>
      <c r="AA56" s="89"/>
      <c r="AB56" s="89"/>
      <c r="AC56" s="84" t="s">
        <v>395</v>
      </c>
      <c r="AD56" s="89"/>
      <c r="AE56" s="83"/>
      <c r="AF56" s="92" t="s">
        <v>139</v>
      </c>
      <c r="AG56" s="86">
        <v>46062</v>
      </c>
      <c r="AH56" s="84" t="s">
        <v>70</v>
      </c>
      <c r="AI56" s="92" t="s">
        <v>140</v>
      </c>
      <c r="AJ56" s="89"/>
    </row>
    <row r="57" spans="1:36" ht="15.75" customHeight="1" x14ac:dyDescent="0.2">
      <c r="A57" s="78">
        <v>56</v>
      </c>
      <c r="B57" s="79">
        <v>45925</v>
      </c>
      <c r="C57" s="95">
        <v>8</v>
      </c>
      <c r="D57" s="80"/>
      <c r="E57" s="81" t="str">
        <f ca="1">IFERROR(__xludf.DUMMYFUNCTION("IF(G57="""","""",FILTER(Especie!$A$2:$A$982,Especie!$H$2:$H$982=G57))"),"FPVA_035")</f>
        <v>FPVA_035</v>
      </c>
      <c r="F57" s="48" t="s">
        <v>124</v>
      </c>
      <c r="G57" s="112" t="s">
        <v>333</v>
      </c>
      <c r="H57" s="99" t="s">
        <v>396</v>
      </c>
      <c r="I57" s="99"/>
      <c r="J57" s="99" t="s">
        <v>127</v>
      </c>
      <c r="K57" s="59" t="s">
        <v>128</v>
      </c>
      <c r="L57" s="99" t="s">
        <v>128</v>
      </c>
      <c r="M57" s="99" t="s">
        <v>160</v>
      </c>
      <c r="N57" s="98" t="s">
        <v>131</v>
      </c>
      <c r="O57" s="98" t="s">
        <v>161</v>
      </c>
      <c r="P57" s="98" t="s">
        <v>133</v>
      </c>
      <c r="Q57" s="98">
        <v>12</v>
      </c>
      <c r="R57" s="98" t="s">
        <v>174</v>
      </c>
      <c r="S57" s="98"/>
      <c r="T57" s="98" t="s">
        <v>151</v>
      </c>
      <c r="U57" s="98"/>
      <c r="V57" s="98"/>
      <c r="W57" s="98"/>
      <c r="X57" s="84" t="s">
        <v>135</v>
      </c>
      <c r="Y57" s="98" t="s">
        <v>397</v>
      </c>
      <c r="Z57" s="98" t="s">
        <v>398</v>
      </c>
      <c r="AA57" s="98" t="s">
        <v>133</v>
      </c>
      <c r="AB57" s="98"/>
      <c r="AC57" s="98" t="s">
        <v>195</v>
      </c>
      <c r="AD57" s="98"/>
      <c r="AE57" s="98"/>
      <c r="AF57" s="92" t="s">
        <v>139</v>
      </c>
      <c r="AG57" s="86">
        <v>46062</v>
      </c>
      <c r="AH57" s="84" t="s">
        <v>70</v>
      </c>
      <c r="AI57" s="92" t="s">
        <v>140</v>
      </c>
      <c r="AJ57" s="89"/>
    </row>
    <row r="58" spans="1:36" ht="15.75" customHeight="1" x14ac:dyDescent="0.2">
      <c r="A58" s="78">
        <v>57</v>
      </c>
      <c r="B58" s="79">
        <v>45925</v>
      </c>
      <c r="C58" s="80">
        <v>8</v>
      </c>
      <c r="D58" s="80"/>
      <c r="E58" s="81" t="str">
        <f ca="1">IFERROR(__xludf.DUMMYFUNCTION("IF(G58="""","""",FILTER(Especie!$A$2:$A$982,Especie!$H$2:$H$982=G58))"),"FPVA_030")</f>
        <v>FPVA_030</v>
      </c>
      <c r="F58" s="48" t="s">
        <v>124</v>
      </c>
      <c r="G58" s="104" t="s">
        <v>399</v>
      </c>
      <c r="H58" s="48" t="s">
        <v>381</v>
      </c>
      <c r="I58" s="48"/>
      <c r="J58" s="48" t="s">
        <v>144</v>
      </c>
      <c r="L58" s="59" t="s">
        <v>400</v>
      </c>
      <c r="M58" s="48" t="s">
        <v>146</v>
      </c>
      <c r="N58" s="92" t="s">
        <v>131</v>
      </c>
      <c r="O58" s="92" t="s">
        <v>161</v>
      </c>
      <c r="P58" s="92" t="s">
        <v>133</v>
      </c>
      <c r="Q58" s="83">
        <v>300</v>
      </c>
      <c r="R58" s="83" t="s">
        <v>186</v>
      </c>
      <c r="S58" s="83"/>
      <c r="T58" s="92"/>
      <c r="U58" s="92"/>
      <c r="V58" s="92"/>
      <c r="W58" s="92"/>
      <c r="X58" s="98" t="s">
        <v>366</v>
      </c>
      <c r="Y58" s="92" t="s">
        <v>193</v>
      </c>
      <c r="Z58" s="92" t="s">
        <v>401</v>
      </c>
      <c r="AA58" s="84" t="s">
        <v>402</v>
      </c>
      <c r="AB58" s="89"/>
      <c r="AC58" s="84" t="s">
        <v>195</v>
      </c>
      <c r="AD58" s="89"/>
      <c r="AE58" s="83"/>
      <c r="AF58" s="92" t="s">
        <v>139</v>
      </c>
      <c r="AG58" s="86">
        <v>46062</v>
      </c>
      <c r="AH58" s="84" t="s">
        <v>70</v>
      </c>
      <c r="AI58" s="92" t="s">
        <v>140</v>
      </c>
      <c r="AJ58" s="89"/>
    </row>
    <row r="59" spans="1:36" ht="15.75" customHeight="1" x14ac:dyDescent="0.2">
      <c r="A59" s="78">
        <v>58</v>
      </c>
      <c r="B59" s="79">
        <v>45926</v>
      </c>
      <c r="C59" s="80">
        <v>8</v>
      </c>
      <c r="D59" s="80"/>
      <c r="E59" s="81" t="str">
        <f ca="1">IFERROR(__xludf.DUMMYFUNCTION("IF(G59="""","""",FILTER(Especie!$A$2:$A$982,Especie!$H$2:$H$982=G59))"),"FPVA_002")</f>
        <v>FPVA_002</v>
      </c>
      <c r="F59" s="48" t="s">
        <v>166</v>
      </c>
      <c r="G59" s="90" t="s">
        <v>167</v>
      </c>
      <c r="H59" s="91" t="s">
        <v>168</v>
      </c>
      <c r="I59" s="91"/>
      <c r="J59" s="48" t="s">
        <v>169</v>
      </c>
      <c r="L59" s="59" t="s">
        <v>403</v>
      </c>
      <c r="M59" s="50" t="s">
        <v>171</v>
      </c>
      <c r="N59" s="92" t="s">
        <v>147</v>
      </c>
      <c r="O59" s="92" t="s">
        <v>172</v>
      </c>
      <c r="P59" s="84" t="s">
        <v>217</v>
      </c>
      <c r="Q59" s="83">
        <v>4</v>
      </c>
      <c r="R59" s="83" t="s">
        <v>174</v>
      </c>
      <c r="S59" s="83"/>
      <c r="T59" s="92" t="s">
        <v>214</v>
      </c>
      <c r="U59" s="92"/>
      <c r="V59" s="92"/>
      <c r="W59" s="97"/>
      <c r="X59" s="84" t="s">
        <v>176</v>
      </c>
      <c r="Y59" s="92"/>
      <c r="Z59" s="92" t="s">
        <v>404</v>
      </c>
      <c r="AA59" s="84" t="s">
        <v>405</v>
      </c>
      <c r="AB59" s="89"/>
      <c r="AC59" s="89"/>
      <c r="AD59" s="89"/>
      <c r="AE59" s="83"/>
      <c r="AF59" s="92" t="s">
        <v>139</v>
      </c>
      <c r="AG59" s="86">
        <v>46062</v>
      </c>
      <c r="AH59" s="84" t="s">
        <v>70</v>
      </c>
      <c r="AI59" s="92" t="s">
        <v>140</v>
      </c>
      <c r="AJ59" s="89"/>
    </row>
    <row r="60" spans="1:36" ht="15.75" customHeight="1" x14ac:dyDescent="0.2">
      <c r="A60" s="78">
        <v>59</v>
      </c>
      <c r="B60" s="79">
        <v>45926</v>
      </c>
      <c r="C60" s="80">
        <v>2</v>
      </c>
      <c r="D60" s="80"/>
      <c r="E60" s="81" t="str">
        <f ca="1">IFERROR(__xludf.DUMMYFUNCTION("IF(G60="""","""",FILTER(Especie!$A$2:$A$982,Especie!$H$2:$H$982=G60))"),"FPVA_031")</f>
        <v>FPVA_031</v>
      </c>
      <c r="F60" s="48" t="s">
        <v>124</v>
      </c>
      <c r="G60" s="104" t="s">
        <v>406</v>
      </c>
      <c r="H60" s="48" t="s">
        <v>407</v>
      </c>
      <c r="I60" s="48"/>
      <c r="J60" s="48" t="s">
        <v>169</v>
      </c>
      <c r="L60" s="59" t="s">
        <v>408</v>
      </c>
      <c r="M60" s="50" t="s">
        <v>146</v>
      </c>
      <c r="N60" s="92" t="s">
        <v>131</v>
      </c>
      <c r="O60" s="92" t="s">
        <v>148</v>
      </c>
      <c r="P60" s="92" t="s">
        <v>149</v>
      </c>
      <c r="Q60" s="83">
        <v>20</v>
      </c>
      <c r="R60" s="83" t="s">
        <v>186</v>
      </c>
      <c r="S60" s="83"/>
      <c r="T60" s="92" t="s">
        <v>151</v>
      </c>
      <c r="U60" s="92"/>
      <c r="V60" s="92"/>
      <c r="W60" s="97"/>
      <c r="X60" s="84" t="s">
        <v>135</v>
      </c>
      <c r="Y60" s="92" t="s">
        <v>409</v>
      </c>
      <c r="Z60" s="92" t="s">
        <v>410</v>
      </c>
      <c r="AA60" s="84" t="s">
        <v>350</v>
      </c>
      <c r="AB60" s="89"/>
      <c r="AC60" s="84" t="s">
        <v>195</v>
      </c>
      <c r="AD60" s="89"/>
      <c r="AE60" s="83"/>
      <c r="AF60" s="92" t="s">
        <v>139</v>
      </c>
      <c r="AG60" s="86">
        <v>46062</v>
      </c>
      <c r="AH60" s="84" t="s">
        <v>70</v>
      </c>
      <c r="AI60" s="92" t="s">
        <v>140</v>
      </c>
      <c r="AJ60" s="89"/>
    </row>
    <row r="61" spans="1:36" ht="15.75" customHeight="1" x14ac:dyDescent="0.2">
      <c r="A61" s="78">
        <v>60</v>
      </c>
      <c r="B61" s="79">
        <v>45928</v>
      </c>
      <c r="C61" s="80">
        <v>2</v>
      </c>
      <c r="D61" s="80"/>
      <c r="E61" s="81" t="str">
        <f ca="1">IFERROR(__xludf.DUMMYFUNCTION("IF(G61="""","""",FILTER(Especie!$A$2:$A$982,Especie!$H$2:$H$982=G61))"),"FPVA_024")</f>
        <v>FPVA_024</v>
      </c>
      <c r="F61" s="48" t="s">
        <v>124</v>
      </c>
      <c r="G61" s="104" t="s">
        <v>278</v>
      </c>
      <c r="H61" s="48" t="s">
        <v>279</v>
      </c>
      <c r="I61" s="48"/>
      <c r="J61" s="48" t="s">
        <v>144</v>
      </c>
      <c r="L61" s="59" t="s">
        <v>411</v>
      </c>
      <c r="M61" s="50" t="s">
        <v>146</v>
      </c>
      <c r="N61" s="92" t="s">
        <v>147</v>
      </c>
      <c r="O61" s="92" t="s">
        <v>148</v>
      </c>
      <c r="P61" s="92" t="s">
        <v>149</v>
      </c>
      <c r="Q61" s="83">
        <v>300</v>
      </c>
      <c r="R61" s="83" t="s">
        <v>186</v>
      </c>
      <c r="S61" s="83"/>
      <c r="T61" s="92" t="s">
        <v>151</v>
      </c>
      <c r="U61" s="92"/>
      <c r="V61" s="92"/>
      <c r="W61" s="97"/>
      <c r="X61" s="84" t="s">
        <v>135</v>
      </c>
      <c r="Y61" s="92" t="s">
        <v>193</v>
      </c>
      <c r="Z61" s="92" t="s">
        <v>412</v>
      </c>
      <c r="AA61" s="84"/>
      <c r="AB61" s="89"/>
      <c r="AC61" s="84" t="s">
        <v>195</v>
      </c>
      <c r="AD61" s="89"/>
      <c r="AE61" s="83"/>
      <c r="AF61" s="92" t="s">
        <v>139</v>
      </c>
      <c r="AG61" s="86">
        <v>46062</v>
      </c>
      <c r="AH61" s="84" t="s">
        <v>70</v>
      </c>
      <c r="AI61" s="92" t="s">
        <v>140</v>
      </c>
      <c r="AJ61" s="89"/>
    </row>
    <row r="62" spans="1:36" ht="15.75" customHeight="1" x14ac:dyDescent="0.2">
      <c r="A62" s="78">
        <v>61</v>
      </c>
      <c r="B62" s="79">
        <v>45930</v>
      </c>
      <c r="C62" s="80">
        <v>5</v>
      </c>
      <c r="D62" s="80"/>
      <c r="E62" s="81" t="str">
        <f ca="1">IFERROR(__xludf.DUMMYFUNCTION("IF(G62="""","""",FILTER(Especie!$A$2:$A$982,Especie!$H$2:$H$982=G62))"),"FPVA_032")</f>
        <v>FPVA_032</v>
      </c>
      <c r="F62" s="48" t="s">
        <v>166</v>
      </c>
      <c r="G62" s="90" t="s">
        <v>413</v>
      </c>
      <c r="H62" s="48" t="s">
        <v>414</v>
      </c>
      <c r="I62" s="48"/>
      <c r="J62" s="48" t="s">
        <v>169</v>
      </c>
      <c r="L62" s="59"/>
      <c r="M62" s="50" t="s">
        <v>171</v>
      </c>
      <c r="N62" s="92" t="s">
        <v>147</v>
      </c>
      <c r="O62" s="92" t="s">
        <v>172</v>
      </c>
      <c r="P62" s="84" t="s">
        <v>217</v>
      </c>
      <c r="Q62" s="83">
        <v>3</v>
      </c>
      <c r="R62" s="83" t="s">
        <v>295</v>
      </c>
      <c r="S62" s="83"/>
      <c r="T62" s="92" t="s">
        <v>192</v>
      </c>
      <c r="U62" s="92"/>
      <c r="V62" s="92"/>
      <c r="W62" s="97"/>
      <c r="X62" s="84" t="s">
        <v>176</v>
      </c>
      <c r="Y62" s="92"/>
      <c r="Z62" s="92" t="s">
        <v>415</v>
      </c>
      <c r="AA62" s="84"/>
      <c r="AB62" s="89"/>
      <c r="AC62" s="84" t="s">
        <v>195</v>
      </c>
      <c r="AD62" s="89"/>
      <c r="AE62" s="83"/>
      <c r="AF62" s="92" t="s">
        <v>139</v>
      </c>
      <c r="AG62" s="86">
        <v>46062</v>
      </c>
      <c r="AH62" s="84" t="s">
        <v>70</v>
      </c>
      <c r="AI62" s="92" t="s">
        <v>140</v>
      </c>
      <c r="AJ62" s="89"/>
    </row>
    <row r="63" spans="1:36" ht="15.75" customHeight="1" x14ac:dyDescent="0.2">
      <c r="A63" s="78">
        <v>62</v>
      </c>
      <c r="B63" s="79">
        <v>45937</v>
      </c>
      <c r="C63" s="95">
        <v>8</v>
      </c>
      <c r="D63" s="80"/>
      <c r="E63" s="81" t="str">
        <f ca="1">IFERROR(__xludf.DUMMYFUNCTION("IF(G63="""","""",FILTER(Especie!$A$2:$A$982,Especie!$H$2:$H$982=G63))"),"FPVA_034")</f>
        <v>FPVA_034</v>
      </c>
      <c r="F63" s="48" t="s">
        <v>166</v>
      </c>
      <c r="G63" s="113" t="s">
        <v>416</v>
      </c>
      <c r="H63" s="98" t="s">
        <v>417</v>
      </c>
      <c r="I63" s="99"/>
      <c r="J63" s="48" t="s">
        <v>169</v>
      </c>
      <c r="L63" s="99" t="s">
        <v>418</v>
      </c>
      <c r="M63" s="98" t="s">
        <v>171</v>
      </c>
      <c r="N63" s="98" t="s">
        <v>147</v>
      </c>
      <c r="O63" s="98" t="s">
        <v>172</v>
      </c>
      <c r="P63" s="98" t="s">
        <v>217</v>
      </c>
      <c r="Q63" s="98">
        <v>1</v>
      </c>
      <c r="R63" s="98" t="s">
        <v>174</v>
      </c>
      <c r="S63" s="98"/>
      <c r="T63" s="98" t="s">
        <v>163</v>
      </c>
      <c r="U63" s="98"/>
      <c r="V63" s="98"/>
      <c r="W63" s="98"/>
      <c r="X63" s="84" t="s">
        <v>176</v>
      </c>
      <c r="Y63" s="98" t="s">
        <v>193</v>
      </c>
      <c r="Z63" s="98" t="s">
        <v>419</v>
      </c>
      <c r="AA63" s="98"/>
      <c r="AB63" s="98"/>
      <c r="AC63" s="98" t="s">
        <v>195</v>
      </c>
      <c r="AD63" s="98"/>
      <c r="AE63" s="98"/>
      <c r="AF63" s="92" t="s">
        <v>139</v>
      </c>
      <c r="AG63" s="86">
        <v>46062</v>
      </c>
      <c r="AH63" s="84" t="s">
        <v>70</v>
      </c>
      <c r="AI63" s="92" t="s">
        <v>140</v>
      </c>
      <c r="AJ63" s="89"/>
    </row>
    <row r="64" spans="1:36" ht="15.75" customHeight="1" x14ac:dyDescent="0.2">
      <c r="A64" s="78">
        <v>63</v>
      </c>
      <c r="B64" s="79">
        <v>45941</v>
      </c>
      <c r="C64" s="95">
        <v>7</v>
      </c>
      <c r="D64" s="80"/>
      <c r="E64" s="81" t="str">
        <f ca="1">IFERROR(__xludf.DUMMYFUNCTION("IF(G64="""","""",FILTER(Especie!$A$2:$A$982,Especie!$H$2:$H$982=G64))"),"FPVA_004")</f>
        <v>FPVA_004</v>
      </c>
      <c r="F64" s="48" t="s">
        <v>124</v>
      </c>
      <c r="G64" s="82" t="s">
        <v>221</v>
      </c>
      <c r="H64" s="99" t="s">
        <v>222</v>
      </c>
      <c r="I64" s="99"/>
      <c r="J64" s="99" t="s">
        <v>144</v>
      </c>
      <c r="K64" s="99"/>
      <c r="L64" s="99" t="s">
        <v>420</v>
      </c>
      <c r="M64" s="99" t="s">
        <v>146</v>
      </c>
      <c r="N64" s="98" t="s">
        <v>147</v>
      </c>
      <c r="O64" s="98" t="s">
        <v>161</v>
      </c>
      <c r="P64" s="98" t="s">
        <v>149</v>
      </c>
      <c r="Q64" s="98">
        <v>1</v>
      </c>
      <c r="R64" s="98" t="s">
        <v>191</v>
      </c>
      <c r="S64" s="98"/>
      <c r="T64" s="98" t="s">
        <v>163</v>
      </c>
      <c r="U64" s="98"/>
      <c r="V64" s="98"/>
      <c r="W64" s="98"/>
      <c r="X64" s="98" t="s">
        <v>215</v>
      </c>
      <c r="Y64" s="98" t="s">
        <v>193</v>
      </c>
      <c r="Z64" s="98" t="s">
        <v>421</v>
      </c>
      <c r="AA64" s="98" t="s">
        <v>422</v>
      </c>
      <c r="AB64" s="98"/>
      <c r="AC64" s="98" t="s">
        <v>343</v>
      </c>
      <c r="AD64" s="98"/>
      <c r="AE64" s="98"/>
      <c r="AF64" s="92" t="s">
        <v>139</v>
      </c>
      <c r="AG64" s="86">
        <v>46062</v>
      </c>
      <c r="AH64" s="84" t="s">
        <v>70</v>
      </c>
      <c r="AI64" s="92" t="s">
        <v>140</v>
      </c>
      <c r="AJ64" s="89"/>
    </row>
    <row r="65" spans="1:36" ht="15.75" customHeight="1" x14ac:dyDescent="0.2">
      <c r="A65" s="78">
        <v>64</v>
      </c>
      <c r="B65" s="79">
        <v>45941</v>
      </c>
      <c r="C65" s="80">
        <v>10</v>
      </c>
      <c r="D65" s="80"/>
      <c r="E65" s="81" t="str">
        <f ca="1">IFERROR(__xludf.DUMMYFUNCTION("IF(G65="""","""",FILTER(Especie!$A$2:$A$982,Especie!$H$2:$H$982=G65))"),"FPVA_013")</f>
        <v>FPVA_013</v>
      </c>
      <c r="F65" s="48" t="s">
        <v>124</v>
      </c>
      <c r="G65" s="104" t="s">
        <v>359</v>
      </c>
      <c r="H65" s="48" t="s">
        <v>360</v>
      </c>
      <c r="I65" s="48"/>
      <c r="J65" s="48" t="s">
        <v>144</v>
      </c>
      <c r="L65" s="59" t="s">
        <v>361</v>
      </c>
      <c r="M65" s="50" t="s">
        <v>146</v>
      </c>
      <c r="N65" s="97" t="s">
        <v>147</v>
      </c>
      <c r="O65" s="97" t="s">
        <v>148</v>
      </c>
      <c r="P65" s="92" t="s">
        <v>149</v>
      </c>
      <c r="Q65" s="83">
        <v>15</v>
      </c>
      <c r="R65" s="83" t="s">
        <v>212</v>
      </c>
      <c r="S65" s="83"/>
      <c r="T65" s="84" t="s">
        <v>163</v>
      </c>
      <c r="U65" s="89"/>
      <c r="V65" s="89"/>
      <c r="W65" s="97"/>
      <c r="X65" s="84" t="s">
        <v>200</v>
      </c>
      <c r="Y65" s="84" t="s">
        <v>193</v>
      </c>
      <c r="Z65" s="84" t="s">
        <v>423</v>
      </c>
      <c r="AA65" s="89"/>
      <c r="AB65" s="89"/>
      <c r="AC65" s="84" t="s">
        <v>138</v>
      </c>
      <c r="AD65" s="89"/>
      <c r="AE65" s="83"/>
      <c r="AF65" s="92" t="s">
        <v>139</v>
      </c>
      <c r="AG65" s="86">
        <v>46062</v>
      </c>
      <c r="AH65" s="84" t="s">
        <v>70</v>
      </c>
      <c r="AI65" s="92" t="s">
        <v>140</v>
      </c>
      <c r="AJ65" s="89"/>
    </row>
    <row r="66" spans="1:36" ht="15.75" customHeight="1" x14ac:dyDescent="0.2">
      <c r="A66" s="78">
        <v>65</v>
      </c>
      <c r="B66" s="79">
        <v>45943</v>
      </c>
      <c r="C66" s="95">
        <v>1</v>
      </c>
      <c r="D66" s="80"/>
      <c r="E66" s="81" t="str">
        <f ca="1">IFERROR(__xludf.DUMMYFUNCTION("IF(G66="""","""",FILTER(Especie!$A$2:$A$982,Especie!$H$2:$H$982=G66))"),"FPVA_011")</f>
        <v>FPVA_011</v>
      </c>
      <c r="F66" s="48" t="s">
        <v>124</v>
      </c>
      <c r="G66" s="112" t="s">
        <v>241</v>
      </c>
      <c r="H66" s="99" t="s">
        <v>242</v>
      </c>
      <c r="I66" s="99"/>
      <c r="J66" s="99" t="s">
        <v>127</v>
      </c>
      <c r="K66" s="59" t="s">
        <v>128</v>
      </c>
      <c r="L66" s="99" t="s">
        <v>424</v>
      </c>
      <c r="M66" s="99" t="s">
        <v>130</v>
      </c>
      <c r="N66" s="98" t="s">
        <v>147</v>
      </c>
      <c r="O66" s="98" t="s">
        <v>132</v>
      </c>
      <c r="P66" s="92" t="s">
        <v>237</v>
      </c>
      <c r="Q66" s="98">
        <v>10</v>
      </c>
      <c r="R66" s="98" t="s">
        <v>295</v>
      </c>
      <c r="S66" s="98"/>
      <c r="T66" s="98" t="s">
        <v>151</v>
      </c>
      <c r="U66" s="98"/>
      <c r="V66" s="98"/>
      <c r="W66" s="98"/>
      <c r="X66" s="84" t="s">
        <v>152</v>
      </c>
      <c r="Y66" s="98" t="s">
        <v>425</v>
      </c>
      <c r="Z66" s="98" t="s">
        <v>426</v>
      </c>
      <c r="AA66" s="98"/>
      <c r="AB66" s="98"/>
      <c r="AC66" s="84" t="s">
        <v>138</v>
      </c>
      <c r="AD66" s="98"/>
      <c r="AE66" s="98"/>
      <c r="AF66" s="92" t="s">
        <v>139</v>
      </c>
      <c r="AG66" s="86">
        <v>46062</v>
      </c>
      <c r="AH66" s="84" t="s">
        <v>70</v>
      </c>
      <c r="AI66" s="92" t="s">
        <v>140</v>
      </c>
      <c r="AJ66" s="89"/>
    </row>
    <row r="67" spans="1:36" ht="15.75" customHeight="1" x14ac:dyDescent="0.2">
      <c r="A67" s="78">
        <v>66</v>
      </c>
      <c r="B67" s="79">
        <v>45945</v>
      </c>
      <c r="C67" s="80">
        <v>6</v>
      </c>
      <c r="D67" s="80"/>
      <c r="E67" s="81" t="str">
        <f ca="1">IFERROR(__xludf.DUMMYFUNCTION("IF(G67="""","""",FILTER(Especie!$A$2:$A$982,Especie!$H$2:$H$982=G67))"),"FPVA_016")</f>
        <v>FPVA_016</v>
      </c>
      <c r="F67" s="48" t="s">
        <v>124</v>
      </c>
      <c r="G67" s="104" t="s">
        <v>327</v>
      </c>
      <c r="H67" s="48" t="s">
        <v>328</v>
      </c>
      <c r="I67" s="48"/>
      <c r="J67" s="48" t="s">
        <v>169</v>
      </c>
      <c r="L67" s="59" t="s">
        <v>329</v>
      </c>
      <c r="M67" s="50" t="s">
        <v>269</v>
      </c>
      <c r="N67" s="97" t="s">
        <v>147</v>
      </c>
      <c r="O67" s="97" t="s">
        <v>148</v>
      </c>
      <c r="P67" s="92" t="s">
        <v>149</v>
      </c>
      <c r="Q67" s="83">
        <v>100</v>
      </c>
      <c r="R67" s="83" t="s">
        <v>186</v>
      </c>
      <c r="S67" s="83"/>
      <c r="T67" s="84" t="s">
        <v>151</v>
      </c>
      <c r="U67" s="89"/>
      <c r="V67" s="89"/>
      <c r="W67" s="97"/>
      <c r="X67" s="84" t="s">
        <v>135</v>
      </c>
      <c r="Y67" s="84" t="s">
        <v>330</v>
      </c>
      <c r="Z67" s="94" t="s">
        <v>331</v>
      </c>
      <c r="AA67" s="84" t="s">
        <v>332</v>
      </c>
      <c r="AB67" s="89"/>
      <c r="AC67" s="84" t="s">
        <v>138</v>
      </c>
      <c r="AD67" s="89"/>
      <c r="AE67" s="83"/>
      <c r="AF67" s="92" t="s">
        <v>139</v>
      </c>
      <c r="AG67" s="86">
        <v>46062</v>
      </c>
      <c r="AH67" s="84" t="s">
        <v>70</v>
      </c>
      <c r="AI67" s="92" t="s">
        <v>140</v>
      </c>
      <c r="AJ67" s="89"/>
    </row>
    <row r="68" spans="1:36" ht="15.75" customHeight="1" x14ac:dyDescent="0.2">
      <c r="A68" s="78">
        <v>67</v>
      </c>
      <c r="B68" s="79">
        <v>45945</v>
      </c>
      <c r="C68" s="95">
        <v>11</v>
      </c>
      <c r="D68" s="80"/>
      <c r="E68" s="81" t="str">
        <f ca="1">IFERROR(__xludf.DUMMYFUNCTION("IF(G68="""","""",FILTER(Especie!$A$2:$A$982,Especie!$H$2:$H$982=G68))"),"FPVA_044")</f>
        <v>FPVA_044</v>
      </c>
      <c r="F68" s="48" t="s">
        <v>166</v>
      </c>
      <c r="G68" s="114" t="s">
        <v>427</v>
      </c>
      <c r="H68" s="91" t="s">
        <v>428</v>
      </c>
      <c r="I68" s="91"/>
      <c r="J68" s="91" t="s">
        <v>169</v>
      </c>
      <c r="K68" s="101"/>
      <c r="L68" s="91" t="s">
        <v>429</v>
      </c>
      <c r="M68" s="99" t="s">
        <v>171</v>
      </c>
      <c r="N68" s="91" t="s">
        <v>147</v>
      </c>
      <c r="O68" s="91" t="s">
        <v>172</v>
      </c>
      <c r="P68" s="84" t="s">
        <v>217</v>
      </c>
      <c r="Q68" s="91">
        <v>5</v>
      </c>
      <c r="R68" s="91" t="s">
        <v>371</v>
      </c>
      <c r="S68" s="91"/>
      <c r="T68" s="91" t="s">
        <v>151</v>
      </c>
      <c r="U68" s="91"/>
      <c r="V68" s="91"/>
      <c r="W68" s="91"/>
      <c r="X68" s="91" t="s">
        <v>430</v>
      </c>
      <c r="Y68" s="91" t="s">
        <v>431</v>
      </c>
      <c r="Z68" s="91" t="s">
        <v>432</v>
      </c>
      <c r="AA68" s="91"/>
      <c r="AB68" s="91"/>
      <c r="AC68" s="91" t="s">
        <v>433</v>
      </c>
      <c r="AD68" s="91"/>
      <c r="AE68" s="91"/>
      <c r="AF68" s="92" t="s">
        <v>139</v>
      </c>
      <c r="AG68" s="86">
        <v>46062</v>
      </c>
      <c r="AH68" s="84" t="s">
        <v>70</v>
      </c>
      <c r="AI68" s="92" t="s">
        <v>140</v>
      </c>
      <c r="AJ68" s="89"/>
    </row>
    <row r="69" spans="1:36" ht="15.75" customHeight="1" x14ac:dyDescent="0.2">
      <c r="A69" s="78">
        <v>68</v>
      </c>
      <c r="B69" s="79">
        <v>45945</v>
      </c>
      <c r="C69" s="95">
        <v>5</v>
      </c>
      <c r="D69" s="80"/>
      <c r="E69" s="81" t="str">
        <f ca="1">IFERROR(__xludf.DUMMYFUNCTION("IF(G69="""","""",FILTER(Especie!$A$2:$A$982,Especie!$H$2:$H$982=G69))"),"FPVA_039")</f>
        <v>FPVA_039</v>
      </c>
      <c r="F69" s="48" t="s">
        <v>124</v>
      </c>
      <c r="G69" s="112" t="s">
        <v>434</v>
      </c>
      <c r="H69" s="99" t="s">
        <v>435</v>
      </c>
      <c r="I69" s="99"/>
      <c r="J69" s="99" t="s">
        <v>127</v>
      </c>
      <c r="K69" s="59" t="s">
        <v>128</v>
      </c>
      <c r="L69" s="99"/>
      <c r="M69" s="50" t="s">
        <v>314</v>
      </c>
      <c r="N69" s="98" t="s">
        <v>147</v>
      </c>
      <c r="O69" s="98" t="s">
        <v>132</v>
      </c>
      <c r="P69" s="98" t="s">
        <v>436</v>
      </c>
      <c r="Q69" s="98">
        <v>6</v>
      </c>
      <c r="R69" s="98" t="s">
        <v>315</v>
      </c>
      <c r="S69" s="98"/>
      <c r="T69" s="98"/>
      <c r="U69" s="98"/>
      <c r="V69" s="98"/>
      <c r="W69" s="98"/>
      <c r="X69" s="98" t="s">
        <v>437</v>
      </c>
      <c r="Y69" s="98" t="s">
        <v>246</v>
      </c>
      <c r="Z69" s="98" t="s">
        <v>438</v>
      </c>
      <c r="AA69" s="98"/>
      <c r="AB69" s="98"/>
      <c r="AC69" s="98" t="s">
        <v>195</v>
      </c>
      <c r="AD69" s="98"/>
      <c r="AE69" s="98"/>
      <c r="AF69" s="92" t="s">
        <v>139</v>
      </c>
      <c r="AG69" s="86">
        <v>46062</v>
      </c>
      <c r="AH69" s="84" t="s">
        <v>70</v>
      </c>
      <c r="AI69" s="92" t="s">
        <v>140</v>
      </c>
      <c r="AJ69" s="89"/>
    </row>
    <row r="70" spans="1:36" ht="15.75" customHeight="1" x14ac:dyDescent="0.2">
      <c r="A70" s="78">
        <v>69</v>
      </c>
      <c r="B70" s="79">
        <v>45947</v>
      </c>
      <c r="C70" s="95">
        <v>15</v>
      </c>
      <c r="D70" s="44"/>
      <c r="E70" s="81" t="str">
        <f ca="1">IFERROR(__xludf.DUMMYFUNCTION("IF(G70="""","""",FILTER(Especie!$A$2:$A$982,Especie!$H$2:$H$982=G70))"),"FPVA_011")</f>
        <v>FPVA_011</v>
      </c>
      <c r="F70" s="48" t="s">
        <v>124</v>
      </c>
      <c r="G70" s="104" t="s">
        <v>241</v>
      </c>
      <c r="H70" s="98" t="s">
        <v>242</v>
      </c>
      <c r="I70" s="99"/>
      <c r="J70" s="98" t="s">
        <v>127</v>
      </c>
      <c r="K70" s="59" t="s">
        <v>128</v>
      </c>
      <c r="L70" s="98"/>
      <c r="M70" s="99" t="s">
        <v>130</v>
      </c>
      <c r="N70" s="98" t="s">
        <v>131</v>
      </c>
      <c r="O70" s="98" t="s">
        <v>132</v>
      </c>
      <c r="P70" s="98" t="s">
        <v>133</v>
      </c>
      <c r="Q70" s="98">
        <v>2</v>
      </c>
      <c r="R70" s="98" t="s">
        <v>134</v>
      </c>
      <c r="S70" s="98"/>
      <c r="T70" s="98" t="s">
        <v>151</v>
      </c>
      <c r="U70" s="98"/>
      <c r="V70" s="98"/>
      <c r="W70" s="98"/>
      <c r="X70" s="84" t="s">
        <v>135</v>
      </c>
      <c r="Y70" s="98" t="s">
        <v>246</v>
      </c>
      <c r="Z70" s="98" t="s">
        <v>439</v>
      </c>
      <c r="AA70" s="98"/>
      <c r="AB70" s="98"/>
      <c r="AC70" s="98" t="s">
        <v>440</v>
      </c>
      <c r="AD70" s="98"/>
      <c r="AE70" s="98"/>
      <c r="AF70" s="92" t="s">
        <v>139</v>
      </c>
      <c r="AG70" s="86">
        <v>46062</v>
      </c>
      <c r="AH70" s="84" t="s">
        <v>70</v>
      </c>
      <c r="AI70" s="92" t="s">
        <v>140</v>
      </c>
      <c r="AJ70" s="89"/>
    </row>
    <row r="71" spans="1:36" ht="15.75" customHeight="1" x14ac:dyDescent="0.2">
      <c r="A71" s="78">
        <v>70</v>
      </c>
      <c r="B71" s="79">
        <v>45948</v>
      </c>
      <c r="C71" s="95">
        <v>2</v>
      </c>
      <c r="D71" s="80"/>
      <c r="E71" s="81" t="str">
        <f ca="1">IFERROR(__xludf.DUMMYFUNCTION("IF(G71="""","""",FILTER(Especie!$A$2:$A$982,Especie!$H$2:$H$982=G71))"),"FPVA_019")</f>
        <v>FPVA_019</v>
      </c>
      <c r="F71" s="48" t="s">
        <v>124</v>
      </c>
      <c r="G71" s="104" t="s">
        <v>248</v>
      </c>
      <c r="H71" s="98" t="s">
        <v>249</v>
      </c>
      <c r="I71" s="99"/>
      <c r="J71" s="98" t="s">
        <v>144</v>
      </c>
      <c r="K71" s="99"/>
      <c r="L71" s="98" t="s">
        <v>441</v>
      </c>
      <c r="M71" s="98" t="s">
        <v>146</v>
      </c>
      <c r="N71" s="98" t="s">
        <v>147</v>
      </c>
      <c r="O71" s="98" t="s">
        <v>161</v>
      </c>
      <c r="P71" s="98" t="s">
        <v>133</v>
      </c>
      <c r="Q71" s="98">
        <v>150</v>
      </c>
      <c r="R71" s="98" t="s">
        <v>186</v>
      </c>
      <c r="S71" s="98"/>
      <c r="T71" s="98"/>
      <c r="U71" s="98"/>
      <c r="V71" s="98"/>
      <c r="W71" s="98"/>
      <c r="X71" s="84" t="s">
        <v>252</v>
      </c>
      <c r="Y71" s="98" t="s">
        <v>425</v>
      </c>
      <c r="Z71" s="98" t="s">
        <v>442</v>
      </c>
      <c r="AA71" s="98"/>
      <c r="AB71" s="98"/>
      <c r="AC71" s="98" t="s">
        <v>155</v>
      </c>
      <c r="AD71" s="98"/>
      <c r="AE71" s="98"/>
      <c r="AF71" s="92" t="s">
        <v>139</v>
      </c>
      <c r="AG71" s="86">
        <v>46062</v>
      </c>
      <c r="AH71" s="84" t="s">
        <v>70</v>
      </c>
      <c r="AI71" s="92" t="s">
        <v>140</v>
      </c>
      <c r="AJ71" s="89"/>
    </row>
    <row r="72" spans="1:36" ht="15.75" customHeight="1" x14ac:dyDescent="0.2">
      <c r="A72" s="78">
        <v>71</v>
      </c>
      <c r="B72" s="79">
        <v>45950</v>
      </c>
      <c r="C72" s="95">
        <v>1</v>
      </c>
      <c r="D72" s="80"/>
      <c r="E72" s="81" t="str">
        <f ca="1">IFERROR(__xludf.DUMMYFUNCTION("IF(G72="""","""",FILTER(Especie!$A$2:$A$982,Especie!$H$2:$H$982=G72))"),"FPVA_038")</f>
        <v>FPVA_038</v>
      </c>
      <c r="F72" s="98" t="s">
        <v>257</v>
      </c>
      <c r="G72" s="110" t="s">
        <v>364</v>
      </c>
      <c r="H72" s="98" t="s">
        <v>365</v>
      </c>
      <c r="I72" s="99"/>
      <c r="J72" s="98" t="s">
        <v>169</v>
      </c>
      <c r="K72" s="98"/>
      <c r="L72" s="99" t="s">
        <v>443</v>
      </c>
      <c r="M72" s="98" t="s">
        <v>171</v>
      </c>
      <c r="N72" s="98" t="s">
        <v>147</v>
      </c>
      <c r="O72" s="98" t="s">
        <v>262</v>
      </c>
      <c r="P72" s="98" t="s">
        <v>353</v>
      </c>
      <c r="Q72" s="98">
        <v>11</v>
      </c>
      <c r="R72" s="98" t="s">
        <v>295</v>
      </c>
      <c r="S72" s="98" t="s">
        <v>444</v>
      </c>
      <c r="T72" s="98" t="s">
        <v>151</v>
      </c>
      <c r="U72" s="98"/>
      <c r="V72" s="98"/>
      <c r="W72" s="98"/>
      <c r="X72" s="84" t="s">
        <v>152</v>
      </c>
      <c r="Y72" s="98" t="s">
        <v>445</v>
      </c>
      <c r="Z72" s="98" t="s">
        <v>446</v>
      </c>
      <c r="AA72" s="98"/>
      <c r="AB72" s="98"/>
      <c r="AC72" s="84" t="s">
        <v>138</v>
      </c>
      <c r="AD72" s="98"/>
      <c r="AE72" s="98"/>
      <c r="AF72" s="92" t="s">
        <v>139</v>
      </c>
      <c r="AG72" s="86">
        <v>46062</v>
      </c>
      <c r="AH72" s="84" t="s">
        <v>70</v>
      </c>
      <c r="AI72" s="92" t="s">
        <v>140</v>
      </c>
      <c r="AJ72" s="89"/>
    </row>
    <row r="73" spans="1:36" ht="15.75" customHeight="1" x14ac:dyDescent="0.2">
      <c r="A73" s="78">
        <v>72</v>
      </c>
      <c r="B73" s="79">
        <v>45950</v>
      </c>
      <c r="C73" s="95">
        <v>5</v>
      </c>
      <c r="D73" s="80"/>
      <c r="E73" s="81" t="str">
        <f ca="1">IFERROR(__xludf.DUMMYFUNCTION("IF(G73="""","""",FILTER(Especie!$A$2:$A$982,Especie!$H$2:$H$982=G73))"),"FPVA_028")</f>
        <v>FPVA_028</v>
      </c>
      <c r="F73" s="98" t="s">
        <v>257</v>
      </c>
      <c r="G73" s="108" t="s">
        <v>320</v>
      </c>
      <c r="H73" s="91" t="s">
        <v>321</v>
      </c>
      <c r="I73" s="101"/>
      <c r="J73" s="91" t="s">
        <v>169</v>
      </c>
      <c r="K73" s="91"/>
      <c r="L73" s="101" t="s">
        <v>447</v>
      </c>
      <c r="M73" s="101" t="s">
        <v>171</v>
      </c>
      <c r="N73" s="91" t="s">
        <v>147</v>
      </c>
      <c r="O73" s="91" t="s">
        <v>262</v>
      </c>
      <c r="P73" s="91" t="s">
        <v>263</v>
      </c>
      <c r="Q73" s="91">
        <v>3</v>
      </c>
      <c r="R73" s="91" t="s">
        <v>174</v>
      </c>
      <c r="S73" s="89"/>
      <c r="T73" s="91" t="s">
        <v>214</v>
      </c>
      <c r="U73" s="91"/>
      <c r="V73" s="91"/>
      <c r="W73" s="91"/>
      <c r="X73" s="98" t="s">
        <v>366</v>
      </c>
      <c r="Y73" s="91"/>
      <c r="Z73" s="91" t="s">
        <v>448</v>
      </c>
      <c r="AA73" s="91"/>
      <c r="AB73" s="91"/>
      <c r="AC73" s="91" t="s">
        <v>449</v>
      </c>
      <c r="AD73" s="91"/>
      <c r="AE73" s="91"/>
      <c r="AF73" s="92" t="s">
        <v>139</v>
      </c>
      <c r="AG73" s="86">
        <v>46062</v>
      </c>
      <c r="AH73" s="84" t="s">
        <v>70</v>
      </c>
      <c r="AI73" s="92" t="s">
        <v>140</v>
      </c>
      <c r="AJ73" s="89"/>
    </row>
    <row r="74" spans="1:36" ht="15.75" customHeight="1" x14ac:dyDescent="0.2">
      <c r="A74" s="78">
        <v>73</v>
      </c>
      <c r="B74" s="79">
        <v>45951</v>
      </c>
      <c r="C74" s="80">
        <v>3</v>
      </c>
      <c r="D74" s="80"/>
      <c r="E74" s="81" t="str">
        <f ca="1">IFERROR(__xludf.DUMMYFUNCTION("IF(G74="""","""",FILTER(Especie!$A$2:$A$982,Especie!$H$2:$H$982=G74))"),"FPVA_033")</f>
        <v>FPVA_033</v>
      </c>
      <c r="F74" s="48" t="s">
        <v>124</v>
      </c>
      <c r="G74" s="104" t="s">
        <v>450</v>
      </c>
      <c r="H74" s="48" t="s">
        <v>451</v>
      </c>
      <c r="I74" s="48"/>
      <c r="J74" s="48" t="s">
        <v>234</v>
      </c>
      <c r="L74" s="59" t="s">
        <v>452</v>
      </c>
      <c r="M74" s="97" t="s">
        <v>130</v>
      </c>
      <c r="N74" s="92" t="s">
        <v>147</v>
      </c>
      <c r="O74" s="92" t="s">
        <v>132</v>
      </c>
      <c r="P74" s="92" t="s">
        <v>133</v>
      </c>
      <c r="Q74" s="83">
        <v>40</v>
      </c>
      <c r="R74" s="83" t="s">
        <v>218</v>
      </c>
      <c r="S74" s="83"/>
      <c r="T74" s="92" t="s">
        <v>151</v>
      </c>
      <c r="U74" s="92"/>
      <c r="V74" s="92"/>
      <c r="W74" s="97"/>
      <c r="X74" s="84" t="s">
        <v>152</v>
      </c>
      <c r="Y74" s="92"/>
      <c r="Z74" s="92" t="s">
        <v>453</v>
      </c>
      <c r="AA74" s="84" t="s">
        <v>454</v>
      </c>
      <c r="AB74" s="89"/>
      <c r="AC74" s="84" t="s">
        <v>155</v>
      </c>
      <c r="AD74" s="89"/>
      <c r="AE74" s="83"/>
      <c r="AF74" s="92" t="s">
        <v>139</v>
      </c>
      <c r="AG74" s="86">
        <v>46062</v>
      </c>
      <c r="AH74" s="84" t="s">
        <v>70</v>
      </c>
      <c r="AI74" s="92" t="s">
        <v>140</v>
      </c>
      <c r="AJ74" s="89"/>
    </row>
    <row r="75" spans="1:36" ht="15.75" customHeight="1" x14ac:dyDescent="0.2">
      <c r="A75" s="78">
        <v>74</v>
      </c>
      <c r="B75" s="79">
        <v>45955</v>
      </c>
      <c r="C75" s="95">
        <v>8</v>
      </c>
      <c r="D75" s="80"/>
      <c r="E75" s="81" t="str">
        <f ca="1">IFERROR(__xludf.DUMMYFUNCTION("IF(G75="""","""",FILTER(Especie!$A$2:$A$982,Especie!$H$2:$H$982=G75))"),"FPVA_035")</f>
        <v>FPVA_035</v>
      </c>
      <c r="F75" s="99" t="s">
        <v>124</v>
      </c>
      <c r="G75" s="110" t="s">
        <v>333</v>
      </c>
      <c r="H75" s="99" t="s">
        <v>396</v>
      </c>
      <c r="I75" s="99"/>
      <c r="J75" s="99" t="s">
        <v>127</v>
      </c>
      <c r="K75" s="99"/>
      <c r="L75" s="99" t="s">
        <v>128</v>
      </c>
      <c r="M75" s="99" t="s">
        <v>160</v>
      </c>
      <c r="N75" s="98" t="s">
        <v>131</v>
      </c>
      <c r="O75" s="98" t="s">
        <v>161</v>
      </c>
      <c r="P75" s="98" t="s">
        <v>133</v>
      </c>
      <c r="Q75" s="98">
        <v>12</v>
      </c>
      <c r="R75" s="98" t="s">
        <v>174</v>
      </c>
      <c r="S75" s="98"/>
      <c r="T75" s="98" t="s">
        <v>151</v>
      </c>
      <c r="U75" s="98"/>
      <c r="V75" s="98"/>
      <c r="W75" s="98"/>
      <c r="X75" s="98" t="s">
        <v>135</v>
      </c>
      <c r="Y75" s="98" t="s">
        <v>148</v>
      </c>
      <c r="Z75" s="98" t="s">
        <v>455</v>
      </c>
      <c r="AA75" s="98" t="s">
        <v>133</v>
      </c>
      <c r="AB75" s="98"/>
      <c r="AC75" s="102" t="s">
        <v>195</v>
      </c>
      <c r="AD75" s="98"/>
      <c r="AE75" s="83"/>
      <c r="AF75" s="92" t="s">
        <v>139</v>
      </c>
      <c r="AG75" s="115">
        <v>46167</v>
      </c>
      <c r="AH75" s="89" t="s">
        <v>348</v>
      </c>
      <c r="AI75" s="92" t="s">
        <v>140</v>
      </c>
      <c r="AJ75" s="89"/>
    </row>
    <row r="76" spans="1:36" ht="15.75" customHeight="1" x14ac:dyDescent="0.2">
      <c r="A76" s="78">
        <v>75</v>
      </c>
      <c r="B76" s="79">
        <v>45958</v>
      </c>
      <c r="C76" s="95">
        <v>3</v>
      </c>
      <c r="D76" s="80"/>
      <c r="E76" s="81" t="str">
        <f ca="1">IFERROR(__xludf.DUMMYFUNCTION("IF(G76="""","""",FILTER(Especie!$A$2:$A$982,Especie!$H$2:$H$982=G76))"),"FPVA_040")</f>
        <v>FPVA_040</v>
      </c>
      <c r="F76" s="48" t="s">
        <v>124</v>
      </c>
      <c r="G76" s="109" t="s">
        <v>456</v>
      </c>
      <c r="H76" s="98" t="s">
        <v>457</v>
      </c>
      <c r="I76" s="98"/>
      <c r="J76" s="98" t="s">
        <v>182</v>
      </c>
      <c r="K76" s="99" t="s">
        <v>183</v>
      </c>
      <c r="L76" s="99"/>
      <c r="M76" s="98" t="s">
        <v>146</v>
      </c>
      <c r="N76" s="98" t="s">
        <v>458</v>
      </c>
      <c r="O76" s="98" t="s">
        <v>161</v>
      </c>
      <c r="P76" s="84" t="s">
        <v>133</v>
      </c>
      <c r="Q76" s="98"/>
      <c r="R76" s="98"/>
      <c r="S76" s="98" t="s">
        <v>444</v>
      </c>
      <c r="T76" s="98" t="s">
        <v>151</v>
      </c>
      <c r="U76" s="98"/>
      <c r="V76" s="98"/>
      <c r="W76" s="98"/>
      <c r="X76" s="98" t="s">
        <v>366</v>
      </c>
      <c r="Y76" s="98" t="s">
        <v>425</v>
      </c>
      <c r="Z76" s="98"/>
      <c r="AA76" s="98"/>
      <c r="AB76" s="98"/>
      <c r="AC76" s="84" t="s">
        <v>155</v>
      </c>
      <c r="AD76" s="98"/>
      <c r="AE76" s="98"/>
      <c r="AF76" s="92" t="s">
        <v>139</v>
      </c>
      <c r="AG76" s="86">
        <v>46062</v>
      </c>
      <c r="AH76" s="84" t="s">
        <v>70</v>
      </c>
      <c r="AI76" s="92" t="s">
        <v>140</v>
      </c>
      <c r="AJ76" s="89"/>
    </row>
    <row r="77" spans="1:36" ht="15.75" customHeight="1" x14ac:dyDescent="0.2">
      <c r="A77" s="78">
        <v>76</v>
      </c>
      <c r="B77" s="79">
        <v>45958</v>
      </c>
      <c r="C77" s="80">
        <v>13</v>
      </c>
      <c r="D77" s="80"/>
      <c r="E77" s="81" t="str">
        <f ca="1">IFERROR(__xludf.DUMMYFUNCTION("IF(G77="""","""",FILTER(Especie!$A$2:$A$982,Especie!$H$2:$H$982=G77))"),"FPVA_018")</f>
        <v>FPVA_018</v>
      </c>
      <c r="F77" s="48" t="s">
        <v>124</v>
      </c>
      <c r="G77" s="104" t="s">
        <v>459</v>
      </c>
      <c r="H77" s="48" t="s">
        <v>460</v>
      </c>
      <c r="I77" s="48"/>
      <c r="J77" s="48" t="s">
        <v>144</v>
      </c>
      <c r="L77" s="59" t="s">
        <v>461</v>
      </c>
      <c r="M77" s="50" t="s">
        <v>146</v>
      </c>
      <c r="N77" s="97" t="s">
        <v>147</v>
      </c>
      <c r="O77" s="97" t="s">
        <v>161</v>
      </c>
      <c r="P77" s="92" t="s">
        <v>350</v>
      </c>
      <c r="Q77" s="83">
        <v>3</v>
      </c>
      <c r="R77" s="83" t="s">
        <v>212</v>
      </c>
      <c r="S77" s="83"/>
      <c r="T77" s="84" t="s">
        <v>163</v>
      </c>
      <c r="U77" s="89"/>
      <c r="V77" s="89"/>
      <c r="W77" s="97"/>
      <c r="X77" s="98" t="s">
        <v>215</v>
      </c>
      <c r="Y77" s="84" t="s">
        <v>462</v>
      </c>
      <c r="Z77" s="84" t="s">
        <v>463</v>
      </c>
      <c r="AA77" s="89"/>
      <c r="AB77" s="89"/>
      <c r="AC77" s="84" t="s">
        <v>138</v>
      </c>
      <c r="AD77" s="89"/>
      <c r="AE77" s="83"/>
      <c r="AF77" s="92" t="s">
        <v>139</v>
      </c>
      <c r="AG77" s="86">
        <v>46062</v>
      </c>
      <c r="AH77" s="84" t="s">
        <v>70</v>
      </c>
      <c r="AI77" s="92" t="s">
        <v>140</v>
      </c>
      <c r="AJ77" s="89"/>
    </row>
    <row r="78" spans="1:36" ht="15.75" customHeight="1" x14ac:dyDescent="0.2">
      <c r="A78" s="78">
        <v>77</v>
      </c>
      <c r="B78" s="79">
        <v>45958</v>
      </c>
      <c r="C78" s="95">
        <v>4</v>
      </c>
      <c r="D78" s="44"/>
      <c r="E78" s="81" t="str">
        <f ca="1">IFERROR(__xludf.DUMMYFUNCTION("IF(G78="""","""",FILTER(Especie!$A$2:$A$982,Especie!$H$2:$H$982=G78))"),"FPVA_024")</f>
        <v>FPVA_024</v>
      </c>
      <c r="F78" s="48" t="s">
        <v>124</v>
      </c>
      <c r="G78" s="104" t="s">
        <v>278</v>
      </c>
      <c r="H78" s="98" t="s">
        <v>279</v>
      </c>
      <c r="I78" s="99"/>
      <c r="J78" s="48" t="s">
        <v>144</v>
      </c>
      <c r="K78" s="99"/>
      <c r="L78" s="98" t="s">
        <v>464</v>
      </c>
      <c r="M78" s="99" t="s">
        <v>146</v>
      </c>
      <c r="N78" s="98" t="s">
        <v>147</v>
      </c>
      <c r="O78" s="98" t="s">
        <v>148</v>
      </c>
      <c r="P78" s="92" t="s">
        <v>149</v>
      </c>
      <c r="Q78" s="98">
        <v>10</v>
      </c>
      <c r="R78" s="98" t="s">
        <v>212</v>
      </c>
      <c r="S78" s="98"/>
      <c r="T78" s="98"/>
      <c r="U78" s="98"/>
      <c r="V78" s="98"/>
      <c r="W78" s="98"/>
      <c r="X78" s="84" t="s">
        <v>135</v>
      </c>
      <c r="Y78" s="98" t="s">
        <v>193</v>
      </c>
      <c r="Z78" s="98"/>
      <c r="AA78" s="98"/>
      <c r="AB78" s="98"/>
      <c r="AC78" s="98"/>
      <c r="AD78" s="98"/>
      <c r="AE78" s="98"/>
      <c r="AF78" s="92" t="s">
        <v>139</v>
      </c>
      <c r="AG78" s="86">
        <v>46062</v>
      </c>
      <c r="AH78" s="84" t="s">
        <v>70</v>
      </c>
      <c r="AI78" s="92" t="s">
        <v>140</v>
      </c>
      <c r="AJ78" s="89"/>
    </row>
    <row r="79" spans="1:36" ht="15.75" customHeight="1" x14ac:dyDescent="0.2">
      <c r="A79" s="78">
        <v>78</v>
      </c>
      <c r="B79" s="79">
        <v>45958</v>
      </c>
      <c r="C79" s="95">
        <v>7</v>
      </c>
      <c r="D79" s="80"/>
      <c r="E79" s="81" t="str">
        <f ca="1">IFERROR(__xludf.DUMMYFUNCTION("IF(G79="""","""",FILTER(Especie!$A$2:$A$982,Especie!$H$2:$H$982=G79))"),"FPVA_005")</f>
        <v>FPVA_005</v>
      </c>
      <c r="F79" s="48" t="s">
        <v>124</v>
      </c>
      <c r="G79" s="112" t="s">
        <v>188</v>
      </c>
      <c r="H79" s="98" t="s">
        <v>189</v>
      </c>
      <c r="I79" s="99"/>
      <c r="J79" s="98" t="s">
        <v>144</v>
      </c>
      <c r="K79" s="99"/>
      <c r="L79" s="98" t="s">
        <v>465</v>
      </c>
      <c r="M79" s="99" t="s">
        <v>146</v>
      </c>
      <c r="N79" s="98" t="s">
        <v>147</v>
      </c>
      <c r="O79" s="98" t="s">
        <v>161</v>
      </c>
      <c r="P79" s="98" t="s">
        <v>149</v>
      </c>
      <c r="Q79" s="98">
        <v>10</v>
      </c>
      <c r="R79" s="98" t="s">
        <v>186</v>
      </c>
      <c r="S79" s="98"/>
      <c r="T79" s="98" t="s">
        <v>466</v>
      </c>
      <c r="U79" s="98"/>
      <c r="V79" s="98"/>
      <c r="W79" s="98"/>
      <c r="X79" s="98" t="s">
        <v>215</v>
      </c>
      <c r="Y79" s="98" t="s">
        <v>193</v>
      </c>
      <c r="Z79" s="98"/>
      <c r="AA79" s="98"/>
      <c r="AB79" s="98"/>
      <c r="AC79" s="98"/>
      <c r="AD79" s="98"/>
      <c r="AE79" s="98"/>
      <c r="AF79" s="92" t="s">
        <v>139</v>
      </c>
      <c r="AG79" s="86">
        <v>46062</v>
      </c>
      <c r="AH79" s="84" t="s">
        <v>70</v>
      </c>
      <c r="AI79" s="92" t="s">
        <v>140</v>
      </c>
      <c r="AJ79" s="89"/>
    </row>
    <row r="80" spans="1:36" ht="15.75" customHeight="1" x14ac:dyDescent="0.2">
      <c r="A80" s="78">
        <v>79</v>
      </c>
      <c r="B80" s="79">
        <v>45958</v>
      </c>
      <c r="C80" s="95">
        <v>9</v>
      </c>
      <c r="D80" s="80"/>
      <c r="E80" s="81" t="str">
        <f ca="1">IFERROR(__xludf.DUMMYFUNCTION("IF(G80="""","""",FILTER(Especie!$A$2:$A$982,Especie!$H$2:$H$982=G80))"),"FPVA_028")</f>
        <v>FPVA_028</v>
      </c>
      <c r="F80" s="98" t="s">
        <v>257</v>
      </c>
      <c r="G80" s="110" t="s">
        <v>320</v>
      </c>
      <c r="H80" s="98" t="s">
        <v>321</v>
      </c>
      <c r="I80" s="99"/>
      <c r="J80" s="98" t="s">
        <v>169</v>
      </c>
      <c r="K80" s="98"/>
      <c r="L80" s="99" t="s">
        <v>322</v>
      </c>
      <c r="M80" s="98" t="s">
        <v>261</v>
      </c>
      <c r="N80" s="98" t="s">
        <v>147</v>
      </c>
      <c r="O80" s="98" t="s">
        <v>262</v>
      </c>
      <c r="P80" s="92" t="s">
        <v>133</v>
      </c>
      <c r="Q80" s="98">
        <v>5</v>
      </c>
      <c r="R80" s="98" t="s">
        <v>295</v>
      </c>
      <c r="S80" s="98"/>
      <c r="T80" s="98" t="s">
        <v>163</v>
      </c>
      <c r="U80" s="98"/>
      <c r="V80" s="98"/>
      <c r="W80" s="98"/>
      <c r="X80" s="84" t="s">
        <v>200</v>
      </c>
      <c r="Y80" s="98"/>
      <c r="Z80" s="98" t="s">
        <v>467</v>
      </c>
      <c r="AA80" s="98" t="s">
        <v>293</v>
      </c>
      <c r="AB80" s="98"/>
      <c r="AC80" s="98" t="s">
        <v>165</v>
      </c>
      <c r="AD80" s="98"/>
      <c r="AE80" s="98"/>
      <c r="AF80" s="92" t="s">
        <v>139</v>
      </c>
      <c r="AG80" s="86">
        <v>46062</v>
      </c>
      <c r="AH80" s="84" t="s">
        <v>70</v>
      </c>
      <c r="AI80" s="92" t="s">
        <v>140</v>
      </c>
      <c r="AJ80" s="89"/>
    </row>
    <row r="81" spans="1:48" ht="15.75" customHeight="1" x14ac:dyDescent="0.2">
      <c r="A81" s="78">
        <v>80</v>
      </c>
      <c r="B81" s="79">
        <v>45958</v>
      </c>
      <c r="C81" s="80">
        <v>15</v>
      </c>
      <c r="D81" s="44"/>
      <c r="E81" s="81" t="str">
        <f ca="1">IFERROR(__xludf.DUMMYFUNCTION("IF(G81="""","""",FILTER(Especie!$A$2:$A$982,Especie!$H$2:$H$982=G81))"),"FPVA_017")</f>
        <v>FPVA_017</v>
      </c>
      <c r="F81" s="59" t="s">
        <v>124</v>
      </c>
      <c r="G81" s="87" t="s">
        <v>285</v>
      </c>
      <c r="H81" s="48" t="s">
        <v>468</v>
      </c>
      <c r="J81" s="59" t="s">
        <v>158</v>
      </c>
      <c r="L81" s="88" t="s">
        <v>469</v>
      </c>
      <c r="M81" s="84" t="s">
        <v>146</v>
      </c>
      <c r="N81" s="84" t="s">
        <v>131</v>
      </c>
      <c r="O81" s="84" t="s">
        <v>161</v>
      </c>
      <c r="P81" s="84" t="s">
        <v>133</v>
      </c>
      <c r="Q81" s="89">
        <v>5</v>
      </c>
      <c r="R81" s="84" t="s">
        <v>470</v>
      </c>
      <c r="S81" s="89"/>
      <c r="T81" s="84" t="s">
        <v>151</v>
      </c>
      <c r="U81" s="89"/>
      <c r="V81" s="89"/>
      <c r="W81" s="84"/>
      <c r="X81" s="84" t="s">
        <v>135</v>
      </c>
      <c r="Y81" s="89" t="s">
        <v>471</v>
      </c>
      <c r="Z81" s="89" t="s">
        <v>472</v>
      </c>
      <c r="AA81" s="89" t="s">
        <v>203</v>
      </c>
      <c r="AB81" s="89"/>
      <c r="AC81" s="89" t="s">
        <v>165</v>
      </c>
      <c r="AD81" s="89"/>
      <c r="AE81" s="83"/>
      <c r="AF81" s="92" t="s">
        <v>139</v>
      </c>
      <c r="AG81" s="86">
        <v>46162</v>
      </c>
      <c r="AH81" s="84" t="s">
        <v>70</v>
      </c>
      <c r="AI81" s="92" t="s">
        <v>140</v>
      </c>
      <c r="AJ81" s="89"/>
    </row>
    <row r="82" spans="1:48" ht="15.75" customHeight="1" x14ac:dyDescent="0.2">
      <c r="A82" s="78">
        <v>81</v>
      </c>
      <c r="B82" s="79">
        <v>45960</v>
      </c>
      <c r="C82" s="95">
        <v>1</v>
      </c>
      <c r="D82" s="80"/>
      <c r="E82" s="81" t="str">
        <f ca="1">IFERROR(__xludf.DUMMYFUNCTION("IF(G82="""","""",FILTER(Especie!$A$2:$A$982,Especie!$H$2:$H$982=G82))"),"FPVA_028")</f>
        <v>FPVA_028</v>
      </c>
      <c r="F82" s="98" t="s">
        <v>257</v>
      </c>
      <c r="G82" s="108" t="s">
        <v>320</v>
      </c>
      <c r="H82" s="99" t="s">
        <v>321</v>
      </c>
      <c r="I82" s="99"/>
      <c r="J82" s="99" t="s">
        <v>169</v>
      </c>
      <c r="K82" s="99"/>
      <c r="L82" s="99" t="s">
        <v>473</v>
      </c>
      <c r="M82" s="99" t="s">
        <v>474</v>
      </c>
      <c r="N82" s="98" t="s">
        <v>147</v>
      </c>
      <c r="O82" s="98" t="s">
        <v>262</v>
      </c>
      <c r="P82" s="98" t="s">
        <v>353</v>
      </c>
      <c r="Q82" s="98">
        <v>10</v>
      </c>
      <c r="R82" s="98" t="s">
        <v>295</v>
      </c>
      <c r="S82" s="98"/>
      <c r="T82" s="98" t="s">
        <v>151</v>
      </c>
      <c r="U82" s="98"/>
      <c r="V82" s="98"/>
      <c r="W82" s="98"/>
      <c r="X82" s="84" t="s">
        <v>152</v>
      </c>
      <c r="Y82" s="98" t="s">
        <v>475</v>
      </c>
      <c r="Z82" s="98" t="s">
        <v>476</v>
      </c>
      <c r="AA82" s="98"/>
      <c r="AB82" s="98"/>
      <c r="AC82" s="98" t="s">
        <v>138</v>
      </c>
      <c r="AD82" s="98"/>
      <c r="AE82" s="98"/>
      <c r="AF82" s="92" t="s">
        <v>139</v>
      </c>
      <c r="AG82" s="86">
        <v>46062</v>
      </c>
      <c r="AH82" s="84" t="s">
        <v>70</v>
      </c>
      <c r="AI82" s="92" t="s">
        <v>140</v>
      </c>
      <c r="AJ82" s="89"/>
    </row>
    <row r="83" spans="1:48" ht="15.75" customHeight="1" x14ac:dyDescent="0.2">
      <c r="A83" s="78">
        <v>82</v>
      </c>
      <c r="B83" s="79">
        <v>45961</v>
      </c>
      <c r="C83" s="95">
        <v>5</v>
      </c>
      <c r="D83" s="80"/>
      <c r="E83" s="81" t="str">
        <f ca="1">IFERROR(__xludf.DUMMYFUNCTION("IF(G83="""","""",FILTER(Especie!$A$2:$A$982,Especie!$H$2:$H$982=G83))"),"FPVA_011")</f>
        <v>FPVA_011</v>
      </c>
      <c r="F83" s="48" t="s">
        <v>124</v>
      </c>
      <c r="G83" s="104" t="s">
        <v>241</v>
      </c>
      <c r="H83" s="91" t="s">
        <v>242</v>
      </c>
      <c r="I83" s="101"/>
      <c r="J83" s="91" t="s">
        <v>234</v>
      </c>
      <c r="K83" s="98" t="s">
        <v>235</v>
      </c>
      <c r="L83" s="101"/>
      <c r="M83" s="50" t="s">
        <v>314</v>
      </c>
      <c r="N83" s="91" t="s">
        <v>147</v>
      </c>
      <c r="O83" s="91" t="s">
        <v>132</v>
      </c>
      <c r="P83" s="91" t="s">
        <v>133</v>
      </c>
      <c r="Q83" s="91">
        <v>4</v>
      </c>
      <c r="R83" s="91" t="s">
        <v>162</v>
      </c>
      <c r="S83" s="89"/>
      <c r="T83" s="91" t="s">
        <v>226</v>
      </c>
      <c r="U83" s="91"/>
      <c r="V83" s="91"/>
      <c r="W83" s="91"/>
      <c r="X83" s="84" t="s">
        <v>200</v>
      </c>
      <c r="Y83" s="91" t="s">
        <v>425</v>
      </c>
      <c r="Z83" s="91" t="s">
        <v>477</v>
      </c>
      <c r="AA83" s="91"/>
      <c r="AB83" s="91"/>
      <c r="AC83" s="91" t="s">
        <v>195</v>
      </c>
      <c r="AD83" s="91"/>
      <c r="AE83" s="91"/>
      <c r="AF83" s="92" t="s">
        <v>139</v>
      </c>
      <c r="AG83" s="86">
        <v>46062</v>
      </c>
      <c r="AH83" s="84" t="s">
        <v>70</v>
      </c>
      <c r="AI83" s="92" t="s">
        <v>140</v>
      </c>
      <c r="AJ83" s="89"/>
    </row>
    <row r="84" spans="1:48" ht="15.75" customHeight="1" x14ac:dyDescent="0.2">
      <c r="A84" s="78">
        <v>83</v>
      </c>
      <c r="B84" s="79">
        <v>45961</v>
      </c>
      <c r="C84" s="95">
        <v>1</v>
      </c>
      <c r="D84" s="80"/>
      <c r="E84" s="81" t="str">
        <f ca="1">IFERROR(__xludf.DUMMYFUNCTION("IF(G84="""","""",FILTER(Especie!$A$2:$A$982,Especie!$H$2:$H$982=G84))"),"FPVA_011")</f>
        <v>FPVA_011</v>
      </c>
      <c r="F84" s="48" t="s">
        <v>124</v>
      </c>
      <c r="G84" s="104" t="s">
        <v>241</v>
      </c>
      <c r="H84" s="91" t="s">
        <v>242</v>
      </c>
      <c r="I84" s="91"/>
      <c r="J84" s="91" t="s">
        <v>127</v>
      </c>
      <c r="K84" s="59" t="s">
        <v>128</v>
      </c>
      <c r="L84" s="101"/>
      <c r="M84" s="101" t="s">
        <v>160</v>
      </c>
      <c r="N84" s="91" t="s">
        <v>131</v>
      </c>
      <c r="O84" s="91" t="s">
        <v>161</v>
      </c>
      <c r="P84" s="91" t="s">
        <v>133</v>
      </c>
      <c r="Q84" s="91">
        <v>13</v>
      </c>
      <c r="R84" s="91" t="s">
        <v>174</v>
      </c>
      <c r="S84" s="89"/>
      <c r="T84" s="91" t="s">
        <v>151</v>
      </c>
      <c r="U84" s="91"/>
      <c r="V84" s="91"/>
      <c r="W84" s="91"/>
      <c r="X84" s="84" t="s">
        <v>135</v>
      </c>
      <c r="Y84" s="91" t="s">
        <v>425</v>
      </c>
      <c r="Z84" s="91" t="s">
        <v>478</v>
      </c>
      <c r="AA84" s="116" t="s">
        <v>479</v>
      </c>
      <c r="AB84" s="116"/>
      <c r="AC84" s="116" t="s">
        <v>195</v>
      </c>
      <c r="AD84" s="91"/>
      <c r="AE84" s="91"/>
      <c r="AF84" s="92" t="s">
        <v>139</v>
      </c>
      <c r="AG84" s="86">
        <v>46062</v>
      </c>
      <c r="AH84" s="84" t="s">
        <v>70</v>
      </c>
      <c r="AI84" s="92" t="s">
        <v>140</v>
      </c>
      <c r="AJ84" s="89"/>
    </row>
    <row r="85" spans="1:48" ht="15.75" customHeight="1" x14ac:dyDescent="0.2">
      <c r="A85" s="78">
        <v>84</v>
      </c>
      <c r="B85" s="79">
        <v>45961</v>
      </c>
      <c r="C85" s="95">
        <v>1</v>
      </c>
      <c r="D85" s="80"/>
      <c r="E85" s="81" t="str">
        <f ca="1">IFERROR(__xludf.DUMMYFUNCTION("IF(G85="""","""",FILTER(Especie!$A$2:$A$982,Especie!$H$2:$H$982=G85))"),"FPVA_005")</f>
        <v>FPVA_005</v>
      </c>
      <c r="F85" s="48" t="s">
        <v>124</v>
      </c>
      <c r="G85" s="112" t="s">
        <v>188</v>
      </c>
      <c r="H85" s="91" t="s">
        <v>189</v>
      </c>
      <c r="I85" s="101"/>
      <c r="J85" s="91" t="s">
        <v>480</v>
      </c>
      <c r="K85" s="101"/>
      <c r="L85" s="98" t="s">
        <v>481</v>
      </c>
      <c r="M85" s="91" t="s">
        <v>146</v>
      </c>
      <c r="N85" s="91" t="s">
        <v>147</v>
      </c>
      <c r="O85" s="91" t="s">
        <v>161</v>
      </c>
      <c r="P85" s="91" t="s">
        <v>482</v>
      </c>
      <c r="Q85" s="91">
        <v>6</v>
      </c>
      <c r="R85" s="91" t="s">
        <v>212</v>
      </c>
      <c r="S85" s="89"/>
      <c r="T85" s="91" t="s">
        <v>163</v>
      </c>
      <c r="U85" s="91"/>
      <c r="V85" s="91"/>
      <c r="W85" s="91"/>
      <c r="X85" s="91" t="s">
        <v>215</v>
      </c>
      <c r="Y85" s="91" t="s">
        <v>193</v>
      </c>
      <c r="Z85" s="91" t="s">
        <v>483</v>
      </c>
      <c r="AA85" s="116"/>
      <c r="AB85" s="116"/>
      <c r="AC85" s="116" t="s">
        <v>155</v>
      </c>
      <c r="AD85" s="91"/>
      <c r="AE85" s="91"/>
      <c r="AF85" s="92" t="s">
        <v>139</v>
      </c>
      <c r="AG85" s="86">
        <v>46062</v>
      </c>
      <c r="AH85" s="84" t="s">
        <v>70</v>
      </c>
      <c r="AI85" s="92" t="s">
        <v>140</v>
      </c>
      <c r="AJ85" s="89"/>
    </row>
    <row r="86" spans="1:48" ht="15.75" customHeight="1" x14ac:dyDescent="0.2">
      <c r="A86" s="78">
        <v>85</v>
      </c>
      <c r="B86" s="79">
        <v>45961</v>
      </c>
      <c r="C86" s="95">
        <v>1</v>
      </c>
      <c r="D86" s="80"/>
      <c r="E86" s="81" t="str">
        <f ca="1">IFERROR(__xludf.DUMMYFUNCTION("IF(G86="""","""",FILTER(Especie!$A$2:$A$982,Especie!$H$2:$H$982=G86))"),"FPVA_005")</f>
        <v>FPVA_005</v>
      </c>
      <c r="F86" s="48" t="s">
        <v>124</v>
      </c>
      <c r="G86" s="112" t="s">
        <v>188</v>
      </c>
      <c r="H86" s="91" t="s">
        <v>189</v>
      </c>
      <c r="I86" s="91"/>
      <c r="J86" s="91" t="s">
        <v>144</v>
      </c>
      <c r="K86" s="91"/>
      <c r="L86" s="101" t="s">
        <v>484</v>
      </c>
      <c r="M86" s="101" t="s">
        <v>146</v>
      </c>
      <c r="N86" s="91" t="s">
        <v>147</v>
      </c>
      <c r="O86" s="91" t="s">
        <v>161</v>
      </c>
      <c r="P86" s="91" t="s">
        <v>133</v>
      </c>
      <c r="Q86" s="91">
        <v>100</v>
      </c>
      <c r="R86" s="91" t="s">
        <v>186</v>
      </c>
      <c r="S86" s="89"/>
      <c r="T86" s="91" t="s">
        <v>151</v>
      </c>
      <c r="U86" s="91"/>
      <c r="V86" s="91"/>
      <c r="W86" s="91"/>
      <c r="X86" s="91" t="s">
        <v>215</v>
      </c>
      <c r="Y86" s="91" t="s">
        <v>193</v>
      </c>
      <c r="Z86" s="91" t="s">
        <v>485</v>
      </c>
      <c r="AA86" s="91"/>
      <c r="AB86" s="91"/>
      <c r="AC86" s="91" t="s">
        <v>486</v>
      </c>
      <c r="AD86" s="91"/>
      <c r="AE86" s="91"/>
      <c r="AF86" s="92" t="s">
        <v>139</v>
      </c>
      <c r="AG86" s="86">
        <v>46062</v>
      </c>
      <c r="AH86" s="84" t="s">
        <v>70</v>
      </c>
      <c r="AI86" s="92" t="s">
        <v>140</v>
      </c>
      <c r="AJ86" s="89"/>
    </row>
    <row r="87" spans="1:48" ht="15.75" customHeight="1" x14ac:dyDescent="0.2">
      <c r="A87" s="78">
        <v>86</v>
      </c>
      <c r="B87" s="79">
        <v>45961</v>
      </c>
      <c r="C87" s="95">
        <v>10</v>
      </c>
      <c r="D87" s="80"/>
      <c r="E87" s="81" t="str">
        <f ca="1">IFERROR(__xludf.DUMMYFUNCTION("IF(G87="""","""",FILTER(Especie!$A$2:$A$982,Especie!$H$2:$H$982=G87))"),"FPVA_047")</f>
        <v>FPVA_047</v>
      </c>
      <c r="F87" s="48" t="s">
        <v>124</v>
      </c>
      <c r="G87" s="109" t="s">
        <v>487</v>
      </c>
      <c r="H87" s="91" t="s">
        <v>488</v>
      </c>
      <c r="I87" s="91"/>
      <c r="J87" s="91" t="s">
        <v>144</v>
      </c>
      <c r="K87" s="91"/>
      <c r="L87" s="101" t="s">
        <v>489</v>
      </c>
      <c r="M87" s="101" t="s">
        <v>490</v>
      </c>
      <c r="N87" s="91" t="s">
        <v>147</v>
      </c>
      <c r="O87" s="91" t="s">
        <v>161</v>
      </c>
      <c r="P87" s="91" t="s">
        <v>149</v>
      </c>
      <c r="Q87" s="91">
        <v>2</v>
      </c>
      <c r="R87" s="91" t="s">
        <v>191</v>
      </c>
      <c r="S87" s="89"/>
      <c r="T87" s="91" t="s">
        <v>163</v>
      </c>
      <c r="U87" s="91"/>
      <c r="V87" s="91"/>
      <c r="W87" s="91"/>
      <c r="X87" s="91" t="s">
        <v>215</v>
      </c>
      <c r="Y87" s="91" t="s">
        <v>193</v>
      </c>
      <c r="Z87" s="91" t="s">
        <v>491</v>
      </c>
      <c r="AA87" s="91"/>
      <c r="AB87" s="91"/>
      <c r="AC87" s="91" t="s">
        <v>138</v>
      </c>
      <c r="AD87" s="91"/>
      <c r="AE87" s="91"/>
      <c r="AF87" s="92" t="s">
        <v>139</v>
      </c>
      <c r="AG87" s="86">
        <v>46062</v>
      </c>
      <c r="AH87" s="84" t="s">
        <v>70</v>
      </c>
      <c r="AI87" s="92" t="s">
        <v>140</v>
      </c>
      <c r="AJ87" s="89"/>
    </row>
    <row r="88" spans="1:48" ht="15.75" customHeight="1" x14ac:dyDescent="0.2">
      <c r="A88" s="78">
        <v>87</v>
      </c>
      <c r="B88" s="79">
        <v>45961</v>
      </c>
      <c r="C88" s="95">
        <v>1</v>
      </c>
      <c r="D88" s="80"/>
      <c r="E88" s="81" t="str">
        <f ca="1">IFERROR(__xludf.DUMMYFUNCTION("IF(G88="""","""",FILTER(Especie!$A$2:$A$982,Especie!$H$2:$H$982=G88))"),"FPVA_009")</f>
        <v>FPVA_009</v>
      </c>
      <c r="F88" s="48" t="s">
        <v>124</v>
      </c>
      <c r="G88" s="82" t="s">
        <v>232</v>
      </c>
      <c r="H88" s="91" t="s">
        <v>233</v>
      </c>
      <c r="I88" s="91"/>
      <c r="J88" s="91" t="s">
        <v>234</v>
      </c>
      <c r="K88" s="91" t="s">
        <v>235</v>
      </c>
      <c r="L88" s="101" t="s">
        <v>492</v>
      </c>
      <c r="M88" s="101" t="s">
        <v>130</v>
      </c>
      <c r="N88" s="91" t="s">
        <v>147</v>
      </c>
      <c r="O88" s="91" t="s">
        <v>132</v>
      </c>
      <c r="P88" s="116" t="s">
        <v>237</v>
      </c>
      <c r="Q88" s="91" t="s">
        <v>493</v>
      </c>
      <c r="R88" s="91" t="s">
        <v>494</v>
      </c>
      <c r="S88" s="89"/>
      <c r="T88" s="91" t="s">
        <v>151</v>
      </c>
      <c r="U88" s="91"/>
      <c r="V88" s="91"/>
      <c r="W88" s="91"/>
      <c r="X88" s="98" t="s">
        <v>366</v>
      </c>
      <c r="Y88" s="91"/>
      <c r="Z88" s="116" t="s">
        <v>495</v>
      </c>
      <c r="AA88" s="116"/>
      <c r="AB88" s="116"/>
      <c r="AC88" s="116" t="s">
        <v>195</v>
      </c>
      <c r="AD88" s="91"/>
      <c r="AE88" s="91"/>
      <c r="AF88" s="92" t="s">
        <v>139</v>
      </c>
      <c r="AG88" s="86">
        <v>46062</v>
      </c>
      <c r="AH88" s="84" t="s">
        <v>70</v>
      </c>
      <c r="AI88" s="92" t="s">
        <v>140</v>
      </c>
      <c r="AJ88" s="89"/>
    </row>
    <row r="89" spans="1:48" ht="15.75" customHeight="1" x14ac:dyDescent="0.2">
      <c r="A89" s="78">
        <v>88</v>
      </c>
      <c r="B89" s="79">
        <v>45961</v>
      </c>
      <c r="C89" s="95">
        <v>1</v>
      </c>
      <c r="D89" s="80"/>
      <c r="E89" s="81" t="str">
        <f ca="1">IFERROR(__xludf.DUMMYFUNCTION("IF(G89="""","""",FILTER(Especie!$A$2:$A$982,Especie!$H$2:$H$982=G89))"),"FPVA_034")</f>
        <v>FPVA_034</v>
      </c>
      <c r="F89" s="48" t="s">
        <v>166</v>
      </c>
      <c r="G89" s="113" t="s">
        <v>416</v>
      </c>
      <c r="H89" s="91" t="s">
        <v>417</v>
      </c>
      <c r="I89" s="101"/>
      <c r="J89" s="101" t="s">
        <v>169</v>
      </c>
      <c r="K89" s="101"/>
      <c r="L89" s="101" t="s">
        <v>496</v>
      </c>
      <c r="M89" s="101" t="s">
        <v>171</v>
      </c>
      <c r="N89" s="91" t="s">
        <v>147</v>
      </c>
      <c r="O89" s="91" t="s">
        <v>172</v>
      </c>
      <c r="P89" s="91" t="s">
        <v>217</v>
      </c>
      <c r="Q89" s="91">
        <v>4</v>
      </c>
      <c r="R89" s="91" t="s">
        <v>295</v>
      </c>
      <c r="S89" s="91" t="s">
        <v>444</v>
      </c>
      <c r="T89" s="91"/>
      <c r="U89" s="91"/>
      <c r="V89" s="91"/>
      <c r="W89" s="91"/>
      <c r="X89" s="84" t="s">
        <v>176</v>
      </c>
      <c r="Y89" s="91" t="s">
        <v>497</v>
      </c>
      <c r="Z89" s="91" t="s">
        <v>498</v>
      </c>
      <c r="AA89" s="91"/>
      <c r="AB89" s="91"/>
      <c r="AC89" s="91" t="s">
        <v>138</v>
      </c>
      <c r="AD89" s="91"/>
      <c r="AE89" s="91"/>
      <c r="AF89" s="92" t="s">
        <v>139</v>
      </c>
      <c r="AG89" s="86">
        <v>46062</v>
      </c>
      <c r="AH89" s="84" t="s">
        <v>70</v>
      </c>
      <c r="AI89" s="92" t="s">
        <v>140</v>
      </c>
      <c r="AJ89" s="89"/>
    </row>
    <row r="90" spans="1:48" ht="15.75" customHeight="1" x14ac:dyDescent="0.2">
      <c r="A90" s="78">
        <v>89</v>
      </c>
      <c r="B90" s="79">
        <v>45961</v>
      </c>
      <c r="C90" s="95">
        <v>1</v>
      </c>
      <c r="D90" s="80"/>
      <c r="E90" s="81" t="str">
        <f ca="1">IFERROR(__xludf.DUMMYFUNCTION("IF(G90="""","""",FILTER(Especie!$A$2:$A$982,Especie!$H$2:$H$982=G90))"),"FPVA_002")</f>
        <v>FPVA_002</v>
      </c>
      <c r="F90" s="48" t="s">
        <v>166</v>
      </c>
      <c r="G90" s="90" t="s">
        <v>167</v>
      </c>
      <c r="H90" s="91" t="s">
        <v>168</v>
      </c>
      <c r="I90" s="91"/>
      <c r="J90" s="91" t="s">
        <v>169</v>
      </c>
      <c r="K90" s="91"/>
      <c r="L90" s="101"/>
      <c r="M90" s="101" t="s">
        <v>171</v>
      </c>
      <c r="N90" s="91" t="s">
        <v>131</v>
      </c>
      <c r="O90" s="91" t="s">
        <v>172</v>
      </c>
      <c r="P90" s="91" t="s">
        <v>217</v>
      </c>
      <c r="Q90" s="101" t="s">
        <v>207</v>
      </c>
      <c r="R90" s="91"/>
      <c r="S90" s="89"/>
      <c r="T90" s="91" t="s">
        <v>214</v>
      </c>
      <c r="U90" s="91"/>
      <c r="V90" s="91"/>
      <c r="W90" s="91"/>
      <c r="X90" s="84" t="s">
        <v>176</v>
      </c>
      <c r="Y90" s="91" t="s">
        <v>499</v>
      </c>
      <c r="Z90" s="91" t="s">
        <v>500</v>
      </c>
      <c r="AA90" s="91"/>
      <c r="AB90" s="91"/>
      <c r="AC90" s="91" t="s">
        <v>138</v>
      </c>
      <c r="AD90" s="91"/>
      <c r="AE90" s="91"/>
      <c r="AF90" s="92" t="s">
        <v>139</v>
      </c>
      <c r="AG90" s="86">
        <v>46062</v>
      </c>
      <c r="AH90" s="84" t="s">
        <v>70</v>
      </c>
      <c r="AI90" s="92" t="s">
        <v>140</v>
      </c>
      <c r="AJ90" s="116"/>
      <c r="AK90" s="117"/>
      <c r="AL90" s="117"/>
      <c r="AM90" s="117"/>
      <c r="AN90" s="117"/>
      <c r="AO90" s="117"/>
      <c r="AP90" s="117"/>
      <c r="AQ90" s="117"/>
      <c r="AR90" s="117"/>
      <c r="AS90" s="117"/>
      <c r="AT90" s="117"/>
      <c r="AU90" s="117"/>
      <c r="AV90" s="117"/>
    </row>
    <row r="91" spans="1:48" ht="15.75" customHeight="1" x14ac:dyDescent="0.2">
      <c r="A91" s="78">
        <v>90</v>
      </c>
      <c r="B91" s="79">
        <v>45961</v>
      </c>
      <c r="C91" s="95">
        <v>2</v>
      </c>
      <c r="D91" s="80"/>
      <c r="E91" s="81" t="str">
        <f ca="1">IFERROR(__xludf.DUMMYFUNCTION("IF(G91="""","""",FILTER(Especie!$A$2:$A$982,Especie!$H$2:$H$982=G91))"),"FPVA_042")</f>
        <v>FPVA_042</v>
      </c>
      <c r="F91" s="48" t="s">
        <v>124</v>
      </c>
      <c r="G91" s="112" t="s">
        <v>501</v>
      </c>
      <c r="H91" s="91" t="s">
        <v>502</v>
      </c>
      <c r="I91" s="101"/>
      <c r="J91" s="91" t="s">
        <v>144</v>
      </c>
      <c r="K91" s="101"/>
      <c r="L91" s="91" t="s">
        <v>503</v>
      </c>
      <c r="M91" s="101" t="s">
        <v>146</v>
      </c>
      <c r="N91" s="91" t="s">
        <v>147</v>
      </c>
      <c r="O91" s="91" t="s">
        <v>148</v>
      </c>
      <c r="P91" s="91" t="s">
        <v>149</v>
      </c>
      <c r="Q91" s="91">
        <v>10</v>
      </c>
      <c r="R91" s="91" t="s">
        <v>186</v>
      </c>
      <c r="S91" s="89"/>
      <c r="T91" s="91" t="s">
        <v>151</v>
      </c>
      <c r="U91" s="91"/>
      <c r="V91" s="91"/>
      <c r="W91" s="91"/>
      <c r="X91" s="84" t="s">
        <v>252</v>
      </c>
      <c r="Y91" s="91" t="s">
        <v>504</v>
      </c>
      <c r="Z91" s="91" t="s">
        <v>505</v>
      </c>
      <c r="AA91" s="91" t="s">
        <v>506</v>
      </c>
      <c r="AB91" s="91"/>
      <c r="AC91" s="91" t="s">
        <v>195</v>
      </c>
      <c r="AD91" s="91"/>
      <c r="AE91" s="91"/>
      <c r="AF91" s="92" t="s">
        <v>139</v>
      </c>
      <c r="AG91" s="86">
        <v>46062</v>
      </c>
      <c r="AH91" s="84" t="s">
        <v>70</v>
      </c>
      <c r="AI91" s="92" t="s">
        <v>140</v>
      </c>
      <c r="AJ91" s="116"/>
      <c r="AK91" s="117"/>
      <c r="AL91" s="117"/>
      <c r="AM91" s="117"/>
      <c r="AN91" s="117"/>
      <c r="AO91" s="117"/>
      <c r="AP91" s="117"/>
      <c r="AQ91" s="117"/>
      <c r="AR91" s="117"/>
      <c r="AS91" s="117"/>
      <c r="AT91" s="117"/>
      <c r="AU91" s="117"/>
      <c r="AV91" s="117"/>
    </row>
    <row r="92" spans="1:48" ht="15.75" customHeight="1" x14ac:dyDescent="0.2">
      <c r="A92" s="78">
        <v>91</v>
      </c>
      <c r="B92" s="79">
        <v>45961</v>
      </c>
      <c r="C92" s="95">
        <v>1</v>
      </c>
      <c r="D92" s="80"/>
      <c r="E92" s="81" t="str">
        <f ca="1">IFERROR(__xludf.DUMMYFUNCTION("IF(G92="""","""",FILTER(Especie!$A$2:$A$982,Especie!$H$2:$H$982=G92))"),"FPVA_041")</f>
        <v>FPVA_041</v>
      </c>
      <c r="F92" s="48" t="s">
        <v>124</v>
      </c>
      <c r="G92" s="112" t="s">
        <v>507</v>
      </c>
      <c r="H92" s="91" t="s">
        <v>508</v>
      </c>
      <c r="I92" s="91"/>
      <c r="J92" s="91" t="s">
        <v>182</v>
      </c>
      <c r="K92" s="117"/>
      <c r="L92" s="91" t="s">
        <v>509</v>
      </c>
      <c r="M92" s="101" t="s">
        <v>275</v>
      </c>
      <c r="N92" s="91" t="s">
        <v>131</v>
      </c>
      <c r="O92" s="91" t="s">
        <v>132</v>
      </c>
      <c r="P92" s="91" t="s">
        <v>133</v>
      </c>
      <c r="Q92" s="91">
        <v>1</v>
      </c>
      <c r="R92" s="91" t="s">
        <v>218</v>
      </c>
      <c r="S92" s="89"/>
      <c r="T92" s="91" t="s">
        <v>151</v>
      </c>
      <c r="U92" s="91"/>
      <c r="V92" s="91"/>
      <c r="W92" s="91"/>
      <c r="X92" s="98" t="s">
        <v>366</v>
      </c>
      <c r="Y92" s="91"/>
      <c r="Z92" s="91" t="s">
        <v>510</v>
      </c>
      <c r="AA92" s="116"/>
      <c r="AB92" s="116"/>
      <c r="AC92" s="91" t="s">
        <v>343</v>
      </c>
      <c r="AD92" s="91"/>
      <c r="AE92" s="91"/>
      <c r="AF92" s="92" t="s">
        <v>139</v>
      </c>
      <c r="AG92" s="86">
        <v>46062</v>
      </c>
      <c r="AH92" s="84" t="s">
        <v>70</v>
      </c>
      <c r="AI92" s="92" t="s">
        <v>140</v>
      </c>
      <c r="AJ92" s="89"/>
    </row>
    <row r="93" spans="1:48" ht="15.75" customHeight="1" x14ac:dyDescent="0.2">
      <c r="A93" s="78">
        <v>92</v>
      </c>
      <c r="B93" s="79">
        <v>45961</v>
      </c>
      <c r="C93" s="95">
        <v>1</v>
      </c>
      <c r="D93" s="80"/>
      <c r="E93" s="81" t="str">
        <f ca="1">IFERROR(__xludf.DUMMYFUNCTION("IF(G93="""","""",FILTER(Especie!$A$2:$A$982,Especie!$H$2:$H$982=G93))"),"FPVA_011")</f>
        <v>FPVA_011</v>
      </c>
      <c r="F93" s="48" t="s">
        <v>124</v>
      </c>
      <c r="G93" s="104" t="s">
        <v>241</v>
      </c>
      <c r="H93" s="91" t="s">
        <v>242</v>
      </c>
      <c r="I93" s="91"/>
      <c r="J93" s="91" t="s">
        <v>127</v>
      </c>
      <c r="K93" s="59" t="s">
        <v>128</v>
      </c>
      <c r="L93" s="101"/>
      <c r="M93" s="101" t="s">
        <v>275</v>
      </c>
      <c r="N93" s="91" t="s">
        <v>147</v>
      </c>
      <c r="O93" s="91" t="s">
        <v>132</v>
      </c>
      <c r="P93" s="116" t="s">
        <v>237</v>
      </c>
      <c r="Q93" s="91">
        <v>1</v>
      </c>
      <c r="R93" s="91" t="s">
        <v>238</v>
      </c>
      <c r="S93" s="91"/>
      <c r="T93" s="91"/>
      <c r="U93" s="91"/>
      <c r="V93" s="91"/>
      <c r="W93" s="91"/>
      <c r="X93" s="91" t="s">
        <v>511</v>
      </c>
      <c r="Y93" s="91" t="s">
        <v>425</v>
      </c>
      <c r="Z93" s="116" t="s">
        <v>512</v>
      </c>
      <c r="AA93" s="116"/>
      <c r="AB93" s="116"/>
      <c r="AC93" s="116" t="s">
        <v>195</v>
      </c>
      <c r="AD93" s="91"/>
      <c r="AE93" s="91"/>
      <c r="AF93" s="92" t="s">
        <v>139</v>
      </c>
      <c r="AG93" s="86">
        <v>46062</v>
      </c>
      <c r="AH93" s="84" t="s">
        <v>70</v>
      </c>
      <c r="AI93" s="92" t="s">
        <v>140</v>
      </c>
      <c r="AJ93" s="89"/>
    </row>
    <row r="94" spans="1:48" ht="15.75" customHeight="1" x14ac:dyDescent="0.2">
      <c r="A94" s="78">
        <v>93</v>
      </c>
      <c r="B94" s="79">
        <v>45961</v>
      </c>
      <c r="C94" s="95">
        <v>1</v>
      </c>
      <c r="D94" s="80"/>
      <c r="E94" s="81" t="str">
        <f ca="1">IFERROR(__xludf.DUMMYFUNCTION("IF(G94="""","""",FILTER(Especie!$A$2:$A$982,Especie!$H$2:$H$982=G94))"),"FPVA_057")</f>
        <v>FPVA_057</v>
      </c>
      <c r="F94" s="48" t="s">
        <v>124</v>
      </c>
      <c r="G94" s="112" t="s">
        <v>513</v>
      </c>
      <c r="H94" s="91" t="s">
        <v>514</v>
      </c>
      <c r="I94" s="91"/>
      <c r="J94" s="91" t="s">
        <v>127</v>
      </c>
      <c r="K94" s="59" t="s">
        <v>128</v>
      </c>
      <c r="L94" s="101"/>
      <c r="M94" s="101" t="s">
        <v>275</v>
      </c>
      <c r="N94" s="91" t="s">
        <v>147</v>
      </c>
      <c r="O94" s="91" t="s">
        <v>132</v>
      </c>
      <c r="P94" s="116" t="s">
        <v>237</v>
      </c>
      <c r="Q94" s="91">
        <v>1</v>
      </c>
      <c r="R94" s="91" t="s">
        <v>238</v>
      </c>
      <c r="S94" s="91"/>
      <c r="T94" s="91"/>
      <c r="U94" s="91"/>
      <c r="V94" s="91"/>
      <c r="W94" s="91"/>
      <c r="X94" s="91" t="s">
        <v>511</v>
      </c>
      <c r="Y94" s="91" t="s">
        <v>425</v>
      </c>
      <c r="Z94" s="116" t="s">
        <v>512</v>
      </c>
      <c r="AA94" s="116"/>
      <c r="AB94" s="116"/>
      <c r="AC94" s="116" t="s">
        <v>195</v>
      </c>
      <c r="AD94" s="91"/>
      <c r="AE94" s="91"/>
      <c r="AF94" s="92" t="s">
        <v>139</v>
      </c>
      <c r="AG94" s="86">
        <v>46062</v>
      </c>
      <c r="AH94" s="84" t="s">
        <v>70</v>
      </c>
      <c r="AI94" s="92" t="s">
        <v>140</v>
      </c>
      <c r="AJ94" s="89"/>
    </row>
    <row r="95" spans="1:48" ht="15.75" customHeight="1" x14ac:dyDescent="0.2">
      <c r="A95" s="78">
        <v>94</v>
      </c>
      <c r="B95" s="79">
        <v>45961</v>
      </c>
      <c r="C95" s="95">
        <v>1</v>
      </c>
      <c r="D95" s="80"/>
      <c r="E95" s="81" t="str">
        <f ca="1">IFERROR(__xludf.DUMMYFUNCTION("IF(G95="""","""",FILTER(Especie!$A$2:$A$982,Especie!$H$2:$H$982=G95))"),"FPVA_059")</f>
        <v>FPVA_059</v>
      </c>
      <c r="F95" s="48" t="s">
        <v>124</v>
      </c>
      <c r="G95" s="104" t="s">
        <v>515</v>
      </c>
      <c r="H95" s="91" t="s">
        <v>516</v>
      </c>
      <c r="I95" s="91"/>
      <c r="J95" s="91" t="s">
        <v>127</v>
      </c>
      <c r="K95" s="59" t="s">
        <v>128</v>
      </c>
      <c r="L95" s="101"/>
      <c r="M95" s="101" t="s">
        <v>275</v>
      </c>
      <c r="N95" s="91" t="s">
        <v>147</v>
      </c>
      <c r="O95" s="91" t="s">
        <v>132</v>
      </c>
      <c r="P95" s="116" t="s">
        <v>237</v>
      </c>
      <c r="Q95" s="91">
        <v>1</v>
      </c>
      <c r="R95" s="91" t="s">
        <v>238</v>
      </c>
      <c r="S95" s="91"/>
      <c r="T95" s="91"/>
      <c r="U95" s="91"/>
      <c r="V95" s="91"/>
      <c r="W95" s="91"/>
      <c r="X95" s="91" t="s">
        <v>511</v>
      </c>
      <c r="Y95" s="91" t="s">
        <v>425</v>
      </c>
      <c r="Z95" s="116" t="s">
        <v>512</v>
      </c>
      <c r="AA95" s="116"/>
      <c r="AB95" s="116"/>
      <c r="AC95" s="116" t="s">
        <v>195</v>
      </c>
      <c r="AD95" s="91"/>
      <c r="AE95" s="91"/>
      <c r="AF95" s="92" t="s">
        <v>139</v>
      </c>
      <c r="AG95" s="86">
        <v>46062</v>
      </c>
      <c r="AH95" s="84" t="s">
        <v>70</v>
      </c>
      <c r="AI95" s="92" t="s">
        <v>140</v>
      </c>
      <c r="AJ95" s="89"/>
    </row>
    <row r="96" spans="1:48" ht="15.75" customHeight="1" x14ac:dyDescent="0.2">
      <c r="A96" s="78">
        <v>95</v>
      </c>
      <c r="B96" s="79">
        <v>45961</v>
      </c>
      <c r="C96" s="118">
        <v>1</v>
      </c>
      <c r="D96" s="80"/>
      <c r="E96" s="81" t="str">
        <f ca="1">IFERROR(__xludf.DUMMYFUNCTION("IF(G96="""","""",FILTER(Especie!$A$2:$A$982,Especie!$H$2:$H$982=G96))"),"FPVA_011")</f>
        <v>FPVA_011</v>
      </c>
      <c r="F96" s="48" t="s">
        <v>124</v>
      </c>
      <c r="G96" s="104" t="s">
        <v>241</v>
      </c>
      <c r="H96" s="91" t="s">
        <v>242</v>
      </c>
      <c r="I96" s="91"/>
      <c r="J96" s="91" t="s">
        <v>127</v>
      </c>
      <c r="K96" s="59" t="s">
        <v>128</v>
      </c>
      <c r="L96" s="101"/>
      <c r="M96" s="101" t="s">
        <v>130</v>
      </c>
      <c r="N96" s="91" t="s">
        <v>147</v>
      </c>
      <c r="O96" s="91" t="s">
        <v>132</v>
      </c>
      <c r="P96" s="91" t="s">
        <v>517</v>
      </c>
      <c r="Q96" s="91">
        <v>10</v>
      </c>
      <c r="R96" s="91" t="s">
        <v>371</v>
      </c>
      <c r="S96" s="89"/>
      <c r="T96" s="91" t="s">
        <v>151</v>
      </c>
      <c r="U96" s="91"/>
      <c r="V96" s="91"/>
      <c r="W96" s="91"/>
      <c r="X96" s="91" t="s">
        <v>511</v>
      </c>
      <c r="Y96" s="91" t="s">
        <v>246</v>
      </c>
      <c r="Z96" s="116" t="s">
        <v>518</v>
      </c>
      <c r="AA96" s="116"/>
      <c r="AB96" s="116"/>
      <c r="AC96" s="116" t="s">
        <v>195</v>
      </c>
      <c r="AD96" s="91"/>
      <c r="AE96" s="91"/>
      <c r="AF96" s="92" t="s">
        <v>139</v>
      </c>
      <c r="AG96" s="86">
        <v>46062</v>
      </c>
      <c r="AH96" s="84" t="s">
        <v>70</v>
      </c>
      <c r="AI96" s="92" t="s">
        <v>140</v>
      </c>
      <c r="AJ96" s="116"/>
      <c r="AK96" s="117"/>
      <c r="AL96" s="117"/>
      <c r="AM96" s="117"/>
      <c r="AN96" s="117"/>
      <c r="AO96" s="117"/>
      <c r="AP96" s="117"/>
      <c r="AQ96" s="117"/>
      <c r="AR96" s="117"/>
      <c r="AS96" s="117"/>
      <c r="AT96" s="117"/>
      <c r="AU96" s="119"/>
      <c r="AV96" s="119"/>
    </row>
    <row r="97" spans="1:48" ht="15.75" customHeight="1" x14ac:dyDescent="0.2">
      <c r="A97" s="78">
        <v>96</v>
      </c>
      <c r="B97" s="79">
        <v>45961</v>
      </c>
      <c r="C97" s="118">
        <v>1</v>
      </c>
      <c r="D97" s="80"/>
      <c r="E97" s="81" t="str">
        <f ca="1">IFERROR(__xludf.DUMMYFUNCTION("IF(G97="""","""",FILTER(Especie!$A$2:$A$982,Especie!$H$2:$H$982=G97))"),"FPVA_059")</f>
        <v>FPVA_059</v>
      </c>
      <c r="F97" s="48" t="s">
        <v>124</v>
      </c>
      <c r="G97" s="104" t="s">
        <v>515</v>
      </c>
      <c r="H97" s="91" t="s">
        <v>516</v>
      </c>
      <c r="I97" s="91"/>
      <c r="J97" s="91" t="s">
        <v>127</v>
      </c>
      <c r="K97" s="59" t="s">
        <v>128</v>
      </c>
      <c r="L97" s="101"/>
      <c r="M97" s="101" t="s">
        <v>130</v>
      </c>
      <c r="N97" s="91" t="s">
        <v>147</v>
      </c>
      <c r="O97" s="91" t="s">
        <v>132</v>
      </c>
      <c r="P97" s="91" t="s">
        <v>517</v>
      </c>
      <c r="Q97" s="91">
        <v>10</v>
      </c>
      <c r="R97" s="91" t="s">
        <v>371</v>
      </c>
      <c r="S97" s="89"/>
      <c r="T97" s="91" t="s">
        <v>151</v>
      </c>
      <c r="U97" s="91"/>
      <c r="V97" s="91"/>
      <c r="W97" s="91"/>
      <c r="X97" s="91" t="s">
        <v>511</v>
      </c>
      <c r="Y97" s="91" t="s">
        <v>246</v>
      </c>
      <c r="Z97" s="116" t="s">
        <v>518</v>
      </c>
      <c r="AA97" s="116"/>
      <c r="AB97" s="116"/>
      <c r="AC97" s="116" t="s">
        <v>195</v>
      </c>
      <c r="AD97" s="91"/>
      <c r="AE97" s="91"/>
      <c r="AF97" s="92" t="s">
        <v>139</v>
      </c>
      <c r="AG97" s="86">
        <v>46062</v>
      </c>
      <c r="AH97" s="84" t="s">
        <v>70</v>
      </c>
      <c r="AI97" s="92" t="s">
        <v>140</v>
      </c>
      <c r="AJ97" s="89"/>
    </row>
    <row r="98" spans="1:48" ht="15.75" customHeight="1" x14ac:dyDescent="0.2">
      <c r="A98" s="78">
        <v>97</v>
      </c>
      <c r="B98" s="79">
        <v>45961</v>
      </c>
      <c r="C98" s="118">
        <v>1</v>
      </c>
      <c r="D98" s="80"/>
      <c r="E98" s="81" t="str">
        <f ca="1">IFERROR(__xludf.DUMMYFUNCTION("IF(G98="""","""",FILTER(Especie!$A$2:$A$982,Especie!$H$2:$H$982=G98))"),"FPVA_055")</f>
        <v>FPVA_055</v>
      </c>
      <c r="F98" s="48" t="s">
        <v>124</v>
      </c>
      <c r="G98" s="112" t="s">
        <v>519</v>
      </c>
      <c r="H98" s="91" t="s">
        <v>520</v>
      </c>
      <c r="I98" s="91"/>
      <c r="J98" s="91" t="s">
        <v>127</v>
      </c>
      <c r="K98" s="59" t="s">
        <v>128</v>
      </c>
      <c r="L98" s="101"/>
      <c r="M98" s="101" t="s">
        <v>130</v>
      </c>
      <c r="N98" s="91" t="s">
        <v>147</v>
      </c>
      <c r="O98" s="91" t="s">
        <v>132</v>
      </c>
      <c r="P98" s="91" t="s">
        <v>517</v>
      </c>
      <c r="Q98" s="91">
        <v>10</v>
      </c>
      <c r="R98" s="91" t="s">
        <v>371</v>
      </c>
      <c r="S98" s="89"/>
      <c r="T98" s="91" t="s">
        <v>151</v>
      </c>
      <c r="U98" s="91"/>
      <c r="V98" s="91"/>
      <c r="W98" s="91"/>
      <c r="X98" s="91" t="s">
        <v>511</v>
      </c>
      <c r="Y98" s="91" t="s">
        <v>246</v>
      </c>
      <c r="Z98" s="116" t="s">
        <v>518</v>
      </c>
      <c r="AA98" s="116"/>
      <c r="AB98" s="116"/>
      <c r="AC98" s="116" t="s">
        <v>195</v>
      </c>
      <c r="AD98" s="91"/>
      <c r="AE98" s="91"/>
      <c r="AF98" s="92" t="s">
        <v>139</v>
      </c>
      <c r="AG98" s="86">
        <v>46062</v>
      </c>
      <c r="AH98" s="84" t="s">
        <v>70</v>
      </c>
      <c r="AI98" s="92" t="s">
        <v>140</v>
      </c>
      <c r="AJ98" s="89"/>
    </row>
    <row r="99" spans="1:48" ht="15.75" customHeight="1" x14ac:dyDescent="0.2">
      <c r="A99" s="78">
        <v>98</v>
      </c>
      <c r="B99" s="79">
        <v>45961</v>
      </c>
      <c r="C99" s="118">
        <v>1</v>
      </c>
      <c r="D99" s="80"/>
      <c r="E99" s="81" t="str">
        <f ca="1">IFERROR(__xludf.DUMMYFUNCTION("IF(G99="""","""",FILTER(Especie!$A$2:$A$982,Especie!$H$2:$H$982=G99))"),"FPVA_009")</f>
        <v>FPVA_009</v>
      </c>
      <c r="F99" s="48" t="s">
        <v>124</v>
      </c>
      <c r="G99" s="82" t="s">
        <v>232</v>
      </c>
      <c r="H99" s="91" t="s">
        <v>233</v>
      </c>
      <c r="I99" s="91"/>
      <c r="J99" s="91" t="s">
        <v>127</v>
      </c>
      <c r="K99" s="59" t="s">
        <v>128</v>
      </c>
      <c r="L99" s="101"/>
      <c r="M99" s="101" t="s">
        <v>130</v>
      </c>
      <c r="N99" s="91" t="s">
        <v>147</v>
      </c>
      <c r="O99" s="91" t="s">
        <v>132</v>
      </c>
      <c r="P99" s="91" t="s">
        <v>517</v>
      </c>
      <c r="Q99" s="91">
        <v>10</v>
      </c>
      <c r="R99" s="91" t="s">
        <v>371</v>
      </c>
      <c r="S99" s="89"/>
      <c r="T99" s="91" t="s">
        <v>151</v>
      </c>
      <c r="U99" s="91"/>
      <c r="V99" s="91"/>
      <c r="W99" s="91"/>
      <c r="X99" s="91" t="s">
        <v>511</v>
      </c>
      <c r="Y99" s="91" t="s">
        <v>246</v>
      </c>
      <c r="Z99" s="116" t="s">
        <v>518</v>
      </c>
      <c r="AA99" s="116"/>
      <c r="AB99" s="116"/>
      <c r="AC99" s="116" t="s">
        <v>195</v>
      </c>
      <c r="AD99" s="91"/>
      <c r="AE99" s="91"/>
      <c r="AF99" s="92" t="s">
        <v>139</v>
      </c>
      <c r="AG99" s="86">
        <v>46062</v>
      </c>
      <c r="AH99" s="84" t="s">
        <v>70</v>
      </c>
      <c r="AI99" s="92" t="s">
        <v>140</v>
      </c>
      <c r="AJ99" s="89"/>
    </row>
    <row r="100" spans="1:48" ht="15.75" customHeight="1" x14ac:dyDescent="0.2">
      <c r="A100" s="78">
        <v>99</v>
      </c>
      <c r="B100" s="79">
        <v>45961</v>
      </c>
      <c r="C100" s="95">
        <v>11</v>
      </c>
      <c r="D100" s="80"/>
      <c r="E100" s="81" t="str">
        <f ca="1">IFERROR(__xludf.DUMMYFUNCTION("IF(G100="""","""",FILTER(Especie!$A$2:$A$982,Especie!$H$2:$H$982=G100))"),"FPVA_054")</f>
        <v>FPVA_054</v>
      </c>
      <c r="F100" s="48" t="s">
        <v>166</v>
      </c>
      <c r="G100" s="113" t="s">
        <v>521</v>
      </c>
      <c r="H100" s="91" t="s">
        <v>522</v>
      </c>
      <c r="I100" s="91"/>
      <c r="J100" s="91" t="s">
        <v>169</v>
      </c>
      <c r="K100" s="99"/>
      <c r="L100" s="101" t="s">
        <v>523</v>
      </c>
      <c r="M100" s="101" t="s">
        <v>171</v>
      </c>
      <c r="N100" s="91" t="s">
        <v>147</v>
      </c>
      <c r="O100" s="91" t="s">
        <v>172</v>
      </c>
      <c r="P100" s="91" t="s">
        <v>217</v>
      </c>
      <c r="Q100" s="91">
        <v>5</v>
      </c>
      <c r="R100" s="91" t="s">
        <v>295</v>
      </c>
      <c r="S100" s="89"/>
      <c r="T100" s="91" t="s">
        <v>151</v>
      </c>
      <c r="U100" s="91"/>
      <c r="V100" s="91"/>
      <c r="W100" s="91"/>
      <c r="X100" s="84" t="s">
        <v>176</v>
      </c>
      <c r="Y100" s="91" t="s">
        <v>524</v>
      </c>
      <c r="Z100" s="91" t="s">
        <v>525</v>
      </c>
      <c r="AA100" s="91"/>
      <c r="AB100" s="116"/>
      <c r="AC100" s="91" t="s">
        <v>195</v>
      </c>
      <c r="AD100" s="91"/>
      <c r="AE100" s="91"/>
      <c r="AF100" s="92" t="s">
        <v>139</v>
      </c>
      <c r="AG100" s="86">
        <v>46062</v>
      </c>
      <c r="AH100" s="84" t="s">
        <v>70</v>
      </c>
      <c r="AI100" s="92" t="s">
        <v>140</v>
      </c>
      <c r="AJ100" s="89"/>
    </row>
    <row r="101" spans="1:48" ht="15.75" customHeight="1" x14ac:dyDescent="0.2">
      <c r="A101" s="78">
        <v>100</v>
      </c>
      <c r="B101" s="79">
        <v>45961</v>
      </c>
      <c r="C101" s="95">
        <v>11</v>
      </c>
      <c r="D101" s="80"/>
      <c r="E101" s="81" t="str">
        <f ca="1">IFERROR(__xludf.DUMMYFUNCTION("IF(G101="""","""",FILTER(Especie!$A$2:$A$982,Especie!$H$2:$H$982=G101))"),"FPVA_056")</f>
        <v>FPVA_056</v>
      </c>
      <c r="F101" s="48" t="s">
        <v>166</v>
      </c>
      <c r="G101" s="120" t="s">
        <v>526</v>
      </c>
      <c r="H101" s="91" t="s">
        <v>527</v>
      </c>
      <c r="I101" s="91"/>
      <c r="J101" s="91" t="s">
        <v>169</v>
      </c>
      <c r="K101" s="99"/>
      <c r="L101" s="101" t="s">
        <v>523</v>
      </c>
      <c r="M101" s="101" t="s">
        <v>171</v>
      </c>
      <c r="N101" s="91" t="s">
        <v>147</v>
      </c>
      <c r="O101" s="91" t="s">
        <v>172</v>
      </c>
      <c r="P101" s="91" t="s">
        <v>217</v>
      </c>
      <c r="Q101" s="91">
        <v>5</v>
      </c>
      <c r="R101" s="91" t="s">
        <v>295</v>
      </c>
      <c r="S101" s="89"/>
      <c r="T101" s="91" t="s">
        <v>151</v>
      </c>
      <c r="U101" s="91"/>
      <c r="V101" s="91"/>
      <c r="W101" s="91"/>
      <c r="X101" s="84" t="s">
        <v>176</v>
      </c>
      <c r="Y101" s="91" t="s">
        <v>524</v>
      </c>
      <c r="Z101" s="91" t="s">
        <v>525</v>
      </c>
      <c r="AA101" s="91"/>
      <c r="AB101" s="116"/>
      <c r="AC101" s="91" t="s">
        <v>195</v>
      </c>
      <c r="AD101" s="91"/>
      <c r="AE101" s="91"/>
      <c r="AF101" s="92" t="s">
        <v>139</v>
      </c>
      <c r="AG101" s="86">
        <v>46062</v>
      </c>
      <c r="AH101" s="84" t="s">
        <v>70</v>
      </c>
      <c r="AI101" s="92" t="s">
        <v>140</v>
      </c>
      <c r="AJ101" s="89"/>
    </row>
    <row r="102" spans="1:48" ht="15.75" customHeight="1" x14ac:dyDescent="0.2">
      <c r="A102" s="78">
        <v>101</v>
      </c>
      <c r="B102" s="79">
        <v>45964</v>
      </c>
      <c r="C102" s="95">
        <v>1</v>
      </c>
      <c r="D102" s="80"/>
      <c r="E102" s="81" t="str">
        <f ca="1">IFERROR(__xludf.DUMMYFUNCTION("IF(G102="""","""",FILTER(Especie!$A$2:$A$982,Especie!$H$2:$H$982=G102))"),"FPVA_019")</f>
        <v>FPVA_019</v>
      </c>
      <c r="F102" s="48" t="s">
        <v>124</v>
      </c>
      <c r="G102" s="104" t="s">
        <v>248</v>
      </c>
      <c r="H102" s="98" t="s">
        <v>249</v>
      </c>
      <c r="I102" s="91"/>
      <c r="J102" s="91" t="s">
        <v>144</v>
      </c>
      <c r="K102" s="99"/>
      <c r="L102" s="117" t="s">
        <v>528</v>
      </c>
      <c r="M102" s="101" t="s">
        <v>146</v>
      </c>
      <c r="N102" s="91" t="s">
        <v>147</v>
      </c>
      <c r="O102" s="98" t="s">
        <v>148</v>
      </c>
      <c r="P102" s="98" t="s">
        <v>529</v>
      </c>
      <c r="Q102" s="91">
        <v>100</v>
      </c>
      <c r="R102" s="91" t="s">
        <v>186</v>
      </c>
      <c r="S102" s="91"/>
      <c r="T102" s="91" t="s">
        <v>151</v>
      </c>
      <c r="U102" s="91"/>
      <c r="V102" s="91"/>
      <c r="W102" s="91"/>
      <c r="X102" s="91" t="s">
        <v>215</v>
      </c>
      <c r="Y102" s="91" t="s">
        <v>246</v>
      </c>
      <c r="Z102" s="91" t="s">
        <v>530</v>
      </c>
      <c r="AA102" s="91"/>
      <c r="AB102" s="91"/>
      <c r="AC102" s="91" t="s">
        <v>138</v>
      </c>
      <c r="AD102" s="91"/>
      <c r="AE102" s="91"/>
      <c r="AF102" s="92" t="s">
        <v>139</v>
      </c>
      <c r="AG102" s="86">
        <v>46062</v>
      </c>
      <c r="AH102" s="84" t="s">
        <v>70</v>
      </c>
      <c r="AI102" s="92" t="s">
        <v>140</v>
      </c>
      <c r="AJ102" s="89"/>
    </row>
    <row r="103" spans="1:48" ht="15.75" customHeight="1" x14ac:dyDescent="0.2">
      <c r="A103" s="78">
        <v>102</v>
      </c>
      <c r="B103" s="79">
        <v>45964</v>
      </c>
      <c r="C103" s="95">
        <v>7</v>
      </c>
      <c r="D103" s="80"/>
      <c r="E103" s="81" t="str">
        <f ca="1">IFERROR(__xludf.DUMMYFUNCTION("IF(G103="""","""",FILTER(Especie!$A$2:$A$982,Especie!$H$2:$H$982=G103))"),"FPVA_048")</f>
        <v>FPVA_048</v>
      </c>
      <c r="F103" s="121" t="s">
        <v>124</v>
      </c>
      <c r="G103" s="122" t="s">
        <v>531</v>
      </c>
      <c r="H103" s="91" t="s">
        <v>532</v>
      </c>
      <c r="I103" s="91"/>
      <c r="J103" s="91" t="s">
        <v>169</v>
      </c>
      <c r="K103" s="101"/>
      <c r="L103" s="91" t="s">
        <v>533</v>
      </c>
      <c r="M103" s="101" t="s">
        <v>534</v>
      </c>
      <c r="N103" s="91" t="s">
        <v>147</v>
      </c>
      <c r="O103" s="91" t="s">
        <v>161</v>
      </c>
      <c r="P103" s="91" t="s">
        <v>350</v>
      </c>
      <c r="Q103" s="91">
        <v>5</v>
      </c>
      <c r="R103" s="91" t="s">
        <v>339</v>
      </c>
      <c r="S103" s="91"/>
      <c r="T103" s="91" t="s">
        <v>163</v>
      </c>
      <c r="U103" s="91"/>
      <c r="V103" s="91"/>
      <c r="W103" s="91"/>
      <c r="X103" s="91" t="s">
        <v>215</v>
      </c>
      <c r="Y103" s="91" t="s">
        <v>312</v>
      </c>
      <c r="Z103" s="91" t="s">
        <v>535</v>
      </c>
      <c r="AA103" s="91" t="s">
        <v>536</v>
      </c>
      <c r="AB103" s="91"/>
      <c r="AC103" s="91" t="s">
        <v>343</v>
      </c>
      <c r="AD103" s="91"/>
      <c r="AE103" s="91"/>
      <c r="AF103" s="123" t="s">
        <v>139</v>
      </c>
      <c r="AG103" s="124">
        <v>46062</v>
      </c>
      <c r="AH103" s="116" t="s">
        <v>70</v>
      </c>
      <c r="AI103" s="123" t="s">
        <v>140</v>
      </c>
      <c r="AJ103" s="125"/>
      <c r="AK103" s="126"/>
      <c r="AL103" s="126"/>
      <c r="AM103" s="126"/>
      <c r="AN103" s="126"/>
      <c r="AO103" s="126"/>
      <c r="AP103" s="126"/>
      <c r="AQ103" s="126"/>
      <c r="AR103" s="126"/>
      <c r="AS103" s="126"/>
      <c r="AT103" s="126"/>
      <c r="AU103" s="126"/>
      <c r="AV103" s="126"/>
    </row>
    <row r="104" spans="1:48" ht="15.75" customHeight="1" x14ac:dyDescent="0.2">
      <c r="A104" s="78">
        <v>103</v>
      </c>
      <c r="B104" s="79">
        <v>45964</v>
      </c>
      <c r="C104" s="95">
        <v>7</v>
      </c>
      <c r="D104" s="80"/>
      <c r="E104" s="81" t="str">
        <f ca="1">IFERROR(__xludf.DUMMYFUNCTION("IF(G104="""","""",FILTER(Especie!$A$2:$A$982,Especie!$H$2:$H$982=G104))"),"FPVA_004")</f>
        <v>FPVA_004</v>
      </c>
      <c r="F104" s="121" t="s">
        <v>124</v>
      </c>
      <c r="G104" s="127" t="s">
        <v>221</v>
      </c>
      <c r="H104" s="91" t="s">
        <v>222</v>
      </c>
      <c r="I104" s="91"/>
      <c r="J104" s="91" t="s">
        <v>144</v>
      </c>
      <c r="K104" s="101"/>
      <c r="L104" s="91" t="s">
        <v>537</v>
      </c>
      <c r="M104" s="101" t="s">
        <v>146</v>
      </c>
      <c r="N104" s="91" t="s">
        <v>147</v>
      </c>
      <c r="O104" s="91" t="s">
        <v>161</v>
      </c>
      <c r="P104" s="91" t="s">
        <v>350</v>
      </c>
      <c r="Q104" s="91">
        <v>1</v>
      </c>
      <c r="R104" s="91" t="s">
        <v>191</v>
      </c>
      <c r="S104" s="91"/>
      <c r="T104" s="91" t="s">
        <v>151</v>
      </c>
      <c r="U104" s="91"/>
      <c r="V104" s="91"/>
      <c r="W104" s="91"/>
      <c r="X104" s="91" t="s">
        <v>215</v>
      </c>
      <c r="Y104" s="91" t="s">
        <v>538</v>
      </c>
      <c r="Z104" s="91"/>
      <c r="AA104" s="91"/>
      <c r="AB104" s="91"/>
      <c r="AC104" s="91" t="s">
        <v>343</v>
      </c>
      <c r="AD104" s="91"/>
      <c r="AE104" s="91"/>
      <c r="AF104" s="123" t="s">
        <v>139</v>
      </c>
      <c r="AG104" s="124">
        <v>46062</v>
      </c>
      <c r="AH104" s="116" t="s">
        <v>70</v>
      </c>
      <c r="AI104" s="123" t="s">
        <v>140</v>
      </c>
      <c r="AJ104" s="125"/>
      <c r="AK104" s="126"/>
      <c r="AL104" s="126"/>
      <c r="AM104" s="126"/>
      <c r="AN104" s="126"/>
      <c r="AO104" s="126"/>
      <c r="AP104" s="126"/>
      <c r="AQ104" s="126"/>
      <c r="AR104" s="126"/>
      <c r="AS104" s="126"/>
      <c r="AT104" s="126"/>
      <c r="AU104" s="126"/>
      <c r="AV104" s="126"/>
    </row>
    <row r="105" spans="1:48" ht="15.75" customHeight="1" x14ac:dyDescent="0.2">
      <c r="A105" s="78">
        <v>104</v>
      </c>
      <c r="B105" s="79">
        <v>45969</v>
      </c>
      <c r="C105" s="95">
        <v>1</v>
      </c>
      <c r="D105" s="80"/>
      <c r="E105" s="81" t="str">
        <f ca="1">IFERROR(__xludf.DUMMYFUNCTION("IF(G105="""","""",FILTER(Especie!$A$2:$A$982,Especie!$H$2:$H$982=G105))"),"FPVA_002")</f>
        <v>FPVA_002</v>
      </c>
      <c r="F105" s="48" t="s">
        <v>166</v>
      </c>
      <c r="G105" s="90" t="s">
        <v>167</v>
      </c>
      <c r="H105" s="91" t="s">
        <v>168</v>
      </c>
      <c r="I105" s="91"/>
      <c r="J105" s="91" t="s">
        <v>169</v>
      </c>
      <c r="K105" s="99"/>
      <c r="L105" s="117"/>
      <c r="M105" s="101" t="s">
        <v>171</v>
      </c>
      <c r="N105" s="91" t="s">
        <v>147</v>
      </c>
      <c r="O105" s="91" t="s">
        <v>172</v>
      </c>
      <c r="P105" s="91" t="s">
        <v>539</v>
      </c>
      <c r="Q105" s="91">
        <v>7</v>
      </c>
      <c r="R105" s="91" t="s">
        <v>295</v>
      </c>
      <c r="S105" s="89"/>
      <c r="T105" s="91" t="s">
        <v>151</v>
      </c>
      <c r="U105" s="91"/>
      <c r="V105" s="91"/>
      <c r="W105" s="91"/>
      <c r="X105" s="84" t="s">
        <v>176</v>
      </c>
      <c r="Y105" s="91" t="s">
        <v>540</v>
      </c>
      <c r="Z105" s="91" t="s">
        <v>541</v>
      </c>
      <c r="AA105" s="91"/>
      <c r="AB105" s="91"/>
      <c r="AC105" s="91" t="s">
        <v>138</v>
      </c>
      <c r="AD105" s="91"/>
      <c r="AE105" s="91"/>
      <c r="AF105" s="92" t="s">
        <v>139</v>
      </c>
      <c r="AG105" s="86">
        <v>46062</v>
      </c>
      <c r="AH105" s="84" t="s">
        <v>70</v>
      </c>
      <c r="AI105" s="92" t="s">
        <v>140</v>
      </c>
      <c r="AJ105" s="89"/>
    </row>
    <row r="106" spans="1:48" ht="15.75" customHeight="1" x14ac:dyDescent="0.2">
      <c r="A106" s="78">
        <v>105</v>
      </c>
      <c r="B106" s="79">
        <v>45973</v>
      </c>
      <c r="C106" s="95">
        <v>1</v>
      </c>
      <c r="D106" s="80"/>
      <c r="E106" s="81" t="str">
        <f ca="1">IFERROR(__xludf.DUMMYFUNCTION("IF(G106="""","""",FILTER(Especie!$A$2:$A$982,Especie!$H$2:$H$982=G106))"),"FPVA_034")</f>
        <v>FPVA_034</v>
      </c>
      <c r="F106" s="48" t="s">
        <v>166</v>
      </c>
      <c r="G106" s="113" t="s">
        <v>416</v>
      </c>
      <c r="H106" s="91" t="s">
        <v>417</v>
      </c>
      <c r="I106" s="101"/>
      <c r="J106" s="101" t="s">
        <v>169</v>
      </c>
      <c r="K106" s="101"/>
      <c r="L106" s="91"/>
      <c r="M106" s="101" t="s">
        <v>171</v>
      </c>
      <c r="N106" s="91" t="s">
        <v>147</v>
      </c>
      <c r="O106" s="91" t="s">
        <v>172</v>
      </c>
      <c r="P106" s="91" t="s">
        <v>173</v>
      </c>
      <c r="Q106" s="91">
        <v>4</v>
      </c>
      <c r="R106" s="91" t="s">
        <v>295</v>
      </c>
      <c r="S106" s="89"/>
      <c r="T106" s="91" t="s">
        <v>151</v>
      </c>
      <c r="U106" s="91"/>
      <c r="V106" s="91"/>
      <c r="W106" s="91"/>
      <c r="X106" s="84" t="s">
        <v>176</v>
      </c>
      <c r="Y106" s="116"/>
      <c r="Z106" s="116" t="s">
        <v>542</v>
      </c>
      <c r="AA106" s="116"/>
      <c r="AB106" s="116"/>
      <c r="AC106" s="116" t="s">
        <v>138</v>
      </c>
      <c r="AD106" s="91"/>
      <c r="AE106" s="91"/>
      <c r="AF106" s="92" t="s">
        <v>139</v>
      </c>
      <c r="AG106" s="86">
        <v>46062</v>
      </c>
      <c r="AH106" s="84" t="s">
        <v>70</v>
      </c>
      <c r="AI106" s="92" t="s">
        <v>140</v>
      </c>
      <c r="AJ106" s="89"/>
    </row>
    <row r="107" spans="1:48" ht="15.75" customHeight="1" x14ac:dyDescent="0.2">
      <c r="A107" s="78">
        <v>106</v>
      </c>
      <c r="B107" s="79">
        <v>45976</v>
      </c>
      <c r="C107" s="95">
        <v>2</v>
      </c>
      <c r="D107" s="80"/>
      <c r="E107" s="81" t="str">
        <f ca="1">IFERROR(__xludf.DUMMYFUNCTION("IF(G107="""","""",FILTER(Especie!$A$2:$A$982,Especie!$H$2:$H$982=G107))"),"FPVA_019")</f>
        <v>FPVA_019</v>
      </c>
      <c r="F107" s="48" t="s">
        <v>124</v>
      </c>
      <c r="G107" s="104" t="s">
        <v>248</v>
      </c>
      <c r="H107" s="98" t="s">
        <v>249</v>
      </c>
      <c r="I107" s="99"/>
      <c r="J107" s="98" t="s">
        <v>144</v>
      </c>
      <c r="K107" s="99"/>
      <c r="L107" s="98" t="s">
        <v>543</v>
      </c>
      <c r="M107" s="98" t="s">
        <v>146</v>
      </c>
      <c r="N107" s="98" t="s">
        <v>147</v>
      </c>
      <c r="O107" s="98" t="s">
        <v>148</v>
      </c>
      <c r="P107" s="98" t="s">
        <v>544</v>
      </c>
      <c r="Q107" s="98">
        <v>200</v>
      </c>
      <c r="R107" s="98" t="s">
        <v>186</v>
      </c>
      <c r="S107" s="98"/>
      <c r="T107" s="98"/>
      <c r="U107" s="98"/>
      <c r="V107" s="98"/>
      <c r="W107" s="98"/>
      <c r="X107" s="84" t="s">
        <v>252</v>
      </c>
      <c r="Y107" s="98" t="s">
        <v>425</v>
      </c>
      <c r="Z107" s="98" t="s">
        <v>442</v>
      </c>
      <c r="AA107" s="98"/>
      <c r="AB107" s="98"/>
      <c r="AC107" s="98" t="s">
        <v>155</v>
      </c>
      <c r="AD107" s="98"/>
      <c r="AE107" s="98"/>
      <c r="AF107" s="92" t="s">
        <v>139</v>
      </c>
      <c r="AG107" s="86">
        <v>46062</v>
      </c>
      <c r="AH107" s="84" t="s">
        <v>70</v>
      </c>
      <c r="AI107" s="92" t="s">
        <v>140</v>
      </c>
      <c r="AJ107" s="89"/>
    </row>
    <row r="108" spans="1:48" ht="15.75" customHeight="1" x14ac:dyDescent="0.2">
      <c r="A108" s="78">
        <v>107</v>
      </c>
      <c r="B108" s="79">
        <v>45977</v>
      </c>
      <c r="C108" s="80">
        <v>7</v>
      </c>
      <c r="D108" s="80"/>
      <c r="E108" s="81" t="str">
        <f ca="1">IFERROR(__xludf.DUMMYFUNCTION("IF(G108="""","""",FILTER(Especie!$A$2:$A$982,Especie!$H$2:$H$982=G108))"),"FPVA_065")</f>
        <v>FPVA_065</v>
      </c>
      <c r="F108" s="48" t="s">
        <v>124</v>
      </c>
      <c r="G108" s="90" t="s">
        <v>545</v>
      </c>
      <c r="H108" s="48" t="s">
        <v>546</v>
      </c>
      <c r="I108" s="48"/>
      <c r="J108" s="48" t="s">
        <v>144</v>
      </c>
      <c r="L108" s="88" t="s">
        <v>547</v>
      </c>
      <c r="M108" s="50" t="s">
        <v>146</v>
      </c>
      <c r="N108" s="97" t="s">
        <v>147</v>
      </c>
      <c r="O108" s="97" t="s">
        <v>161</v>
      </c>
      <c r="P108" s="84" t="s">
        <v>149</v>
      </c>
      <c r="Q108" s="83" t="s">
        <v>548</v>
      </c>
      <c r="R108" s="83" t="s">
        <v>212</v>
      </c>
      <c r="S108" s="83"/>
      <c r="T108" s="84" t="s">
        <v>151</v>
      </c>
      <c r="U108" s="89"/>
      <c r="V108" s="89"/>
      <c r="W108" s="97"/>
      <c r="X108" s="84" t="s">
        <v>215</v>
      </c>
      <c r="Y108" s="89" t="s">
        <v>547</v>
      </c>
      <c r="Z108" s="89" t="s">
        <v>549</v>
      </c>
      <c r="AA108" s="89"/>
      <c r="AB108" s="89"/>
      <c r="AC108" s="102" t="s">
        <v>343</v>
      </c>
      <c r="AD108" s="89"/>
      <c r="AE108" s="83"/>
      <c r="AF108" s="92" t="s">
        <v>139</v>
      </c>
      <c r="AG108" s="115">
        <v>46167</v>
      </c>
      <c r="AH108" s="89" t="s">
        <v>348</v>
      </c>
      <c r="AI108" s="92" t="s">
        <v>140</v>
      </c>
      <c r="AJ108" s="116"/>
      <c r="AK108" s="117"/>
      <c r="AL108" s="117"/>
      <c r="AM108" s="117"/>
      <c r="AN108" s="117"/>
      <c r="AO108" s="117"/>
      <c r="AP108" s="117"/>
      <c r="AQ108" s="117"/>
      <c r="AR108" s="117"/>
      <c r="AS108" s="117"/>
      <c r="AT108" s="117"/>
      <c r="AU108" s="117"/>
      <c r="AV108" s="117"/>
    </row>
    <row r="109" spans="1:48" ht="15.75" customHeight="1" x14ac:dyDescent="0.2">
      <c r="A109" s="78">
        <v>108</v>
      </c>
      <c r="B109" s="79">
        <v>45981</v>
      </c>
      <c r="C109" s="95">
        <v>5</v>
      </c>
      <c r="D109" s="80"/>
      <c r="E109" s="81" t="str">
        <f ca="1">IFERROR(__xludf.DUMMYFUNCTION("IF(G109="""","""",FILTER(Especie!$A$2:$A$982,Especie!$H$2:$H$982=G109))"),"FPVA_046")</f>
        <v>FPVA_046</v>
      </c>
      <c r="F109" s="48" t="s">
        <v>124</v>
      </c>
      <c r="G109" s="112" t="s">
        <v>550</v>
      </c>
      <c r="H109" s="101" t="s">
        <v>551</v>
      </c>
      <c r="I109" s="101"/>
      <c r="J109" s="101" t="s">
        <v>169</v>
      </c>
      <c r="K109" s="101"/>
      <c r="L109" s="101" t="s">
        <v>552</v>
      </c>
      <c r="M109" s="101" t="s">
        <v>269</v>
      </c>
      <c r="N109" s="91" t="s">
        <v>147</v>
      </c>
      <c r="O109" s="91" t="s">
        <v>148</v>
      </c>
      <c r="P109" s="91" t="s">
        <v>149</v>
      </c>
      <c r="Q109" s="91">
        <v>2</v>
      </c>
      <c r="R109" s="91" t="s">
        <v>339</v>
      </c>
      <c r="S109" s="89"/>
      <c r="T109" s="91" t="s">
        <v>163</v>
      </c>
      <c r="U109" s="91"/>
      <c r="V109" s="91"/>
      <c r="W109" s="91"/>
      <c r="X109" s="98" t="s">
        <v>366</v>
      </c>
      <c r="Y109" s="91" t="s">
        <v>553</v>
      </c>
      <c r="Z109" s="91" t="s">
        <v>554</v>
      </c>
      <c r="AA109" s="91"/>
      <c r="AB109" s="91"/>
      <c r="AC109" s="91" t="s">
        <v>195</v>
      </c>
      <c r="AD109" s="91"/>
      <c r="AE109" s="91"/>
      <c r="AF109" s="92" t="s">
        <v>139</v>
      </c>
      <c r="AG109" s="86">
        <v>46062</v>
      </c>
      <c r="AH109" s="84" t="s">
        <v>70</v>
      </c>
      <c r="AI109" s="92" t="s">
        <v>140</v>
      </c>
      <c r="AJ109" s="116"/>
      <c r="AK109" s="117"/>
      <c r="AL109" s="117"/>
      <c r="AM109" s="117"/>
      <c r="AN109" s="117"/>
      <c r="AO109" s="117"/>
      <c r="AP109" s="117"/>
      <c r="AQ109" s="117"/>
      <c r="AR109" s="117"/>
      <c r="AS109" s="117"/>
      <c r="AT109" s="117"/>
      <c r="AU109" s="117"/>
      <c r="AV109" s="117"/>
    </row>
    <row r="110" spans="1:48" ht="15.75" customHeight="1" x14ac:dyDescent="0.2">
      <c r="A110" s="78">
        <v>109</v>
      </c>
      <c r="B110" s="79">
        <v>45983</v>
      </c>
      <c r="C110" s="95">
        <v>2</v>
      </c>
      <c r="D110" s="80"/>
      <c r="E110" s="81" t="str">
        <f ca="1">IFERROR(__xludf.DUMMYFUNCTION("IF(G110="""","""",FILTER(Especie!$A$2:$A$982,Especie!$H$2:$H$982=G110))"),"FPVA_042")</f>
        <v>FPVA_042</v>
      </c>
      <c r="F110" s="48" t="s">
        <v>124</v>
      </c>
      <c r="G110" s="112" t="s">
        <v>501</v>
      </c>
      <c r="H110" s="98" t="s">
        <v>502</v>
      </c>
      <c r="I110" s="98"/>
      <c r="J110" s="98" t="s">
        <v>144</v>
      </c>
      <c r="K110" s="99"/>
      <c r="L110" s="98" t="s">
        <v>503</v>
      </c>
      <c r="M110" s="98" t="s">
        <v>146</v>
      </c>
      <c r="N110" s="98" t="s">
        <v>147</v>
      </c>
      <c r="O110" s="98" t="s">
        <v>148</v>
      </c>
      <c r="P110" s="98" t="s">
        <v>544</v>
      </c>
      <c r="Q110" s="98">
        <v>10</v>
      </c>
      <c r="R110" s="98" t="s">
        <v>186</v>
      </c>
      <c r="S110" s="98" t="s">
        <v>444</v>
      </c>
      <c r="T110" s="84"/>
      <c r="U110" s="98"/>
      <c r="V110" s="98"/>
      <c r="W110" s="98"/>
      <c r="X110" s="98" t="s">
        <v>252</v>
      </c>
      <c r="Y110" s="98"/>
      <c r="Z110" s="98" t="s">
        <v>555</v>
      </c>
      <c r="AA110" s="98"/>
      <c r="AB110" s="98"/>
      <c r="AC110" s="116" t="s">
        <v>138</v>
      </c>
      <c r="AD110" s="98"/>
      <c r="AE110" s="98"/>
      <c r="AF110" s="92" t="s">
        <v>139</v>
      </c>
      <c r="AG110" s="86">
        <v>46062</v>
      </c>
      <c r="AH110" s="84" t="s">
        <v>70</v>
      </c>
      <c r="AI110" s="92" t="s">
        <v>140</v>
      </c>
      <c r="AJ110" s="116"/>
      <c r="AK110" s="117"/>
      <c r="AL110" s="117"/>
      <c r="AM110" s="117"/>
      <c r="AN110" s="117"/>
      <c r="AO110" s="117"/>
      <c r="AP110" s="117"/>
      <c r="AQ110" s="117"/>
      <c r="AR110" s="117"/>
      <c r="AS110" s="117"/>
      <c r="AT110" s="117"/>
      <c r="AU110" s="117"/>
      <c r="AV110" s="117"/>
    </row>
    <row r="111" spans="1:48" ht="15.75" customHeight="1" x14ac:dyDescent="0.2">
      <c r="A111" s="78">
        <v>110</v>
      </c>
      <c r="B111" s="79">
        <v>45988</v>
      </c>
      <c r="C111" s="80">
        <v>7</v>
      </c>
      <c r="D111" s="80"/>
      <c r="E111" s="128" t="str">
        <f ca="1">IFERROR(__xludf.DUMMYFUNCTION("IF(G111="""","""",FILTER(Especie!$A$2:$A$982,Especie!$H$2:$H$982=G111))"),"FPVA_080")</f>
        <v>FPVA_080</v>
      </c>
      <c r="F111" s="48" t="s">
        <v>124</v>
      </c>
      <c r="G111" s="90" t="s">
        <v>556</v>
      </c>
      <c r="H111" s="48" t="s">
        <v>557</v>
      </c>
      <c r="I111" s="48"/>
      <c r="J111" s="48" t="s">
        <v>144</v>
      </c>
      <c r="L111" s="88" t="s">
        <v>558</v>
      </c>
      <c r="M111" s="50" t="s">
        <v>275</v>
      </c>
      <c r="N111" s="97" t="s">
        <v>147</v>
      </c>
      <c r="O111" s="97" t="s">
        <v>161</v>
      </c>
      <c r="P111" s="84" t="s">
        <v>149</v>
      </c>
      <c r="Q111" s="83">
        <v>2</v>
      </c>
      <c r="R111" s="83" t="s">
        <v>212</v>
      </c>
      <c r="S111" s="83"/>
      <c r="T111" s="84" t="s">
        <v>163</v>
      </c>
      <c r="U111" s="89"/>
      <c r="V111" s="89"/>
      <c r="W111" s="97"/>
      <c r="X111" s="84" t="s">
        <v>215</v>
      </c>
      <c r="Y111" s="89" t="s">
        <v>559</v>
      </c>
      <c r="Z111" s="89" t="s">
        <v>560</v>
      </c>
      <c r="AA111" s="89"/>
      <c r="AB111" s="89"/>
      <c r="AC111" s="102" t="s">
        <v>343</v>
      </c>
      <c r="AD111" s="89"/>
      <c r="AE111" s="83"/>
      <c r="AF111" s="92" t="s">
        <v>139</v>
      </c>
      <c r="AG111" s="115">
        <v>46167</v>
      </c>
      <c r="AH111" s="89" t="s">
        <v>348</v>
      </c>
      <c r="AI111" s="92" t="s">
        <v>140</v>
      </c>
      <c r="AJ111" s="116"/>
      <c r="AK111" s="117"/>
      <c r="AL111" s="117"/>
      <c r="AM111" s="117"/>
      <c r="AN111" s="117"/>
      <c r="AO111" s="117"/>
      <c r="AP111" s="117"/>
      <c r="AQ111" s="117"/>
      <c r="AR111" s="117"/>
      <c r="AS111" s="117"/>
      <c r="AT111" s="117"/>
      <c r="AU111" s="117"/>
      <c r="AV111" s="117"/>
    </row>
    <row r="112" spans="1:48" ht="15.75" customHeight="1" x14ac:dyDescent="0.2">
      <c r="A112" s="78">
        <v>111</v>
      </c>
      <c r="B112" s="79">
        <v>45989</v>
      </c>
      <c r="C112" s="80">
        <v>14</v>
      </c>
      <c r="D112" s="80"/>
      <c r="E112" s="81" t="str">
        <f ca="1">IFERROR(__xludf.DUMMYFUNCTION("IF(G112="""","""",FILTER(Especie!$A$2:$A$982,Especie!$H$2:$H$982=G112))"),"FPVA_005")</f>
        <v>FPVA_005</v>
      </c>
      <c r="F112" s="48" t="s">
        <v>124</v>
      </c>
      <c r="G112" s="90" t="s">
        <v>188</v>
      </c>
      <c r="H112" s="48" t="s">
        <v>189</v>
      </c>
      <c r="I112" s="48"/>
      <c r="J112" s="48" t="s">
        <v>144</v>
      </c>
      <c r="L112" s="88" t="s">
        <v>481</v>
      </c>
      <c r="M112" s="97" t="s">
        <v>146</v>
      </c>
      <c r="N112" s="97" t="s">
        <v>147</v>
      </c>
      <c r="O112" s="97" t="s">
        <v>148</v>
      </c>
      <c r="P112" s="84" t="s">
        <v>149</v>
      </c>
      <c r="Q112" s="83">
        <v>6</v>
      </c>
      <c r="R112" s="83" t="s">
        <v>212</v>
      </c>
      <c r="S112" s="83"/>
      <c r="T112" s="84" t="s">
        <v>163</v>
      </c>
      <c r="U112" s="89"/>
      <c r="V112" s="89"/>
      <c r="W112" s="97"/>
      <c r="X112" s="84" t="s">
        <v>215</v>
      </c>
      <c r="Y112" s="89" t="s">
        <v>193</v>
      </c>
      <c r="Z112" s="89" t="s">
        <v>483</v>
      </c>
      <c r="AA112" s="89"/>
      <c r="AB112" s="89"/>
      <c r="AC112" s="89" t="s">
        <v>155</v>
      </c>
      <c r="AD112" s="89"/>
      <c r="AE112" s="83"/>
      <c r="AF112" s="92" t="s">
        <v>139</v>
      </c>
      <c r="AG112" s="86">
        <v>46162</v>
      </c>
      <c r="AH112" s="84" t="s">
        <v>70</v>
      </c>
      <c r="AI112" s="92" t="s">
        <v>140</v>
      </c>
      <c r="AJ112" s="116"/>
      <c r="AK112" s="117"/>
      <c r="AL112" s="117"/>
      <c r="AM112" s="117"/>
      <c r="AN112" s="117"/>
      <c r="AO112" s="117"/>
      <c r="AP112" s="117"/>
      <c r="AQ112" s="117"/>
      <c r="AR112" s="117"/>
      <c r="AS112" s="117"/>
      <c r="AT112" s="117"/>
      <c r="AU112" s="117"/>
      <c r="AV112" s="117"/>
    </row>
    <row r="113" spans="1:48" ht="15.75" customHeight="1" x14ac:dyDescent="0.2">
      <c r="A113" s="78">
        <v>112</v>
      </c>
      <c r="B113" s="79">
        <v>45991</v>
      </c>
      <c r="C113" s="95">
        <v>11</v>
      </c>
      <c r="D113" s="80"/>
      <c r="E113" s="81" t="str">
        <f ca="1">IFERROR(__xludf.DUMMYFUNCTION("IF(G113="""","""",FILTER(Especie!$A$2:$A$982,Especie!$H$2:$H$982=G113))"),"FPVA_045")</f>
        <v>FPVA_045</v>
      </c>
      <c r="F113" s="48" t="s">
        <v>124</v>
      </c>
      <c r="G113" s="112" t="s">
        <v>561</v>
      </c>
      <c r="H113" s="91" t="s">
        <v>562</v>
      </c>
      <c r="I113" s="91"/>
      <c r="J113" s="98" t="s">
        <v>144</v>
      </c>
      <c r="K113" s="101"/>
      <c r="L113" s="91" t="s">
        <v>563</v>
      </c>
      <c r="M113" s="101" t="s">
        <v>146</v>
      </c>
      <c r="N113" s="91" t="s">
        <v>147</v>
      </c>
      <c r="O113" s="91" t="s">
        <v>161</v>
      </c>
      <c r="P113" s="91" t="s">
        <v>564</v>
      </c>
      <c r="Q113" s="91" t="s">
        <v>565</v>
      </c>
      <c r="R113" s="98" t="s">
        <v>339</v>
      </c>
      <c r="S113" s="89"/>
      <c r="T113" s="91" t="s">
        <v>214</v>
      </c>
      <c r="U113" s="91"/>
      <c r="V113" s="91"/>
      <c r="W113" s="91"/>
      <c r="X113" s="91" t="s">
        <v>215</v>
      </c>
      <c r="Y113" s="91" t="s">
        <v>193</v>
      </c>
      <c r="Z113" s="91" t="s">
        <v>566</v>
      </c>
      <c r="AA113" s="91"/>
      <c r="AB113" s="91"/>
      <c r="AC113" s="91" t="s">
        <v>138</v>
      </c>
      <c r="AD113" s="91"/>
      <c r="AE113" s="91"/>
      <c r="AF113" s="92" t="s">
        <v>139</v>
      </c>
      <c r="AG113" s="86">
        <v>46062</v>
      </c>
      <c r="AH113" s="84" t="s">
        <v>70</v>
      </c>
      <c r="AI113" s="92" t="s">
        <v>140</v>
      </c>
      <c r="AJ113" s="89"/>
    </row>
    <row r="114" spans="1:48" ht="15.75" customHeight="1" x14ac:dyDescent="0.2">
      <c r="A114" s="78">
        <v>113</v>
      </c>
      <c r="B114" s="79">
        <v>45991</v>
      </c>
      <c r="C114" s="95">
        <v>1</v>
      </c>
      <c r="D114" s="80"/>
      <c r="E114" s="81" t="str">
        <f ca="1">IFERROR(__xludf.DUMMYFUNCTION("IF(G114="""","""",FILTER(Especie!$A$2:$A$982,Especie!$H$2:$H$982=G114))"),"FPVA_005")</f>
        <v>FPVA_005</v>
      </c>
      <c r="F114" s="48" t="s">
        <v>124</v>
      </c>
      <c r="G114" s="112" t="s">
        <v>188</v>
      </c>
      <c r="H114" s="91" t="s">
        <v>189</v>
      </c>
      <c r="I114" s="101"/>
      <c r="J114" s="98" t="s">
        <v>144</v>
      </c>
      <c r="K114" s="101"/>
      <c r="L114" s="91" t="s">
        <v>484</v>
      </c>
      <c r="M114" s="99" t="s">
        <v>146</v>
      </c>
      <c r="N114" s="91" t="s">
        <v>147</v>
      </c>
      <c r="O114" s="98" t="s">
        <v>161</v>
      </c>
      <c r="P114" s="98" t="s">
        <v>149</v>
      </c>
      <c r="Q114" s="91">
        <v>200</v>
      </c>
      <c r="R114" s="91" t="s">
        <v>186</v>
      </c>
      <c r="S114" s="91" t="s">
        <v>444</v>
      </c>
      <c r="T114" s="91"/>
      <c r="U114" s="91"/>
      <c r="V114" s="91"/>
      <c r="W114" s="91"/>
      <c r="X114" s="91" t="s">
        <v>215</v>
      </c>
      <c r="Y114" s="91" t="s">
        <v>193</v>
      </c>
      <c r="Z114" s="91" t="s">
        <v>530</v>
      </c>
      <c r="AA114" s="91"/>
      <c r="AB114" s="91"/>
      <c r="AC114" s="91" t="s">
        <v>138</v>
      </c>
      <c r="AD114" s="91"/>
      <c r="AE114" s="91"/>
      <c r="AF114" s="92" t="s">
        <v>139</v>
      </c>
      <c r="AG114" s="86">
        <v>46062</v>
      </c>
      <c r="AH114" s="84" t="s">
        <v>70</v>
      </c>
      <c r="AI114" s="92" t="s">
        <v>140</v>
      </c>
      <c r="AJ114" s="89"/>
    </row>
    <row r="115" spans="1:48" ht="15.75" customHeight="1" x14ac:dyDescent="0.2">
      <c r="A115" s="78">
        <v>114</v>
      </c>
      <c r="B115" s="79">
        <v>45991</v>
      </c>
      <c r="C115" s="95">
        <v>7</v>
      </c>
      <c r="D115" s="80"/>
      <c r="E115" s="81" t="str">
        <f ca="1">IFERROR(__xludf.DUMMYFUNCTION("IF(G115="""","""",FILTER(Especie!$A$2:$A$982,Especie!$H$2:$H$982=G115))"),"FPVA_004")</f>
        <v>FPVA_004</v>
      </c>
      <c r="F115" s="121" t="s">
        <v>124</v>
      </c>
      <c r="G115" s="127" t="s">
        <v>221</v>
      </c>
      <c r="H115" s="91" t="s">
        <v>222</v>
      </c>
      <c r="I115" s="91"/>
      <c r="J115" s="91" t="s">
        <v>144</v>
      </c>
      <c r="K115" s="101"/>
      <c r="L115" s="101" t="s">
        <v>537</v>
      </c>
      <c r="M115" s="101" t="s">
        <v>567</v>
      </c>
      <c r="N115" s="91" t="s">
        <v>147</v>
      </c>
      <c r="O115" s="91" t="s">
        <v>161</v>
      </c>
      <c r="P115" s="91" t="s">
        <v>149</v>
      </c>
      <c r="Q115" s="91">
        <v>1</v>
      </c>
      <c r="R115" s="91" t="s">
        <v>191</v>
      </c>
      <c r="S115" s="91"/>
      <c r="T115" s="91" t="s">
        <v>151</v>
      </c>
      <c r="U115" s="91"/>
      <c r="V115" s="91"/>
      <c r="W115" s="91"/>
      <c r="X115" s="91" t="s">
        <v>215</v>
      </c>
      <c r="Y115" s="91" t="s">
        <v>538</v>
      </c>
      <c r="Z115" s="91" t="s">
        <v>568</v>
      </c>
      <c r="AA115" s="91"/>
      <c r="AB115" s="91"/>
      <c r="AC115" s="91" t="s">
        <v>343</v>
      </c>
      <c r="AD115" s="91"/>
      <c r="AE115" s="91"/>
      <c r="AF115" s="123" t="s">
        <v>139</v>
      </c>
      <c r="AG115" s="124">
        <v>46062</v>
      </c>
      <c r="AH115" s="116" t="s">
        <v>70</v>
      </c>
      <c r="AI115" s="123" t="s">
        <v>140</v>
      </c>
      <c r="AJ115" s="125"/>
      <c r="AK115" s="126"/>
      <c r="AL115" s="126"/>
      <c r="AM115" s="126"/>
      <c r="AN115" s="126"/>
      <c r="AO115" s="126"/>
      <c r="AP115" s="126"/>
      <c r="AQ115" s="126"/>
      <c r="AR115" s="126"/>
      <c r="AS115" s="126"/>
      <c r="AT115" s="126"/>
      <c r="AU115" s="126"/>
      <c r="AV115" s="126"/>
    </row>
    <row r="116" spans="1:48" ht="15.75" customHeight="1" x14ac:dyDescent="0.2">
      <c r="A116" s="78">
        <v>115</v>
      </c>
      <c r="B116" s="79">
        <v>45991</v>
      </c>
      <c r="C116" s="95">
        <v>7</v>
      </c>
      <c r="D116" s="80"/>
      <c r="E116" s="81" t="str">
        <f ca="1">IFERROR(__xludf.DUMMYFUNCTION("IF(G116="""","""",FILTER(Especie!$A$2:$A$982,Especie!$H$2:$H$982=G116))"),"FPVA_060")</f>
        <v>FPVA_060</v>
      </c>
      <c r="F116" s="121" t="s">
        <v>124</v>
      </c>
      <c r="G116" s="122" t="s">
        <v>569</v>
      </c>
      <c r="H116" s="91" t="s">
        <v>570</v>
      </c>
      <c r="I116" s="91"/>
      <c r="J116" s="91" t="s">
        <v>144</v>
      </c>
      <c r="K116" s="101"/>
      <c r="L116" s="101" t="s">
        <v>537</v>
      </c>
      <c r="M116" s="101" t="s">
        <v>567</v>
      </c>
      <c r="N116" s="91" t="s">
        <v>147</v>
      </c>
      <c r="O116" s="91" t="s">
        <v>161</v>
      </c>
      <c r="P116" s="91" t="s">
        <v>149</v>
      </c>
      <c r="Q116" s="91">
        <v>1</v>
      </c>
      <c r="R116" s="91" t="s">
        <v>191</v>
      </c>
      <c r="S116" s="91"/>
      <c r="T116" s="91" t="s">
        <v>151</v>
      </c>
      <c r="U116" s="91"/>
      <c r="V116" s="91"/>
      <c r="W116" s="91"/>
      <c r="X116" s="91" t="s">
        <v>215</v>
      </c>
      <c r="Y116" s="91" t="s">
        <v>538</v>
      </c>
      <c r="Z116" s="91" t="s">
        <v>568</v>
      </c>
      <c r="AA116" s="91"/>
      <c r="AB116" s="91"/>
      <c r="AC116" s="91" t="s">
        <v>343</v>
      </c>
      <c r="AD116" s="91"/>
      <c r="AE116" s="91"/>
      <c r="AF116" s="123" t="s">
        <v>139</v>
      </c>
      <c r="AG116" s="124">
        <v>46062</v>
      </c>
      <c r="AH116" s="116" t="s">
        <v>70</v>
      </c>
      <c r="AI116" s="123" t="s">
        <v>140</v>
      </c>
      <c r="AJ116" s="125"/>
      <c r="AK116" s="126"/>
      <c r="AL116" s="126"/>
      <c r="AM116" s="126"/>
      <c r="AN116" s="126"/>
      <c r="AO116" s="126"/>
      <c r="AP116" s="126"/>
      <c r="AQ116" s="126"/>
      <c r="AR116" s="126"/>
      <c r="AS116" s="126"/>
      <c r="AT116" s="126"/>
      <c r="AU116" s="126"/>
      <c r="AV116" s="126"/>
    </row>
    <row r="117" spans="1:48" ht="15.75" customHeight="1" x14ac:dyDescent="0.2">
      <c r="A117" s="78">
        <v>116</v>
      </c>
      <c r="B117" s="79">
        <v>45991</v>
      </c>
      <c r="C117" s="95">
        <v>7</v>
      </c>
      <c r="D117" s="80"/>
      <c r="E117" s="81" t="str">
        <f ca="1">IFERROR(__xludf.DUMMYFUNCTION("IF(G117="""","""",FILTER(Especie!$A$2:$A$982,Especie!$H$2:$H$982=G117))"),"FPVA_061")</f>
        <v>FPVA_061</v>
      </c>
      <c r="F117" s="121" t="s">
        <v>124</v>
      </c>
      <c r="G117" s="122" t="s">
        <v>571</v>
      </c>
      <c r="H117" s="91" t="s">
        <v>572</v>
      </c>
      <c r="I117" s="91"/>
      <c r="J117" s="91" t="s">
        <v>144</v>
      </c>
      <c r="K117" s="101"/>
      <c r="L117" s="101" t="s">
        <v>537</v>
      </c>
      <c r="M117" s="101" t="s">
        <v>567</v>
      </c>
      <c r="N117" s="91" t="s">
        <v>147</v>
      </c>
      <c r="O117" s="91" t="s">
        <v>161</v>
      </c>
      <c r="P117" s="91" t="s">
        <v>149</v>
      </c>
      <c r="Q117" s="91">
        <v>1</v>
      </c>
      <c r="R117" s="91" t="s">
        <v>191</v>
      </c>
      <c r="S117" s="91"/>
      <c r="T117" s="91" t="s">
        <v>151</v>
      </c>
      <c r="U117" s="91"/>
      <c r="V117" s="91"/>
      <c r="W117" s="91"/>
      <c r="X117" s="91" t="s">
        <v>215</v>
      </c>
      <c r="Y117" s="91" t="s">
        <v>538</v>
      </c>
      <c r="Z117" s="91" t="s">
        <v>568</v>
      </c>
      <c r="AA117" s="91"/>
      <c r="AB117" s="91"/>
      <c r="AC117" s="91" t="s">
        <v>343</v>
      </c>
      <c r="AD117" s="91"/>
      <c r="AE117" s="91"/>
      <c r="AF117" s="123" t="s">
        <v>139</v>
      </c>
      <c r="AG117" s="124">
        <v>46062</v>
      </c>
      <c r="AH117" s="116" t="s">
        <v>70</v>
      </c>
      <c r="AI117" s="123" t="s">
        <v>140</v>
      </c>
      <c r="AJ117" s="125"/>
      <c r="AK117" s="126"/>
      <c r="AL117" s="126"/>
      <c r="AM117" s="126"/>
      <c r="AN117" s="126"/>
      <c r="AO117" s="126"/>
      <c r="AP117" s="126"/>
      <c r="AQ117" s="126"/>
      <c r="AR117" s="126"/>
      <c r="AS117" s="126"/>
      <c r="AT117" s="126"/>
      <c r="AU117" s="126"/>
      <c r="AV117" s="126"/>
    </row>
    <row r="118" spans="1:48" ht="15.75" customHeight="1" x14ac:dyDescent="0.2">
      <c r="A118" s="78">
        <v>117</v>
      </c>
      <c r="B118" s="79">
        <v>45993</v>
      </c>
      <c r="C118" s="95">
        <v>7</v>
      </c>
      <c r="D118" s="80"/>
      <c r="E118" s="81" t="str">
        <f ca="1">IFERROR(__xludf.DUMMYFUNCTION("IF(G118="""","""",FILTER(Especie!$A$2:$A$982,Especie!$H$2:$H$982=G118))"),"FPVA_005")</f>
        <v>FPVA_005</v>
      </c>
      <c r="F118" s="48" t="s">
        <v>124</v>
      </c>
      <c r="G118" s="112" t="s">
        <v>188</v>
      </c>
      <c r="H118" s="98" t="s">
        <v>189</v>
      </c>
      <c r="I118" s="99"/>
      <c r="J118" s="98" t="s">
        <v>144</v>
      </c>
      <c r="K118" s="99"/>
      <c r="L118" s="98" t="s">
        <v>465</v>
      </c>
      <c r="M118" s="99" t="s">
        <v>146</v>
      </c>
      <c r="N118" s="98" t="s">
        <v>147</v>
      </c>
      <c r="O118" s="98" t="s">
        <v>161</v>
      </c>
      <c r="P118" s="98" t="s">
        <v>149</v>
      </c>
      <c r="Q118" s="98">
        <v>10</v>
      </c>
      <c r="R118" s="98" t="s">
        <v>186</v>
      </c>
      <c r="S118" s="98"/>
      <c r="T118" s="98" t="s">
        <v>151</v>
      </c>
      <c r="U118" s="98"/>
      <c r="V118" s="98"/>
      <c r="W118" s="98"/>
      <c r="X118" s="98" t="s">
        <v>215</v>
      </c>
      <c r="Y118" s="98" t="s">
        <v>193</v>
      </c>
      <c r="Z118" s="98" t="s">
        <v>549</v>
      </c>
      <c r="AA118" s="98"/>
      <c r="AB118" s="98"/>
      <c r="AC118" s="102" t="s">
        <v>343</v>
      </c>
      <c r="AD118" s="89"/>
      <c r="AE118" s="83"/>
      <c r="AF118" s="92" t="s">
        <v>139</v>
      </c>
      <c r="AG118" s="115">
        <v>46167</v>
      </c>
      <c r="AH118" s="89" t="s">
        <v>348</v>
      </c>
      <c r="AI118" s="92" t="s">
        <v>140</v>
      </c>
      <c r="AJ118" s="89"/>
    </row>
    <row r="119" spans="1:48" ht="15.75" customHeight="1" x14ac:dyDescent="0.2">
      <c r="A119" s="78">
        <v>118</v>
      </c>
      <c r="B119" s="79">
        <v>45994</v>
      </c>
      <c r="C119" s="95">
        <v>3</v>
      </c>
      <c r="D119" s="80"/>
      <c r="E119" s="81" t="str">
        <f ca="1">IFERROR(__xludf.DUMMYFUNCTION("IF(G119="""","""",FILTER(Especie!$A$2:$A$982,Especie!$H$2:$H$982=G119))"),"FPVA_052")</f>
        <v>FPVA_052</v>
      </c>
      <c r="F119" s="48" t="s">
        <v>124</v>
      </c>
      <c r="G119" s="112" t="s">
        <v>573</v>
      </c>
      <c r="H119" s="98" t="s">
        <v>508</v>
      </c>
      <c r="I119" s="99"/>
      <c r="J119" s="98" t="s">
        <v>574</v>
      </c>
      <c r="K119" s="99"/>
      <c r="L119" s="99" t="s">
        <v>575</v>
      </c>
      <c r="M119" s="98" t="s">
        <v>275</v>
      </c>
      <c r="N119" s="98" t="s">
        <v>131</v>
      </c>
      <c r="O119" s="98" t="s">
        <v>161</v>
      </c>
      <c r="P119" s="98" t="s">
        <v>133</v>
      </c>
      <c r="Q119" s="101" t="s">
        <v>207</v>
      </c>
      <c r="R119" s="98"/>
      <c r="S119" s="98" t="s">
        <v>444</v>
      </c>
      <c r="T119" s="98" t="s">
        <v>151</v>
      </c>
      <c r="U119" s="98"/>
      <c r="V119" s="98"/>
      <c r="W119" s="98"/>
      <c r="X119" s="98" t="s">
        <v>366</v>
      </c>
      <c r="Y119" s="98"/>
      <c r="Z119" s="98" t="s">
        <v>576</v>
      </c>
      <c r="AA119" s="98"/>
      <c r="AB119" s="98"/>
      <c r="AC119" s="98" t="s">
        <v>343</v>
      </c>
      <c r="AD119" s="98"/>
      <c r="AE119" s="98"/>
      <c r="AF119" s="92" t="s">
        <v>139</v>
      </c>
      <c r="AG119" s="86">
        <v>46062</v>
      </c>
      <c r="AH119" s="84" t="s">
        <v>70</v>
      </c>
      <c r="AI119" s="92" t="s">
        <v>140</v>
      </c>
      <c r="AJ119" s="116"/>
      <c r="AK119" s="117"/>
      <c r="AL119" s="117"/>
      <c r="AM119" s="117"/>
      <c r="AN119" s="117"/>
      <c r="AO119" s="117"/>
      <c r="AP119" s="117"/>
      <c r="AQ119" s="117"/>
      <c r="AR119" s="117"/>
      <c r="AS119" s="117"/>
      <c r="AT119" s="117"/>
      <c r="AU119" s="117"/>
      <c r="AV119" s="117"/>
    </row>
    <row r="120" spans="1:48" ht="15.75" customHeight="1" x14ac:dyDescent="0.2">
      <c r="A120" s="78">
        <v>119</v>
      </c>
      <c r="B120" s="129">
        <v>45996</v>
      </c>
      <c r="C120" s="95">
        <v>5</v>
      </c>
      <c r="D120" s="80"/>
      <c r="E120" s="81" t="str">
        <f ca="1">IFERROR(__xludf.DUMMYFUNCTION("IF(G120="""","""",FILTER(Especie!$A$2:$A$982,Especie!$H$2:$H$982=G120))"),"FPVA_026")</f>
        <v>FPVA_026</v>
      </c>
      <c r="F120" s="48" t="s">
        <v>124</v>
      </c>
      <c r="G120" s="107" t="s">
        <v>305</v>
      </c>
      <c r="H120" s="91" t="s">
        <v>306</v>
      </c>
      <c r="I120" s="91"/>
      <c r="J120" s="91" t="s">
        <v>144</v>
      </c>
      <c r="K120" s="99"/>
      <c r="L120" s="101" t="s">
        <v>577</v>
      </c>
      <c r="M120" s="101" t="s">
        <v>146</v>
      </c>
      <c r="N120" s="91" t="s">
        <v>147</v>
      </c>
      <c r="O120" s="91" t="s">
        <v>148</v>
      </c>
      <c r="P120" s="91" t="s">
        <v>149</v>
      </c>
      <c r="Q120" s="91">
        <v>15</v>
      </c>
      <c r="R120" s="91" t="s">
        <v>212</v>
      </c>
      <c r="S120" s="91"/>
      <c r="T120" s="91"/>
      <c r="U120" s="91"/>
      <c r="V120" s="91"/>
      <c r="W120" s="91"/>
      <c r="X120" s="91" t="s">
        <v>578</v>
      </c>
      <c r="Y120" s="91" t="s">
        <v>193</v>
      </c>
      <c r="Z120" s="91" t="s">
        <v>579</v>
      </c>
      <c r="AA120" s="116"/>
      <c r="AB120" s="116"/>
      <c r="AC120" s="116" t="s">
        <v>155</v>
      </c>
      <c r="AD120" s="91"/>
      <c r="AE120" s="91"/>
      <c r="AF120" s="92" t="s">
        <v>139</v>
      </c>
      <c r="AG120" s="86">
        <v>46062</v>
      </c>
      <c r="AH120" s="84" t="s">
        <v>70</v>
      </c>
      <c r="AI120" s="92" t="s">
        <v>140</v>
      </c>
      <c r="AJ120" s="130"/>
      <c r="AK120" s="131"/>
      <c r="AL120" s="131"/>
      <c r="AM120" s="131"/>
      <c r="AN120" s="131"/>
      <c r="AO120" s="131"/>
      <c r="AP120" s="131"/>
      <c r="AQ120" s="131"/>
      <c r="AR120" s="131"/>
      <c r="AS120" s="131"/>
      <c r="AT120" s="131"/>
      <c r="AU120" s="131"/>
      <c r="AV120" s="131"/>
    </row>
    <row r="121" spans="1:48" ht="15.75" customHeight="1" x14ac:dyDescent="0.2">
      <c r="A121" s="78">
        <v>120</v>
      </c>
      <c r="B121" s="129">
        <v>45997</v>
      </c>
      <c r="C121" s="95">
        <v>2</v>
      </c>
      <c r="D121" s="80"/>
      <c r="E121" s="81" t="str">
        <f ca="1">IFERROR(__xludf.DUMMYFUNCTION("IF(G121="""","""",FILTER(Especie!$A$2:$A$982,Especie!$H$2:$H$982=G121))"),"FPVA_011")</f>
        <v>FPVA_011</v>
      </c>
      <c r="F121" s="59" t="s">
        <v>124</v>
      </c>
      <c r="G121" s="87" t="s">
        <v>241</v>
      </c>
      <c r="H121" s="88" t="s">
        <v>242</v>
      </c>
      <c r="J121" s="59" t="s">
        <v>127</v>
      </c>
      <c r="M121" s="84" t="s">
        <v>160</v>
      </c>
      <c r="N121" s="84" t="s">
        <v>131</v>
      </c>
      <c r="O121" s="84" t="s">
        <v>148</v>
      </c>
      <c r="P121" s="84" t="s">
        <v>133</v>
      </c>
      <c r="Q121" s="89">
        <v>13</v>
      </c>
      <c r="R121" s="84" t="s">
        <v>174</v>
      </c>
      <c r="S121" s="89"/>
      <c r="T121" s="84" t="s">
        <v>151</v>
      </c>
      <c r="U121" s="89"/>
      <c r="V121" s="89"/>
      <c r="W121" s="84"/>
      <c r="X121" s="84" t="s">
        <v>135</v>
      </c>
      <c r="Y121" s="89" t="s">
        <v>246</v>
      </c>
      <c r="Z121" s="89" t="s">
        <v>580</v>
      </c>
      <c r="AA121" s="89"/>
      <c r="AB121" s="89"/>
      <c r="AC121" s="89" t="s">
        <v>195</v>
      </c>
      <c r="AD121" s="89"/>
      <c r="AE121" s="89"/>
      <c r="AF121" s="92" t="s">
        <v>139</v>
      </c>
      <c r="AG121" s="86">
        <v>46062</v>
      </c>
      <c r="AH121" s="84" t="s">
        <v>70</v>
      </c>
      <c r="AI121" s="92" t="s">
        <v>140</v>
      </c>
      <c r="AJ121" s="89"/>
    </row>
    <row r="122" spans="1:48" ht="15.75" customHeight="1" x14ac:dyDescent="0.2">
      <c r="A122" s="78">
        <v>121</v>
      </c>
      <c r="B122" s="129">
        <v>45998</v>
      </c>
      <c r="C122" s="95">
        <v>2</v>
      </c>
      <c r="D122" s="80"/>
      <c r="E122" s="81" t="str">
        <f ca="1">IFERROR(__xludf.DUMMYFUNCTION("IF(G122="""","""",FILTER(Especie!$A$2:$A$982,Especie!$H$2:$H$982=G122))"),"FPVA_024")</f>
        <v>FPVA_024</v>
      </c>
      <c r="F122" s="59" t="s">
        <v>124</v>
      </c>
      <c r="G122" s="87" t="s">
        <v>278</v>
      </c>
      <c r="H122" s="88" t="s">
        <v>279</v>
      </c>
      <c r="J122" s="59" t="s">
        <v>574</v>
      </c>
      <c r="L122" s="88" t="s">
        <v>581</v>
      </c>
      <c r="M122" s="84" t="s">
        <v>490</v>
      </c>
      <c r="N122" s="84" t="s">
        <v>582</v>
      </c>
      <c r="O122" s="84" t="s">
        <v>148</v>
      </c>
      <c r="P122" s="84" t="s">
        <v>149</v>
      </c>
      <c r="Q122" s="89">
        <v>200</v>
      </c>
      <c r="R122" s="84" t="s">
        <v>186</v>
      </c>
      <c r="S122" s="89"/>
      <c r="T122" s="84" t="s">
        <v>151</v>
      </c>
      <c r="U122" s="89"/>
      <c r="V122" s="89"/>
      <c r="W122" s="84"/>
      <c r="X122" s="84" t="s">
        <v>583</v>
      </c>
      <c r="Y122" s="89"/>
      <c r="Z122" s="89" t="s">
        <v>584</v>
      </c>
      <c r="AA122" s="89"/>
      <c r="AB122" s="89"/>
      <c r="AC122" s="89" t="s">
        <v>195</v>
      </c>
      <c r="AD122" s="89"/>
      <c r="AE122" s="89"/>
      <c r="AF122" s="92" t="s">
        <v>139</v>
      </c>
      <c r="AG122" s="86">
        <v>46062</v>
      </c>
      <c r="AH122" s="84" t="s">
        <v>70</v>
      </c>
      <c r="AI122" s="92" t="s">
        <v>140</v>
      </c>
      <c r="AJ122" s="89"/>
    </row>
    <row r="123" spans="1:48" ht="15.75" customHeight="1" x14ac:dyDescent="0.2">
      <c r="A123" s="78">
        <v>122</v>
      </c>
      <c r="B123" s="129">
        <v>46001</v>
      </c>
      <c r="C123" s="95">
        <v>1</v>
      </c>
      <c r="D123" s="80"/>
      <c r="E123" s="81" t="str">
        <f ca="1">IFERROR(__xludf.DUMMYFUNCTION("IF(G123="""","""",FILTER(Especie!$A$2:$A$982,Especie!$H$2:$H$982=G123))"),"FPVA_028")</f>
        <v>FPVA_028</v>
      </c>
      <c r="F123" s="98" t="s">
        <v>257</v>
      </c>
      <c r="G123" s="114" t="s">
        <v>320</v>
      </c>
      <c r="H123" s="91" t="s">
        <v>351</v>
      </c>
      <c r="I123" s="91"/>
      <c r="J123" s="91" t="s">
        <v>169</v>
      </c>
      <c r="K123" s="99"/>
      <c r="L123" s="101" t="s">
        <v>585</v>
      </c>
      <c r="M123" s="101" t="s">
        <v>171</v>
      </c>
      <c r="N123" s="91" t="s">
        <v>147</v>
      </c>
      <c r="O123" s="91" t="s">
        <v>262</v>
      </c>
      <c r="P123" s="91" t="s">
        <v>353</v>
      </c>
      <c r="Q123" s="91">
        <v>5</v>
      </c>
      <c r="R123" s="91" t="s">
        <v>295</v>
      </c>
      <c r="S123" s="89"/>
      <c r="T123" s="91" t="s">
        <v>151</v>
      </c>
      <c r="U123" s="91"/>
      <c r="V123" s="91"/>
      <c r="W123" s="91"/>
      <c r="X123" s="84" t="s">
        <v>135</v>
      </c>
      <c r="Y123" s="91" t="s">
        <v>586</v>
      </c>
      <c r="Z123" s="91" t="s">
        <v>587</v>
      </c>
      <c r="AA123" s="116"/>
      <c r="AB123" s="116"/>
      <c r="AC123" s="116" t="s">
        <v>195</v>
      </c>
      <c r="AD123" s="91"/>
      <c r="AE123" s="91"/>
      <c r="AF123" s="92" t="s">
        <v>139</v>
      </c>
      <c r="AG123" s="86">
        <v>46062</v>
      </c>
      <c r="AH123" s="84" t="s">
        <v>70</v>
      </c>
      <c r="AI123" s="92" t="s">
        <v>140</v>
      </c>
      <c r="AJ123" s="89"/>
    </row>
    <row r="124" spans="1:48" ht="15.75" customHeight="1" x14ac:dyDescent="0.2">
      <c r="A124" s="78">
        <v>123</v>
      </c>
      <c r="B124" s="129">
        <v>46001</v>
      </c>
      <c r="C124" s="95">
        <v>2</v>
      </c>
      <c r="D124" s="80"/>
      <c r="E124" s="81" t="str">
        <f ca="1">IFERROR(__xludf.DUMMYFUNCTION("IF(G124="""","""",FILTER(Especie!$A$2:$A$982,Especie!$H$2:$H$982=G124))"),"FPVA_009")</f>
        <v>FPVA_009</v>
      </c>
      <c r="F124" s="59" t="s">
        <v>124</v>
      </c>
      <c r="G124" s="87" t="s">
        <v>232</v>
      </c>
      <c r="H124" s="88" t="s">
        <v>233</v>
      </c>
      <c r="J124" s="59" t="s">
        <v>127</v>
      </c>
      <c r="M124" s="84" t="s">
        <v>160</v>
      </c>
      <c r="N124" s="84" t="s">
        <v>131</v>
      </c>
      <c r="O124" s="84" t="s">
        <v>132</v>
      </c>
      <c r="P124" s="84" t="s">
        <v>237</v>
      </c>
      <c r="Q124" s="89">
        <v>25</v>
      </c>
      <c r="R124" s="84" t="s">
        <v>174</v>
      </c>
      <c r="S124" s="89"/>
      <c r="T124" s="84" t="s">
        <v>151</v>
      </c>
      <c r="U124" s="89"/>
      <c r="V124" s="89"/>
      <c r="W124" s="84"/>
      <c r="X124" s="84" t="s">
        <v>135</v>
      </c>
      <c r="Y124" s="89" t="s">
        <v>246</v>
      </c>
      <c r="Z124" s="89" t="s">
        <v>588</v>
      </c>
      <c r="AA124" s="89"/>
      <c r="AB124" s="89"/>
      <c r="AC124" s="89" t="s">
        <v>195</v>
      </c>
      <c r="AD124" s="89"/>
      <c r="AE124" s="89"/>
      <c r="AF124" s="92" t="s">
        <v>139</v>
      </c>
      <c r="AG124" s="86">
        <v>46062</v>
      </c>
      <c r="AH124" s="84" t="s">
        <v>70</v>
      </c>
      <c r="AI124" s="92" t="s">
        <v>140</v>
      </c>
      <c r="AJ124" s="89"/>
    </row>
    <row r="125" spans="1:48" ht="15.75" customHeight="1" x14ac:dyDescent="0.2">
      <c r="A125" s="78">
        <v>124</v>
      </c>
      <c r="B125" s="79">
        <v>46005</v>
      </c>
      <c r="C125" s="80">
        <v>1</v>
      </c>
      <c r="D125" s="80"/>
      <c r="E125" s="81" t="str">
        <f ca="1">IFERROR(__xludf.DUMMYFUNCTION("IF(G125="""","""",FILTER(Especie!$A$2:$A$982,Especie!$H$2:$H$982=G125))"),"FPVA_073")</f>
        <v>FPVA_073</v>
      </c>
      <c r="F125" s="59" t="s">
        <v>124</v>
      </c>
      <c r="G125" s="87" t="s">
        <v>589</v>
      </c>
      <c r="H125" s="88" t="s">
        <v>590</v>
      </c>
      <c r="J125" s="59" t="s">
        <v>127</v>
      </c>
      <c r="K125" s="59" t="s">
        <v>128</v>
      </c>
      <c r="M125" s="84" t="s">
        <v>275</v>
      </c>
      <c r="N125" s="84" t="s">
        <v>147</v>
      </c>
      <c r="O125" s="84" t="s">
        <v>132</v>
      </c>
      <c r="P125" s="84" t="s">
        <v>237</v>
      </c>
      <c r="Q125" s="89">
        <v>1</v>
      </c>
      <c r="R125" s="84" t="s">
        <v>238</v>
      </c>
      <c r="S125" s="89"/>
      <c r="T125" s="84" t="s">
        <v>151</v>
      </c>
      <c r="U125" s="89"/>
      <c r="V125" s="89"/>
      <c r="W125" s="84"/>
      <c r="X125" s="84" t="s">
        <v>511</v>
      </c>
      <c r="Y125" s="89" t="s">
        <v>246</v>
      </c>
      <c r="Z125" s="89" t="s">
        <v>591</v>
      </c>
      <c r="AA125" s="89"/>
      <c r="AB125" s="89"/>
      <c r="AC125" s="98" t="s">
        <v>138</v>
      </c>
      <c r="AD125" s="98"/>
      <c r="AE125" s="98"/>
      <c r="AF125" s="92" t="s">
        <v>139</v>
      </c>
      <c r="AG125" s="86">
        <v>46062</v>
      </c>
      <c r="AH125" s="84" t="s">
        <v>70</v>
      </c>
      <c r="AI125" s="92" t="s">
        <v>140</v>
      </c>
      <c r="AJ125" s="89"/>
    </row>
    <row r="126" spans="1:48" ht="15.75" customHeight="1" x14ac:dyDescent="0.2">
      <c r="A126" s="78">
        <v>125</v>
      </c>
      <c r="B126" s="79">
        <v>46005</v>
      </c>
      <c r="C126" s="80">
        <v>1</v>
      </c>
      <c r="D126" s="80"/>
      <c r="E126" s="81" t="str">
        <f ca="1">IFERROR(__xludf.DUMMYFUNCTION("IF(G126="""","""",FILTER(Especie!$A$2:$A$982,Especie!$H$2:$H$982=G126))"),"FPVA_057")</f>
        <v>FPVA_057</v>
      </c>
      <c r="F126" s="59" t="s">
        <v>124</v>
      </c>
      <c r="G126" s="87" t="s">
        <v>513</v>
      </c>
      <c r="H126" s="88" t="s">
        <v>514</v>
      </c>
      <c r="J126" s="59" t="s">
        <v>127</v>
      </c>
      <c r="K126" s="59" t="s">
        <v>128</v>
      </c>
      <c r="M126" s="84" t="s">
        <v>275</v>
      </c>
      <c r="N126" s="84" t="s">
        <v>147</v>
      </c>
      <c r="O126" s="84" t="s">
        <v>132</v>
      </c>
      <c r="P126" s="84" t="s">
        <v>237</v>
      </c>
      <c r="Q126" s="89">
        <v>1</v>
      </c>
      <c r="R126" s="84" t="s">
        <v>238</v>
      </c>
      <c r="S126" s="89"/>
      <c r="T126" s="84" t="s">
        <v>151</v>
      </c>
      <c r="U126" s="89"/>
      <c r="V126" s="89"/>
      <c r="W126" s="84"/>
      <c r="X126" s="84" t="s">
        <v>152</v>
      </c>
      <c r="Y126" s="89" t="s">
        <v>246</v>
      </c>
      <c r="Z126" s="89" t="s">
        <v>591</v>
      </c>
      <c r="AA126" s="89"/>
      <c r="AB126" s="89"/>
      <c r="AC126" s="98" t="s">
        <v>138</v>
      </c>
      <c r="AD126" s="98"/>
      <c r="AE126" s="98"/>
      <c r="AF126" s="92" t="s">
        <v>139</v>
      </c>
      <c r="AG126" s="86">
        <v>46062</v>
      </c>
      <c r="AH126" s="84" t="s">
        <v>70</v>
      </c>
      <c r="AI126" s="92" t="s">
        <v>140</v>
      </c>
      <c r="AJ126" s="89"/>
    </row>
    <row r="127" spans="1:48" ht="15.75" customHeight="1" x14ac:dyDescent="0.2">
      <c r="A127" s="78">
        <v>126</v>
      </c>
      <c r="B127" s="79">
        <v>46007</v>
      </c>
      <c r="C127" s="44">
        <v>7</v>
      </c>
      <c r="D127" s="80"/>
      <c r="E127" s="81" t="str">
        <f ca="1">IFERROR(__xludf.DUMMYFUNCTION("IF(G127="""","""",FILTER(Especie!$A$2:$A$982,Especie!$H$2:$H$982=G127))"),"FPVA_048")</f>
        <v>FPVA_048</v>
      </c>
      <c r="F127" s="48" t="s">
        <v>124</v>
      </c>
      <c r="G127" s="90" t="s">
        <v>531</v>
      </c>
      <c r="H127" s="48" t="s">
        <v>532</v>
      </c>
      <c r="I127" s="48"/>
      <c r="J127" s="48" t="s">
        <v>169</v>
      </c>
      <c r="L127" s="88" t="s">
        <v>592</v>
      </c>
      <c r="M127" s="50" t="s">
        <v>269</v>
      </c>
      <c r="N127" s="97" t="s">
        <v>270</v>
      </c>
      <c r="O127" s="97" t="s">
        <v>161</v>
      </c>
      <c r="P127" s="84" t="s">
        <v>149</v>
      </c>
      <c r="Q127" s="83">
        <v>5</v>
      </c>
      <c r="R127" s="83" t="s">
        <v>339</v>
      </c>
      <c r="S127" s="83"/>
      <c r="T127" s="84" t="s">
        <v>163</v>
      </c>
      <c r="U127" s="89"/>
      <c r="V127" s="89"/>
      <c r="W127" s="97"/>
      <c r="X127" s="84" t="s">
        <v>215</v>
      </c>
      <c r="Y127" s="89" t="s">
        <v>593</v>
      </c>
      <c r="Z127" s="89" t="s">
        <v>594</v>
      </c>
      <c r="AA127" s="89"/>
      <c r="AB127" s="89"/>
      <c r="AC127" s="102" t="s">
        <v>343</v>
      </c>
      <c r="AD127" s="89"/>
      <c r="AE127" s="83"/>
      <c r="AF127" s="92" t="s">
        <v>139</v>
      </c>
      <c r="AG127" s="115">
        <v>46167</v>
      </c>
      <c r="AH127" s="89" t="s">
        <v>348</v>
      </c>
      <c r="AI127" s="92" t="s">
        <v>140</v>
      </c>
      <c r="AJ127" s="89"/>
    </row>
    <row r="128" spans="1:48" ht="15.75" customHeight="1" x14ac:dyDescent="0.2">
      <c r="A128" s="78">
        <v>127</v>
      </c>
      <c r="B128" s="79">
        <v>46008</v>
      </c>
      <c r="C128" s="103">
        <v>2</v>
      </c>
      <c r="D128" s="80"/>
      <c r="E128" s="81" t="str">
        <f ca="1">IFERROR(__xludf.DUMMYFUNCTION("IF(G128="""","""",FILTER(Especie!$A$2:$A$982,Especie!$H$2:$H$982=G128))"),"FPVA_019")</f>
        <v>FPVA_019</v>
      </c>
      <c r="F128" s="59" t="s">
        <v>124</v>
      </c>
      <c r="G128" s="87" t="s">
        <v>248</v>
      </c>
      <c r="H128" s="88" t="s">
        <v>595</v>
      </c>
      <c r="J128" s="59" t="s">
        <v>144</v>
      </c>
      <c r="L128" s="88" t="s">
        <v>596</v>
      </c>
      <c r="M128" s="84" t="s">
        <v>146</v>
      </c>
      <c r="N128" s="84" t="s">
        <v>147</v>
      </c>
      <c r="O128" s="84" t="s">
        <v>161</v>
      </c>
      <c r="P128" s="84" t="s">
        <v>350</v>
      </c>
      <c r="Q128" s="89">
        <v>100</v>
      </c>
      <c r="R128" s="84" t="s">
        <v>186</v>
      </c>
      <c r="S128" s="89"/>
      <c r="T128" s="84" t="s">
        <v>226</v>
      </c>
      <c r="U128" s="89"/>
      <c r="V128" s="89"/>
      <c r="W128" s="84"/>
      <c r="X128" s="84" t="s">
        <v>252</v>
      </c>
      <c r="Y128" s="89" t="s">
        <v>246</v>
      </c>
      <c r="Z128" s="89" t="s">
        <v>597</v>
      </c>
      <c r="AA128" s="89" t="s">
        <v>293</v>
      </c>
      <c r="AB128" s="89"/>
      <c r="AC128" s="89" t="s">
        <v>195</v>
      </c>
      <c r="AD128" s="89"/>
      <c r="AE128" s="89"/>
      <c r="AF128" s="92" t="s">
        <v>139</v>
      </c>
      <c r="AG128" s="86">
        <v>46062</v>
      </c>
      <c r="AH128" s="84" t="s">
        <v>70</v>
      </c>
      <c r="AI128" s="92" t="s">
        <v>140</v>
      </c>
      <c r="AJ128" s="89"/>
    </row>
    <row r="129" spans="1:48" ht="15.75" customHeight="1" x14ac:dyDescent="0.2">
      <c r="A129" s="78">
        <v>128</v>
      </c>
      <c r="B129" s="129">
        <v>46009</v>
      </c>
      <c r="C129" s="132">
        <v>5</v>
      </c>
      <c r="D129" s="80"/>
      <c r="E129" s="81" t="str">
        <f ca="1">IFERROR(__xludf.DUMMYFUNCTION("IF(G129="""","""",FILTER(Especie!$A$2:$A$982,Especie!$H$2:$H$982=G129))"),"FPVA_009")</f>
        <v>FPVA_009</v>
      </c>
      <c r="F129" s="48" t="s">
        <v>124</v>
      </c>
      <c r="G129" s="82" t="s">
        <v>232</v>
      </c>
      <c r="H129" s="59" t="s">
        <v>233</v>
      </c>
      <c r="J129" s="91" t="s">
        <v>234</v>
      </c>
      <c r="K129" s="59" t="s">
        <v>235</v>
      </c>
      <c r="L129" s="59" t="s">
        <v>492</v>
      </c>
      <c r="M129" s="50" t="s">
        <v>130</v>
      </c>
      <c r="N129" s="97" t="s">
        <v>147</v>
      </c>
      <c r="O129" s="97" t="s">
        <v>132</v>
      </c>
      <c r="P129" s="84" t="s">
        <v>237</v>
      </c>
      <c r="Q129" s="83" t="s">
        <v>493</v>
      </c>
      <c r="R129" s="83" t="s">
        <v>494</v>
      </c>
      <c r="S129" s="83"/>
      <c r="T129" s="84" t="s">
        <v>151</v>
      </c>
      <c r="U129" s="89"/>
      <c r="V129" s="89"/>
      <c r="W129" s="97"/>
      <c r="X129" s="98" t="s">
        <v>366</v>
      </c>
      <c r="Y129" s="89"/>
      <c r="Z129" s="84" t="s">
        <v>495</v>
      </c>
      <c r="AA129" s="89"/>
      <c r="AB129" s="89"/>
      <c r="AC129" s="84" t="s">
        <v>195</v>
      </c>
      <c r="AD129" s="89"/>
      <c r="AE129" s="83"/>
      <c r="AF129" s="92" t="s">
        <v>139</v>
      </c>
      <c r="AG129" s="86">
        <v>46062</v>
      </c>
      <c r="AH129" s="84" t="s">
        <v>70</v>
      </c>
      <c r="AI129" s="92" t="s">
        <v>140</v>
      </c>
      <c r="AJ129" s="89"/>
    </row>
    <row r="130" spans="1:48" ht="15.75" customHeight="1" x14ac:dyDescent="0.2">
      <c r="A130" s="78">
        <v>129</v>
      </c>
      <c r="B130" s="129">
        <v>46010</v>
      </c>
      <c r="C130" s="132">
        <v>7</v>
      </c>
      <c r="D130" s="80"/>
      <c r="E130" s="81" t="str">
        <f ca="1">IFERROR(__xludf.DUMMYFUNCTION("IF(G130="""","""",FILTER(Especie!$A$2:$A$982,Especie!$H$2:$H$982=G130))"),"FPVA_049")</f>
        <v>FPVA_049</v>
      </c>
      <c r="F130" s="121" t="s">
        <v>124</v>
      </c>
      <c r="G130" s="122" t="s">
        <v>598</v>
      </c>
      <c r="H130" s="91" t="s">
        <v>599</v>
      </c>
      <c r="I130" s="91"/>
      <c r="J130" s="91" t="s">
        <v>144</v>
      </c>
      <c r="K130" s="101"/>
      <c r="L130" s="117" t="s">
        <v>198</v>
      </c>
      <c r="M130" s="101" t="s">
        <v>146</v>
      </c>
      <c r="N130" s="91" t="s">
        <v>147</v>
      </c>
      <c r="O130" s="91" t="s">
        <v>148</v>
      </c>
      <c r="P130" s="91" t="s">
        <v>149</v>
      </c>
      <c r="Q130" s="91">
        <v>1</v>
      </c>
      <c r="R130" s="91" t="s">
        <v>600</v>
      </c>
      <c r="S130" s="91"/>
      <c r="T130" s="91" t="s">
        <v>163</v>
      </c>
      <c r="U130" s="91"/>
      <c r="V130" s="91"/>
      <c r="W130" s="91"/>
      <c r="X130" s="91" t="s">
        <v>215</v>
      </c>
      <c r="Y130" s="91" t="s">
        <v>193</v>
      </c>
      <c r="Z130" s="91" t="s">
        <v>601</v>
      </c>
      <c r="AA130" s="91" t="s">
        <v>602</v>
      </c>
      <c r="AB130" s="91"/>
      <c r="AC130" s="91" t="s">
        <v>603</v>
      </c>
      <c r="AD130" s="91"/>
      <c r="AE130" s="91"/>
      <c r="AF130" s="123" t="s">
        <v>139</v>
      </c>
      <c r="AG130" s="124">
        <v>46062</v>
      </c>
      <c r="AH130" s="116" t="s">
        <v>70</v>
      </c>
      <c r="AI130" s="123" t="s">
        <v>140</v>
      </c>
      <c r="AJ130" s="125"/>
      <c r="AK130" s="126"/>
      <c r="AL130" s="126"/>
      <c r="AM130" s="126"/>
      <c r="AN130" s="126"/>
      <c r="AO130" s="126"/>
      <c r="AP130" s="126"/>
      <c r="AQ130" s="126"/>
      <c r="AR130" s="126"/>
      <c r="AS130" s="126"/>
      <c r="AT130" s="126"/>
      <c r="AU130" s="126"/>
      <c r="AV130" s="126"/>
    </row>
    <row r="131" spans="1:48" ht="15.75" customHeight="1" x14ac:dyDescent="0.2">
      <c r="A131" s="78">
        <v>130</v>
      </c>
      <c r="B131" s="79">
        <v>46013</v>
      </c>
      <c r="C131" s="103">
        <v>8</v>
      </c>
      <c r="D131" s="80"/>
      <c r="E131" s="81" t="str">
        <f ca="1">IFERROR(__xludf.DUMMYFUNCTION("IF(G131="""","""",FILTER(Especie!$A$2:$A$982,Especie!$H$2:$H$982=G131))"),"FPVA_009")</f>
        <v>FPVA_009</v>
      </c>
      <c r="F131" s="48" t="s">
        <v>124</v>
      </c>
      <c r="G131" s="82" t="s">
        <v>232</v>
      </c>
      <c r="H131" s="99" t="s">
        <v>233</v>
      </c>
      <c r="I131" s="99"/>
      <c r="J131" s="99" t="s">
        <v>127</v>
      </c>
      <c r="K131" s="59" t="s">
        <v>128</v>
      </c>
      <c r="L131" s="99" t="s">
        <v>604</v>
      </c>
      <c r="M131" s="99" t="s">
        <v>160</v>
      </c>
      <c r="N131" s="98" t="s">
        <v>147</v>
      </c>
      <c r="O131" s="98" t="s">
        <v>161</v>
      </c>
      <c r="P131" s="84" t="s">
        <v>237</v>
      </c>
      <c r="Q131" s="98">
        <v>25</v>
      </c>
      <c r="R131" s="98" t="s">
        <v>174</v>
      </c>
      <c r="S131" s="98"/>
      <c r="T131" s="98" t="s">
        <v>151</v>
      </c>
      <c r="U131" s="98"/>
      <c r="V131" s="98"/>
      <c r="W131" s="98"/>
      <c r="X131" s="84" t="s">
        <v>176</v>
      </c>
      <c r="Y131" s="98" t="s">
        <v>246</v>
      </c>
      <c r="Z131" s="98" t="s">
        <v>605</v>
      </c>
      <c r="AA131" s="98"/>
      <c r="AB131" s="98"/>
      <c r="AC131" s="98" t="s">
        <v>195</v>
      </c>
      <c r="AD131" s="98"/>
      <c r="AE131" s="98"/>
      <c r="AF131" s="92" t="s">
        <v>139</v>
      </c>
      <c r="AG131" s="86">
        <v>46062</v>
      </c>
      <c r="AH131" s="84" t="s">
        <v>70</v>
      </c>
      <c r="AI131" s="92" t="s">
        <v>140</v>
      </c>
      <c r="AJ131" s="89"/>
    </row>
    <row r="132" spans="1:48" ht="15.75" customHeight="1" x14ac:dyDescent="0.2">
      <c r="A132" s="78">
        <v>131</v>
      </c>
      <c r="B132" s="79">
        <v>46013</v>
      </c>
      <c r="C132" s="103">
        <v>8</v>
      </c>
      <c r="D132" s="80"/>
      <c r="E132" s="81" t="str">
        <f ca="1">IFERROR(__xludf.DUMMYFUNCTION("IF(G132="""","""",FILTER(Especie!$A$2:$A$982,Especie!$H$2:$H$982=G132))"),"FPVA_009")</f>
        <v>FPVA_009</v>
      </c>
      <c r="F132" s="48" t="s">
        <v>124</v>
      </c>
      <c r="G132" s="82" t="s">
        <v>232</v>
      </c>
      <c r="H132" s="99" t="s">
        <v>233</v>
      </c>
      <c r="I132" s="99"/>
      <c r="J132" s="99" t="s">
        <v>127</v>
      </c>
      <c r="K132" s="59" t="s">
        <v>128</v>
      </c>
      <c r="L132" s="99" t="s">
        <v>128</v>
      </c>
      <c r="M132" s="99" t="s">
        <v>160</v>
      </c>
      <c r="N132" s="98" t="s">
        <v>147</v>
      </c>
      <c r="O132" s="98" t="s">
        <v>161</v>
      </c>
      <c r="P132" s="84" t="s">
        <v>237</v>
      </c>
      <c r="Q132" s="98">
        <v>35</v>
      </c>
      <c r="R132" s="98" t="s">
        <v>174</v>
      </c>
      <c r="S132" s="98"/>
      <c r="T132" s="98" t="s">
        <v>151</v>
      </c>
      <c r="U132" s="98"/>
      <c r="V132" s="98"/>
      <c r="W132" s="98"/>
      <c r="X132" s="84" t="s">
        <v>135</v>
      </c>
      <c r="Y132" s="98" t="s">
        <v>246</v>
      </c>
      <c r="Z132" s="98" t="s">
        <v>606</v>
      </c>
      <c r="AA132" s="98" t="s">
        <v>237</v>
      </c>
      <c r="AB132" s="98"/>
      <c r="AC132" s="98" t="s">
        <v>195</v>
      </c>
      <c r="AD132" s="98"/>
      <c r="AE132" s="98"/>
      <c r="AF132" s="92" t="s">
        <v>139</v>
      </c>
      <c r="AG132" s="115">
        <v>46167</v>
      </c>
      <c r="AH132" s="89" t="s">
        <v>348</v>
      </c>
      <c r="AI132" s="92" t="s">
        <v>140</v>
      </c>
      <c r="AJ132" s="89"/>
    </row>
    <row r="133" spans="1:48" ht="15.75" customHeight="1" x14ac:dyDescent="0.2">
      <c r="A133" s="78">
        <v>132</v>
      </c>
      <c r="B133" s="79">
        <v>46017</v>
      </c>
      <c r="C133" s="103">
        <v>7</v>
      </c>
      <c r="D133" s="80"/>
      <c r="E133" s="81" t="str">
        <f ca="1">IFERROR(__xludf.DUMMYFUNCTION("IF(G133="""","""",FILTER(Especie!$A$2:$A$982,Especie!$H$2:$H$982=G133))"),"FPVA_050")</f>
        <v>FPVA_050</v>
      </c>
      <c r="F133" s="48" t="s">
        <v>124</v>
      </c>
      <c r="G133" s="109" t="s">
        <v>607</v>
      </c>
      <c r="H133" s="133" t="s">
        <v>608</v>
      </c>
      <c r="I133" s="91"/>
      <c r="J133" s="91" t="s">
        <v>169</v>
      </c>
      <c r="K133" s="99"/>
      <c r="L133" s="98" t="s">
        <v>609</v>
      </c>
      <c r="M133" s="99" t="s">
        <v>269</v>
      </c>
      <c r="N133" s="91" t="s">
        <v>147</v>
      </c>
      <c r="O133" s="91" t="s">
        <v>161</v>
      </c>
      <c r="P133" s="91" t="s">
        <v>149</v>
      </c>
      <c r="Q133" s="91">
        <v>5</v>
      </c>
      <c r="R133" s="91" t="s">
        <v>339</v>
      </c>
      <c r="S133" s="91"/>
      <c r="T133" s="91" t="s">
        <v>151</v>
      </c>
      <c r="U133" s="91"/>
      <c r="V133" s="91"/>
      <c r="W133" s="91"/>
      <c r="X133" s="84" t="s">
        <v>135</v>
      </c>
      <c r="Y133" s="91" t="s">
        <v>312</v>
      </c>
      <c r="Z133" s="91" t="s">
        <v>610</v>
      </c>
      <c r="AA133" s="91" t="s">
        <v>536</v>
      </c>
      <c r="AB133" s="91"/>
      <c r="AC133" s="91" t="s">
        <v>603</v>
      </c>
      <c r="AD133" s="91"/>
      <c r="AE133" s="91"/>
      <c r="AF133" s="92" t="s">
        <v>139</v>
      </c>
      <c r="AG133" s="86">
        <v>46062</v>
      </c>
      <c r="AH133" s="84" t="s">
        <v>70</v>
      </c>
      <c r="AI133" s="92" t="s">
        <v>140</v>
      </c>
      <c r="AJ133" s="89"/>
    </row>
    <row r="134" spans="1:48" ht="15.75" customHeight="1" x14ac:dyDescent="0.2">
      <c r="A134" s="78">
        <v>133</v>
      </c>
      <c r="B134" s="79">
        <v>46024</v>
      </c>
      <c r="C134" s="44">
        <v>1</v>
      </c>
      <c r="D134" s="80"/>
      <c r="E134" s="81" t="str">
        <f ca="1">IFERROR(__xludf.DUMMYFUNCTION("IF(G134="""","""",FILTER(Especie!$A$2:$A$982,Especie!$H$2:$H$982=G134))"),"FPVA_073")</f>
        <v>FPVA_073</v>
      </c>
      <c r="F134" s="59" t="s">
        <v>124</v>
      </c>
      <c r="G134" s="87" t="s">
        <v>589</v>
      </c>
      <c r="H134" s="88" t="s">
        <v>590</v>
      </c>
      <c r="J134" s="59" t="s">
        <v>127</v>
      </c>
      <c r="K134" s="59" t="s">
        <v>128</v>
      </c>
      <c r="M134" s="84" t="s">
        <v>130</v>
      </c>
      <c r="N134" s="84" t="s">
        <v>147</v>
      </c>
      <c r="O134" s="84" t="s">
        <v>132</v>
      </c>
      <c r="P134" s="84" t="s">
        <v>237</v>
      </c>
      <c r="Q134" s="89">
        <v>10</v>
      </c>
      <c r="R134" s="84" t="s">
        <v>371</v>
      </c>
      <c r="S134" s="89"/>
      <c r="T134" s="84" t="s">
        <v>151</v>
      </c>
      <c r="U134" s="89"/>
      <c r="V134" s="89"/>
      <c r="W134" s="84"/>
      <c r="X134" s="84" t="s">
        <v>152</v>
      </c>
      <c r="Y134" s="89" t="s">
        <v>246</v>
      </c>
      <c r="Z134" s="89" t="s">
        <v>518</v>
      </c>
      <c r="AA134" s="89"/>
      <c r="AB134" s="89"/>
      <c r="AC134" s="98" t="s">
        <v>138</v>
      </c>
      <c r="AD134" s="98"/>
      <c r="AE134" s="98"/>
      <c r="AF134" s="92" t="s">
        <v>139</v>
      </c>
      <c r="AG134" s="86">
        <v>46062</v>
      </c>
      <c r="AH134" s="84" t="s">
        <v>70</v>
      </c>
      <c r="AI134" s="92" t="s">
        <v>140</v>
      </c>
      <c r="AJ134" s="89"/>
    </row>
    <row r="135" spans="1:48" ht="15.75" customHeight="1" x14ac:dyDescent="0.2">
      <c r="A135" s="78">
        <v>134</v>
      </c>
      <c r="B135" s="79">
        <v>46024</v>
      </c>
      <c r="C135" s="80">
        <v>1</v>
      </c>
      <c r="D135" s="80"/>
      <c r="E135" s="81" t="str">
        <f ca="1">IFERROR(__xludf.DUMMYFUNCTION("IF(G135="""","""",FILTER(Especie!$A$2:$A$982,Especie!$H$2:$H$982=G135))"),"FPVA_055")</f>
        <v>FPVA_055</v>
      </c>
      <c r="F135" s="59" t="s">
        <v>124</v>
      </c>
      <c r="G135" s="87" t="s">
        <v>519</v>
      </c>
      <c r="H135" s="88" t="s">
        <v>520</v>
      </c>
      <c r="J135" s="59" t="s">
        <v>127</v>
      </c>
      <c r="K135" s="59" t="s">
        <v>128</v>
      </c>
      <c r="M135" s="84" t="s">
        <v>130</v>
      </c>
      <c r="N135" s="84" t="s">
        <v>147</v>
      </c>
      <c r="O135" s="84" t="s">
        <v>132</v>
      </c>
      <c r="P135" s="84" t="s">
        <v>237</v>
      </c>
      <c r="Q135" s="89">
        <v>10</v>
      </c>
      <c r="R135" s="84" t="s">
        <v>371</v>
      </c>
      <c r="S135" s="89"/>
      <c r="T135" s="84" t="s">
        <v>151</v>
      </c>
      <c r="U135" s="89"/>
      <c r="V135" s="89"/>
      <c r="W135" s="84"/>
      <c r="X135" s="84" t="s">
        <v>135</v>
      </c>
      <c r="Y135" s="89" t="s">
        <v>246</v>
      </c>
      <c r="Z135" s="89" t="s">
        <v>518</v>
      </c>
      <c r="AA135" s="89"/>
      <c r="AB135" s="89"/>
      <c r="AC135" s="98" t="s">
        <v>138</v>
      </c>
      <c r="AD135" s="98"/>
      <c r="AE135" s="98"/>
      <c r="AF135" s="92" t="s">
        <v>139</v>
      </c>
      <c r="AG135" s="86">
        <v>46062</v>
      </c>
      <c r="AH135" s="84" t="s">
        <v>70</v>
      </c>
      <c r="AI135" s="92" t="s">
        <v>140</v>
      </c>
      <c r="AJ135" s="89"/>
    </row>
    <row r="136" spans="1:48" ht="15.75" customHeight="1" x14ac:dyDescent="0.2">
      <c r="A136" s="78">
        <v>135</v>
      </c>
      <c r="B136" s="79">
        <v>46024</v>
      </c>
      <c r="C136" s="44">
        <v>1</v>
      </c>
      <c r="D136" s="80"/>
      <c r="E136" s="81" t="str">
        <f ca="1">IFERROR(__xludf.DUMMYFUNCTION("IF(G136="""","""",FILTER(Especie!$A$2:$A$982,Especie!$H$2:$H$982=G136))"),"FPVA_009")</f>
        <v>FPVA_009</v>
      </c>
      <c r="F136" s="59" t="s">
        <v>124</v>
      </c>
      <c r="G136" s="87" t="s">
        <v>232</v>
      </c>
      <c r="H136" s="88" t="s">
        <v>233</v>
      </c>
      <c r="J136" s="59" t="s">
        <v>127</v>
      </c>
      <c r="K136" s="59" t="s">
        <v>128</v>
      </c>
      <c r="M136" s="84" t="s">
        <v>130</v>
      </c>
      <c r="N136" s="84" t="s">
        <v>147</v>
      </c>
      <c r="O136" s="84" t="s">
        <v>132</v>
      </c>
      <c r="P136" s="84" t="s">
        <v>237</v>
      </c>
      <c r="Q136" s="89">
        <v>10</v>
      </c>
      <c r="R136" s="84" t="s">
        <v>371</v>
      </c>
      <c r="S136" s="89"/>
      <c r="T136" s="84" t="s">
        <v>151</v>
      </c>
      <c r="U136" s="89"/>
      <c r="V136" s="89"/>
      <c r="W136" s="84"/>
      <c r="X136" s="84" t="s">
        <v>200</v>
      </c>
      <c r="Y136" s="89" t="s">
        <v>246</v>
      </c>
      <c r="Z136" s="89" t="s">
        <v>518</v>
      </c>
      <c r="AA136" s="89"/>
      <c r="AB136" s="89"/>
      <c r="AC136" s="98" t="s">
        <v>138</v>
      </c>
      <c r="AD136" s="98"/>
      <c r="AE136" s="98"/>
      <c r="AF136" s="92" t="s">
        <v>139</v>
      </c>
      <c r="AG136" s="86">
        <v>46062</v>
      </c>
      <c r="AH136" s="84" t="s">
        <v>70</v>
      </c>
      <c r="AI136" s="92" t="s">
        <v>140</v>
      </c>
      <c r="AJ136" s="89"/>
    </row>
    <row r="137" spans="1:48" ht="15.75" customHeight="1" x14ac:dyDescent="0.2">
      <c r="A137" s="78">
        <v>136</v>
      </c>
      <c r="B137" s="79">
        <v>46027</v>
      </c>
      <c r="C137" s="103">
        <v>2</v>
      </c>
      <c r="D137" s="80"/>
      <c r="E137" s="81" t="str">
        <f ca="1">IFERROR(__xludf.DUMMYFUNCTION("IF(G137="""","""",FILTER(Especie!$A$2:$A$982,Especie!$H$2:$H$982=G137))"),"FPVA_075")</f>
        <v>FPVA_075</v>
      </c>
      <c r="F137" s="59" t="s">
        <v>124</v>
      </c>
      <c r="G137" s="87" t="s">
        <v>611</v>
      </c>
      <c r="H137" s="88" t="s">
        <v>612</v>
      </c>
      <c r="J137" s="59" t="s">
        <v>234</v>
      </c>
      <c r="L137" s="88" t="s">
        <v>613</v>
      </c>
      <c r="M137" s="84" t="s">
        <v>275</v>
      </c>
      <c r="N137" s="84" t="s">
        <v>147</v>
      </c>
      <c r="O137" s="84" t="s">
        <v>148</v>
      </c>
      <c r="P137" s="84" t="s">
        <v>149</v>
      </c>
      <c r="Q137" s="89">
        <v>500</v>
      </c>
      <c r="R137" s="84" t="s">
        <v>186</v>
      </c>
      <c r="S137" s="89"/>
      <c r="T137" s="84" t="s">
        <v>151</v>
      </c>
      <c r="U137" s="89"/>
      <c r="V137" s="89"/>
      <c r="W137" s="84"/>
      <c r="X137" s="84" t="s">
        <v>366</v>
      </c>
      <c r="Y137" s="89"/>
      <c r="Z137" s="89" t="s">
        <v>614</v>
      </c>
      <c r="AA137" s="89"/>
      <c r="AB137" s="89"/>
      <c r="AC137" s="89" t="s">
        <v>195</v>
      </c>
      <c r="AD137" s="89"/>
      <c r="AE137" s="89"/>
      <c r="AF137" s="92" t="s">
        <v>139</v>
      </c>
      <c r="AG137" s="86">
        <v>46062</v>
      </c>
      <c r="AH137" s="84" t="s">
        <v>70</v>
      </c>
      <c r="AI137" s="92" t="s">
        <v>140</v>
      </c>
      <c r="AJ137" s="89"/>
    </row>
    <row r="138" spans="1:48" ht="15.75" customHeight="1" x14ac:dyDescent="0.2">
      <c r="A138" s="78">
        <v>137</v>
      </c>
      <c r="B138" s="79">
        <v>46028</v>
      </c>
      <c r="C138" s="103">
        <v>3</v>
      </c>
      <c r="D138" s="80"/>
      <c r="E138" s="81" t="str">
        <f ca="1">IFERROR(__xludf.DUMMYFUNCTION("IF(G138="""","""",FILTER(Especie!$A$2:$A$982,Especie!$H$2:$H$982=G138))"),"FPVA_007")</f>
        <v>FPVA_007</v>
      </c>
      <c r="F138" s="48" t="s">
        <v>166</v>
      </c>
      <c r="G138" s="100" t="s">
        <v>204</v>
      </c>
      <c r="H138" s="91" t="s">
        <v>205</v>
      </c>
      <c r="I138" s="91"/>
      <c r="J138" s="91" t="s">
        <v>169</v>
      </c>
      <c r="K138" s="99"/>
      <c r="L138" s="101" t="s">
        <v>615</v>
      </c>
      <c r="M138" s="91" t="s">
        <v>171</v>
      </c>
      <c r="N138" s="91" t="s">
        <v>147</v>
      </c>
      <c r="O138" s="91" t="s">
        <v>172</v>
      </c>
      <c r="P138" s="91" t="s">
        <v>217</v>
      </c>
      <c r="Q138" s="91">
        <v>5</v>
      </c>
      <c r="R138" s="91" t="s">
        <v>174</v>
      </c>
      <c r="S138" s="89"/>
      <c r="T138" s="98" t="s">
        <v>151</v>
      </c>
      <c r="U138" s="91"/>
      <c r="V138" s="91"/>
      <c r="W138" s="91"/>
      <c r="X138" s="84" t="s">
        <v>176</v>
      </c>
      <c r="Y138" s="91" t="s">
        <v>616</v>
      </c>
      <c r="Z138" s="116"/>
      <c r="AA138" s="116"/>
      <c r="AB138" s="116"/>
      <c r="AC138" s="84" t="s">
        <v>155</v>
      </c>
      <c r="AD138" s="91"/>
      <c r="AE138" s="91"/>
      <c r="AF138" s="92" t="s">
        <v>139</v>
      </c>
      <c r="AG138" s="86">
        <v>46062</v>
      </c>
      <c r="AH138" s="84" t="s">
        <v>70</v>
      </c>
      <c r="AI138" s="92" t="s">
        <v>140</v>
      </c>
      <c r="AJ138" s="89"/>
    </row>
    <row r="139" spans="1:48" ht="15.75" customHeight="1" x14ac:dyDescent="0.2">
      <c r="A139" s="78">
        <v>138</v>
      </c>
      <c r="B139" s="79">
        <v>46028</v>
      </c>
      <c r="C139" s="103">
        <v>3</v>
      </c>
      <c r="D139" s="80"/>
      <c r="E139" s="81" t="str">
        <f ca="1">IFERROR(__xludf.DUMMYFUNCTION("IF(G139="""","""",FILTER(Especie!$A$2:$A$982,Especie!$H$2:$H$982=G139))"),"FPVA_002")</f>
        <v>FPVA_002</v>
      </c>
      <c r="F139" s="48" t="s">
        <v>166</v>
      </c>
      <c r="G139" s="90" t="s">
        <v>167</v>
      </c>
      <c r="H139" s="99" t="s">
        <v>168</v>
      </c>
      <c r="I139" s="99"/>
      <c r="J139" s="91" t="s">
        <v>169</v>
      </c>
      <c r="K139" s="99"/>
      <c r="L139" s="99"/>
      <c r="M139" s="98" t="s">
        <v>617</v>
      </c>
      <c r="N139" s="98" t="s">
        <v>147</v>
      </c>
      <c r="O139" s="98" t="s">
        <v>172</v>
      </c>
      <c r="P139" s="98" t="s">
        <v>217</v>
      </c>
      <c r="Q139" s="98">
        <v>5</v>
      </c>
      <c r="R139" s="98" t="s">
        <v>174</v>
      </c>
      <c r="S139" s="89"/>
      <c r="T139" s="98" t="s">
        <v>151</v>
      </c>
      <c r="U139" s="98"/>
      <c r="V139" s="98"/>
      <c r="W139" s="98"/>
      <c r="X139" s="84" t="s">
        <v>176</v>
      </c>
      <c r="Y139" s="98"/>
      <c r="Z139" s="98"/>
      <c r="AA139" s="98"/>
      <c r="AB139" s="98"/>
      <c r="AC139" s="84" t="s">
        <v>155</v>
      </c>
      <c r="AD139" s="98"/>
      <c r="AE139" s="98"/>
      <c r="AF139" s="92" t="s">
        <v>139</v>
      </c>
      <c r="AG139" s="86">
        <v>46062</v>
      </c>
      <c r="AH139" s="84" t="s">
        <v>70</v>
      </c>
      <c r="AI139" s="92" t="s">
        <v>140</v>
      </c>
      <c r="AJ139" s="89"/>
    </row>
    <row r="140" spans="1:48" ht="15.75" customHeight="1" x14ac:dyDescent="0.2">
      <c r="A140" s="78">
        <v>139</v>
      </c>
      <c r="B140" s="134">
        <v>46028</v>
      </c>
      <c r="C140" s="103">
        <v>8</v>
      </c>
      <c r="D140" s="80"/>
      <c r="E140" s="81" t="str">
        <f ca="1">IFERROR(__xludf.DUMMYFUNCTION("IF(G140="""","""",FILTER(Especie!$A$2:$A$982,Especie!$H$2:$H$982=G140))"),"FPVA_034")</f>
        <v>FPVA_034</v>
      </c>
      <c r="F140" s="99" t="s">
        <v>166</v>
      </c>
      <c r="G140" s="113" t="s">
        <v>416</v>
      </c>
      <c r="H140" s="98" t="s">
        <v>417</v>
      </c>
      <c r="I140" s="99"/>
      <c r="J140" s="99" t="s">
        <v>169</v>
      </c>
      <c r="K140" s="99"/>
      <c r="L140" s="99" t="s">
        <v>418</v>
      </c>
      <c r="M140" s="98" t="s">
        <v>171</v>
      </c>
      <c r="N140" s="98" t="s">
        <v>147</v>
      </c>
      <c r="O140" s="98" t="s">
        <v>172</v>
      </c>
      <c r="P140" s="98" t="s">
        <v>217</v>
      </c>
      <c r="Q140" s="98">
        <v>6</v>
      </c>
      <c r="R140" s="98" t="s">
        <v>295</v>
      </c>
      <c r="S140" s="98"/>
      <c r="T140" s="98" t="s">
        <v>163</v>
      </c>
      <c r="U140" s="98"/>
      <c r="V140" s="98" t="s">
        <v>176</v>
      </c>
      <c r="W140" s="98"/>
      <c r="X140" s="98" t="s">
        <v>176</v>
      </c>
      <c r="Y140" s="98" t="s">
        <v>193</v>
      </c>
      <c r="Z140" s="98" t="s">
        <v>618</v>
      </c>
      <c r="AA140" s="98" t="s">
        <v>619</v>
      </c>
      <c r="AB140" s="135">
        <v>46167</v>
      </c>
      <c r="AC140" s="102" t="s">
        <v>195</v>
      </c>
      <c r="AD140" s="98" t="s">
        <v>140</v>
      </c>
      <c r="AE140" s="83"/>
      <c r="AF140" s="92" t="s">
        <v>139</v>
      </c>
      <c r="AG140" s="115">
        <v>46167</v>
      </c>
      <c r="AH140" s="89" t="s">
        <v>348</v>
      </c>
      <c r="AI140" s="92" t="s">
        <v>140</v>
      </c>
      <c r="AJ140" s="89"/>
    </row>
    <row r="141" spans="1:48" ht="15.75" customHeight="1" x14ac:dyDescent="0.2">
      <c r="A141" s="78">
        <v>140</v>
      </c>
      <c r="B141" s="134">
        <v>46028</v>
      </c>
      <c r="C141" s="103">
        <v>8</v>
      </c>
      <c r="D141" s="80"/>
      <c r="E141" s="81" t="str">
        <f ca="1">IFERROR(__xludf.DUMMYFUNCTION("IF(G141="""","""",FILTER(Especie!$A$2:$A$982,Especie!$H$2:$H$982=G141))"),"FPVA_034")</f>
        <v>FPVA_034</v>
      </c>
      <c r="F141" s="99" t="s">
        <v>166</v>
      </c>
      <c r="G141" s="113" t="s">
        <v>416</v>
      </c>
      <c r="H141" s="98" t="s">
        <v>417</v>
      </c>
      <c r="I141" s="99"/>
      <c r="J141" s="99" t="s">
        <v>169</v>
      </c>
      <c r="K141" s="99"/>
      <c r="L141" s="99" t="s">
        <v>418</v>
      </c>
      <c r="M141" s="98" t="s">
        <v>171</v>
      </c>
      <c r="N141" s="98" t="s">
        <v>147</v>
      </c>
      <c r="O141" s="98" t="s">
        <v>172</v>
      </c>
      <c r="P141" s="98" t="s">
        <v>217</v>
      </c>
      <c r="Q141" s="98">
        <v>2</v>
      </c>
      <c r="R141" s="98" t="s">
        <v>174</v>
      </c>
      <c r="S141" s="98"/>
      <c r="T141" s="98" t="s">
        <v>163</v>
      </c>
      <c r="U141" s="98"/>
      <c r="V141" s="98" t="s">
        <v>176</v>
      </c>
      <c r="W141" s="98"/>
      <c r="X141" s="98" t="s">
        <v>176</v>
      </c>
      <c r="Y141" s="98" t="s">
        <v>193</v>
      </c>
      <c r="Z141" s="98" t="s">
        <v>618</v>
      </c>
      <c r="AA141" s="98" t="s">
        <v>619</v>
      </c>
      <c r="AB141" s="135">
        <v>46167</v>
      </c>
      <c r="AC141" s="102" t="s">
        <v>343</v>
      </c>
      <c r="AD141" s="98" t="s">
        <v>140</v>
      </c>
      <c r="AE141" s="83"/>
      <c r="AF141" s="92" t="s">
        <v>139</v>
      </c>
      <c r="AG141" s="115">
        <v>46167</v>
      </c>
      <c r="AH141" s="89" t="s">
        <v>348</v>
      </c>
      <c r="AI141" s="92" t="s">
        <v>140</v>
      </c>
      <c r="AJ141" s="89"/>
    </row>
    <row r="142" spans="1:48" ht="15.75" customHeight="1" x14ac:dyDescent="0.2">
      <c r="A142" s="78">
        <v>141</v>
      </c>
      <c r="B142" s="79">
        <v>46031</v>
      </c>
      <c r="C142" s="103">
        <v>5</v>
      </c>
      <c r="D142" s="80"/>
      <c r="E142" s="81" t="str">
        <f ca="1">IFERROR(__xludf.DUMMYFUNCTION("IF(G142="""","""",FILTER(Especie!$A$2:$A$982,Especie!$H$2:$H$982=G142))"),"FPVA_053")</f>
        <v>FPVA_053</v>
      </c>
      <c r="F142" s="48" t="s">
        <v>124</v>
      </c>
      <c r="G142" s="112" t="s">
        <v>620</v>
      </c>
      <c r="H142" s="91" t="s">
        <v>621</v>
      </c>
      <c r="I142" s="91"/>
      <c r="J142" s="91" t="s">
        <v>144</v>
      </c>
      <c r="K142" s="99"/>
      <c r="L142" s="101" t="s">
        <v>622</v>
      </c>
      <c r="M142" s="101" t="s">
        <v>185</v>
      </c>
      <c r="N142" s="91" t="s">
        <v>131</v>
      </c>
      <c r="O142" s="98" t="s">
        <v>161</v>
      </c>
      <c r="P142" s="91" t="s">
        <v>350</v>
      </c>
      <c r="Q142" s="91">
        <v>3</v>
      </c>
      <c r="R142" s="91" t="s">
        <v>623</v>
      </c>
      <c r="S142" s="89"/>
      <c r="T142" s="91" t="s">
        <v>151</v>
      </c>
      <c r="U142" s="91"/>
      <c r="V142" s="91"/>
      <c r="W142" s="91"/>
      <c r="X142" s="84" t="s">
        <v>200</v>
      </c>
      <c r="Y142" s="91" t="s">
        <v>193</v>
      </c>
      <c r="Z142" s="91" t="s">
        <v>624</v>
      </c>
      <c r="AA142" s="91"/>
      <c r="AB142" s="116"/>
      <c r="AC142" s="91" t="s">
        <v>155</v>
      </c>
      <c r="AD142" s="91"/>
      <c r="AE142" s="91"/>
      <c r="AF142" s="92" t="s">
        <v>139</v>
      </c>
      <c r="AG142" s="86">
        <v>46062</v>
      </c>
      <c r="AH142" s="84" t="s">
        <v>70</v>
      </c>
      <c r="AI142" s="92" t="s">
        <v>140</v>
      </c>
      <c r="AJ142" s="89"/>
    </row>
    <row r="143" spans="1:48" ht="15.75" customHeight="1" x14ac:dyDescent="0.2">
      <c r="A143" s="78">
        <v>142</v>
      </c>
      <c r="B143" s="134">
        <v>46031</v>
      </c>
      <c r="C143" s="103">
        <v>8</v>
      </c>
      <c r="D143" s="80"/>
      <c r="E143" s="81" t="str">
        <f ca="1">IFERROR(__xludf.DUMMYFUNCTION("IF(G143="""","""",FILTER(Especie!$A$2:$A$982,Especie!$H$2:$H$982=G143))"),"FPVA_007")</f>
        <v>FPVA_007</v>
      </c>
      <c r="F143" s="99" t="s">
        <v>166</v>
      </c>
      <c r="G143" s="110" t="s">
        <v>204</v>
      </c>
      <c r="H143" s="99" t="s">
        <v>205</v>
      </c>
      <c r="I143" s="99"/>
      <c r="J143" s="99" t="s">
        <v>169</v>
      </c>
      <c r="K143" s="99"/>
      <c r="L143" s="99" t="s">
        <v>418</v>
      </c>
      <c r="M143" s="99" t="s">
        <v>171</v>
      </c>
      <c r="N143" s="98" t="s">
        <v>147</v>
      </c>
      <c r="O143" s="98" t="s">
        <v>172</v>
      </c>
      <c r="P143" s="98" t="s">
        <v>217</v>
      </c>
      <c r="Q143" s="98">
        <v>9</v>
      </c>
      <c r="R143" s="98" t="s">
        <v>295</v>
      </c>
      <c r="S143" s="98"/>
      <c r="T143" s="98" t="s">
        <v>151</v>
      </c>
      <c r="U143" s="98"/>
      <c r="V143" s="98" t="s">
        <v>208</v>
      </c>
      <c r="W143" s="98"/>
      <c r="X143" s="98" t="s">
        <v>208</v>
      </c>
      <c r="Y143" s="98" t="s">
        <v>193</v>
      </c>
      <c r="Z143" s="98" t="s">
        <v>625</v>
      </c>
      <c r="AA143" s="98" t="s">
        <v>619</v>
      </c>
      <c r="AB143" s="135">
        <v>46167</v>
      </c>
      <c r="AC143" s="102" t="s">
        <v>195</v>
      </c>
      <c r="AD143" s="98" t="s">
        <v>140</v>
      </c>
      <c r="AE143" s="83"/>
      <c r="AF143" s="92" t="s">
        <v>139</v>
      </c>
      <c r="AG143" s="115">
        <v>46167</v>
      </c>
      <c r="AH143" s="89" t="s">
        <v>348</v>
      </c>
      <c r="AI143" s="92" t="s">
        <v>140</v>
      </c>
      <c r="AJ143" s="89"/>
    </row>
    <row r="144" spans="1:48" ht="15.75" customHeight="1" x14ac:dyDescent="0.2">
      <c r="A144" s="78">
        <v>143</v>
      </c>
      <c r="B144" s="79">
        <v>46031</v>
      </c>
      <c r="C144" s="136">
        <v>2</v>
      </c>
      <c r="D144" s="80"/>
      <c r="E144" s="81" t="str">
        <f ca="1">IFERROR(__xludf.DUMMYFUNCTION("IF(G144="""","""",FILTER(Especie!$A$2:$A$982,Especie!$H$2:$H$982=G144))"),"FPVA_007")</f>
        <v>FPVA_007</v>
      </c>
      <c r="F144" s="59" t="s">
        <v>166</v>
      </c>
      <c r="G144" s="87" t="s">
        <v>204</v>
      </c>
      <c r="H144" s="59" t="s">
        <v>205</v>
      </c>
      <c r="I144" s="59"/>
      <c r="J144" s="59" t="s">
        <v>169</v>
      </c>
      <c r="K144" s="59"/>
      <c r="L144" s="59" t="s">
        <v>626</v>
      </c>
      <c r="M144" s="84" t="s">
        <v>171</v>
      </c>
      <c r="N144" s="84" t="s">
        <v>147</v>
      </c>
      <c r="O144" s="84" t="s">
        <v>172</v>
      </c>
      <c r="P144" s="84" t="s">
        <v>217</v>
      </c>
      <c r="Q144" s="84">
        <v>9</v>
      </c>
      <c r="R144" s="84" t="s">
        <v>295</v>
      </c>
      <c r="S144" s="84"/>
      <c r="T144" s="84" t="s">
        <v>151</v>
      </c>
      <c r="U144" s="84"/>
      <c r="V144" s="84"/>
      <c r="W144" s="84"/>
      <c r="X144" s="84" t="s">
        <v>627</v>
      </c>
      <c r="Y144" s="84"/>
      <c r="Z144" s="84" t="s">
        <v>628</v>
      </c>
      <c r="AA144" s="84"/>
      <c r="AB144" s="84"/>
      <c r="AC144" s="84" t="s">
        <v>195</v>
      </c>
      <c r="AD144" s="84"/>
      <c r="AE144" s="84"/>
      <c r="AF144" s="137" t="s">
        <v>139</v>
      </c>
      <c r="AG144" s="138">
        <v>46062</v>
      </c>
      <c r="AH144" s="84" t="s">
        <v>70</v>
      </c>
      <c r="AI144" s="137" t="s">
        <v>140</v>
      </c>
      <c r="AJ144" s="89"/>
    </row>
    <row r="145" spans="1:36" ht="15.75" customHeight="1" x14ac:dyDescent="0.2">
      <c r="A145" s="78">
        <v>144</v>
      </c>
      <c r="B145" s="79">
        <v>46032</v>
      </c>
      <c r="C145" s="136">
        <v>2</v>
      </c>
      <c r="D145" s="80"/>
      <c r="E145" s="81" t="str">
        <f ca="1">IFERROR(__xludf.DUMMYFUNCTION("IF(G145="""","""",FILTER(Especie!$A$2:$A$982,Especie!$H$2:$H$982=G145))"),"FPVA_019")</f>
        <v>FPVA_019</v>
      </c>
      <c r="F145" s="59" t="s">
        <v>124</v>
      </c>
      <c r="G145" s="87" t="s">
        <v>248</v>
      </c>
      <c r="H145" s="59" t="s">
        <v>595</v>
      </c>
      <c r="I145" s="59"/>
      <c r="J145" s="59" t="s">
        <v>144</v>
      </c>
      <c r="K145" s="59"/>
      <c r="L145" s="59" t="s">
        <v>629</v>
      </c>
      <c r="M145" s="84" t="s">
        <v>146</v>
      </c>
      <c r="N145" s="84" t="s">
        <v>147</v>
      </c>
      <c r="O145" s="84" t="s">
        <v>161</v>
      </c>
      <c r="P145" s="84" t="s">
        <v>350</v>
      </c>
      <c r="Q145" s="84">
        <v>500</v>
      </c>
      <c r="R145" s="84" t="s">
        <v>186</v>
      </c>
      <c r="S145" s="84"/>
      <c r="T145" s="84" t="s">
        <v>151</v>
      </c>
      <c r="U145" s="84"/>
      <c r="V145" s="84"/>
      <c r="W145" s="84"/>
      <c r="X145" s="84" t="s">
        <v>252</v>
      </c>
      <c r="Y145" s="84" t="s">
        <v>246</v>
      </c>
      <c r="Z145" s="84" t="s">
        <v>630</v>
      </c>
      <c r="AA145" s="84" t="s">
        <v>631</v>
      </c>
      <c r="AB145" s="84"/>
      <c r="AC145" s="84" t="s">
        <v>195</v>
      </c>
      <c r="AD145" s="84"/>
      <c r="AE145" s="84"/>
      <c r="AF145" s="137" t="s">
        <v>139</v>
      </c>
      <c r="AG145" s="138">
        <v>46062</v>
      </c>
      <c r="AH145" s="84" t="s">
        <v>70</v>
      </c>
      <c r="AI145" s="137" t="s">
        <v>140</v>
      </c>
      <c r="AJ145" s="89"/>
    </row>
    <row r="146" spans="1:36" ht="15.75" customHeight="1" x14ac:dyDescent="0.2">
      <c r="A146" s="78">
        <v>145</v>
      </c>
      <c r="B146" s="79">
        <v>46033</v>
      </c>
      <c r="C146" s="103">
        <v>2</v>
      </c>
      <c r="D146" s="80"/>
      <c r="E146" s="81" t="str">
        <f ca="1">IFERROR(__xludf.DUMMYFUNCTION("IF(G146="""","""",FILTER(Especie!$A$2:$A$982,Especie!$H$2:$H$982=G146))"),"FPVA_018")</f>
        <v>FPVA_018</v>
      </c>
      <c r="F146" s="59" t="s">
        <v>124</v>
      </c>
      <c r="G146" s="87" t="s">
        <v>459</v>
      </c>
      <c r="H146" s="88" t="s">
        <v>632</v>
      </c>
      <c r="J146" s="59" t="s">
        <v>144</v>
      </c>
      <c r="L146" s="88" t="s">
        <v>633</v>
      </c>
      <c r="M146" s="84" t="s">
        <v>146</v>
      </c>
      <c r="N146" s="84" t="s">
        <v>131</v>
      </c>
      <c r="O146" s="84" t="s">
        <v>148</v>
      </c>
      <c r="P146" s="84" t="s">
        <v>149</v>
      </c>
      <c r="Q146" s="89">
        <v>20</v>
      </c>
      <c r="R146" s="84" t="s">
        <v>186</v>
      </c>
      <c r="S146" s="89"/>
      <c r="T146" s="84" t="s">
        <v>163</v>
      </c>
      <c r="U146" s="89"/>
      <c r="V146" s="89"/>
      <c r="W146" s="84"/>
      <c r="X146" s="84" t="s">
        <v>252</v>
      </c>
      <c r="Y146" s="89" t="s">
        <v>193</v>
      </c>
      <c r="Z146" s="89" t="s">
        <v>634</v>
      </c>
      <c r="AA146" s="89"/>
      <c r="AB146" s="89"/>
      <c r="AC146" s="89" t="s">
        <v>195</v>
      </c>
      <c r="AD146" s="89"/>
      <c r="AE146" s="89"/>
      <c r="AF146" s="92" t="s">
        <v>139</v>
      </c>
      <c r="AG146" s="86">
        <v>46062</v>
      </c>
      <c r="AH146" s="84" t="s">
        <v>70</v>
      </c>
      <c r="AI146" s="92" t="s">
        <v>140</v>
      </c>
      <c r="AJ146" s="89"/>
    </row>
    <row r="147" spans="1:36" ht="15.75" customHeight="1" x14ac:dyDescent="0.2">
      <c r="A147" s="78">
        <v>146</v>
      </c>
      <c r="B147" s="79">
        <v>46034</v>
      </c>
      <c r="C147" s="103">
        <v>2</v>
      </c>
      <c r="D147" s="80"/>
      <c r="E147" s="81" t="str">
        <f ca="1">IFERROR(__xludf.DUMMYFUNCTION("IF(G147="""","""",FILTER(Especie!$A$2:$A$982,Especie!$H$2:$H$982=G147))"),"FPVA_018")</f>
        <v>FPVA_018</v>
      </c>
      <c r="F147" s="59" t="s">
        <v>124</v>
      </c>
      <c r="G147" s="87" t="s">
        <v>459</v>
      </c>
      <c r="H147" s="88" t="s">
        <v>632</v>
      </c>
      <c r="J147" s="59" t="s">
        <v>144</v>
      </c>
      <c r="L147" s="88" t="s">
        <v>633</v>
      </c>
      <c r="M147" s="84" t="s">
        <v>146</v>
      </c>
      <c r="N147" s="84" t="s">
        <v>131</v>
      </c>
      <c r="O147" s="84" t="s">
        <v>148</v>
      </c>
      <c r="P147" s="84" t="s">
        <v>149</v>
      </c>
      <c r="Q147" s="89">
        <v>30</v>
      </c>
      <c r="R147" s="84" t="s">
        <v>186</v>
      </c>
      <c r="S147" s="89"/>
      <c r="T147" s="84" t="s">
        <v>151</v>
      </c>
      <c r="U147" s="89"/>
      <c r="V147" s="89"/>
      <c r="W147" s="84"/>
      <c r="X147" s="84" t="s">
        <v>252</v>
      </c>
      <c r="Y147" s="89" t="s">
        <v>193</v>
      </c>
      <c r="Z147" s="89" t="s">
        <v>634</v>
      </c>
      <c r="AA147" s="89"/>
      <c r="AB147" s="89"/>
      <c r="AC147" s="89" t="s">
        <v>195</v>
      </c>
      <c r="AD147" s="89"/>
      <c r="AE147" s="89"/>
      <c r="AF147" s="92" t="s">
        <v>139</v>
      </c>
      <c r="AG147" s="86">
        <v>46062</v>
      </c>
      <c r="AH147" s="84" t="s">
        <v>70</v>
      </c>
      <c r="AI147" s="92" t="s">
        <v>140</v>
      </c>
      <c r="AJ147" s="89"/>
    </row>
    <row r="148" spans="1:36" ht="15.75" customHeight="1" x14ac:dyDescent="0.2">
      <c r="A148" s="78">
        <v>147</v>
      </c>
      <c r="B148" s="79">
        <v>46035</v>
      </c>
      <c r="C148" s="103">
        <v>8</v>
      </c>
      <c r="D148" s="80"/>
      <c r="E148" s="81" t="str">
        <f ca="1">IFERROR(__xludf.DUMMYFUNCTION("IF(G148="""","""",FILTER(Especie!$A$2:$A$982,Especie!$H$2:$H$982=G148))"),"FPVA_063")</f>
        <v>FPVA_063</v>
      </c>
      <c r="F148" s="48" t="s">
        <v>257</v>
      </c>
      <c r="G148" s="90" t="s">
        <v>635</v>
      </c>
      <c r="H148" s="48" t="s">
        <v>636</v>
      </c>
      <c r="I148" s="48"/>
      <c r="J148" s="48" t="s">
        <v>169</v>
      </c>
      <c r="L148" s="88" t="s">
        <v>418</v>
      </c>
      <c r="M148" s="50" t="s">
        <v>171</v>
      </c>
      <c r="N148" s="97" t="s">
        <v>147</v>
      </c>
      <c r="O148" s="97" t="s">
        <v>262</v>
      </c>
      <c r="P148" s="84" t="s">
        <v>263</v>
      </c>
      <c r="Q148" s="83">
        <v>20</v>
      </c>
      <c r="R148" s="83" t="s">
        <v>295</v>
      </c>
      <c r="S148" s="83"/>
      <c r="T148" s="84" t="s">
        <v>151</v>
      </c>
      <c r="U148" s="89"/>
      <c r="V148" s="89"/>
      <c r="W148" s="97"/>
      <c r="X148" s="84" t="s">
        <v>152</v>
      </c>
      <c r="Y148" s="89" t="s">
        <v>637</v>
      </c>
      <c r="Z148" s="89" t="s">
        <v>638</v>
      </c>
      <c r="AA148" s="89"/>
      <c r="AB148" s="89"/>
      <c r="AC148" s="98" t="s">
        <v>195</v>
      </c>
      <c r="AD148" s="89"/>
      <c r="AE148" s="83"/>
      <c r="AF148" s="92" t="s">
        <v>139</v>
      </c>
      <c r="AG148" s="115">
        <v>46167</v>
      </c>
      <c r="AH148" s="89" t="s">
        <v>348</v>
      </c>
      <c r="AI148" s="92" t="s">
        <v>140</v>
      </c>
      <c r="AJ148" s="89"/>
    </row>
    <row r="149" spans="1:36" ht="15.75" customHeight="1" x14ac:dyDescent="0.2">
      <c r="A149" s="78">
        <v>148</v>
      </c>
      <c r="B149" s="79">
        <v>46035</v>
      </c>
      <c r="C149" s="44">
        <v>12</v>
      </c>
      <c r="D149" s="80"/>
      <c r="E149" s="81" t="str">
        <f ca="1">IFERROR(__xludf.DUMMYFUNCTION("IF(G149="""","""",FILTER(Especie!$A$2:$A$982,Especie!$H$2:$H$982=G149))"),"FPVA_067")</f>
        <v>FPVA_067</v>
      </c>
      <c r="F149" s="48" t="s">
        <v>124</v>
      </c>
      <c r="G149" s="90" t="s">
        <v>639</v>
      </c>
      <c r="H149" s="48" t="s">
        <v>640</v>
      </c>
      <c r="I149" s="48"/>
      <c r="J149" s="48" t="s">
        <v>127</v>
      </c>
      <c r="K149" s="88" t="s">
        <v>128</v>
      </c>
      <c r="M149" s="97" t="s">
        <v>275</v>
      </c>
      <c r="N149" s="97" t="s">
        <v>147</v>
      </c>
      <c r="O149" s="97" t="s">
        <v>132</v>
      </c>
      <c r="P149" s="84" t="s">
        <v>237</v>
      </c>
      <c r="Q149" s="83">
        <v>1</v>
      </c>
      <c r="R149" s="83" t="s">
        <v>641</v>
      </c>
      <c r="S149" s="83"/>
      <c r="T149" s="84" t="s">
        <v>151</v>
      </c>
      <c r="U149" s="89"/>
      <c r="V149" s="89"/>
      <c r="W149" s="97"/>
      <c r="X149" s="84" t="s">
        <v>215</v>
      </c>
      <c r="Y149" s="89" t="s">
        <v>136</v>
      </c>
      <c r="Z149" s="89" t="s">
        <v>642</v>
      </c>
      <c r="AA149" s="89" t="s">
        <v>317</v>
      </c>
      <c r="AB149" s="89"/>
      <c r="AC149" s="89" t="s">
        <v>165</v>
      </c>
      <c r="AD149" s="89"/>
      <c r="AE149" s="83"/>
      <c r="AF149" s="92" t="s">
        <v>139</v>
      </c>
      <c r="AG149" s="86">
        <v>46162</v>
      </c>
      <c r="AH149" s="84" t="s">
        <v>70</v>
      </c>
      <c r="AI149" s="92" t="s">
        <v>140</v>
      </c>
      <c r="AJ149" s="89"/>
    </row>
    <row r="150" spans="1:36" ht="15.75" customHeight="1" x14ac:dyDescent="0.2">
      <c r="A150" s="78">
        <v>149</v>
      </c>
      <c r="B150" s="79">
        <v>46036</v>
      </c>
      <c r="C150" s="44">
        <v>8</v>
      </c>
      <c r="D150" s="80"/>
      <c r="E150" s="81" t="str">
        <f ca="1">IFERROR(__xludf.DUMMYFUNCTION("IF(G150="""","""",FILTER(Especie!$A$2:$A$982,Especie!$H$2:$H$982=G150))"),"FPVA_011")</f>
        <v>FPVA_011</v>
      </c>
      <c r="F150" s="48" t="s">
        <v>124</v>
      </c>
      <c r="G150" s="90" t="s">
        <v>241</v>
      </c>
      <c r="H150" s="48" t="s">
        <v>242</v>
      </c>
      <c r="I150" s="48"/>
      <c r="J150" s="48" t="s">
        <v>127</v>
      </c>
      <c r="K150" s="88" t="s">
        <v>128</v>
      </c>
      <c r="L150" s="88" t="s">
        <v>128</v>
      </c>
      <c r="M150" s="50" t="s">
        <v>160</v>
      </c>
      <c r="N150" s="97" t="s">
        <v>131</v>
      </c>
      <c r="O150" s="97" t="s">
        <v>161</v>
      </c>
      <c r="P150" s="84" t="s">
        <v>237</v>
      </c>
      <c r="Q150" s="83">
        <v>30</v>
      </c>
      <c r="R150" s="83" t="s">
        <v>295</v>
      </c>
      <c r="S150" s="83"/>
      <c r="T150" s="84" t="s">
        <v>151</v>
      </c>
      <c r="U150" s="89"/>
      <c r="V150" s="89"/>
      <c r="W150" s="97"/>
      <c r="X150" s="84" t="s">
        <v>135</v>
      </c>
      <c r="Y150" s="89" t="s">
        <v>246</v>
      </c>
      <c r="Z150" s="98" t="s">
        <v>606</v>
      </c>
      <c r="AA150" s="89"/>
      <c r="AB150" s="89"/>
      <c r="AC150" s="98" t="s">
        <v>195</v>
      </c>
      <c r="AD150" s="89"/>
      <c r="AE150" s="83"/>
      <c r="AF150" s="92" t="s">
        <v>139</v>
      </c>
      <c r="AG150" s="115">
        <v>46167</v>
      </c>
      <c r="AH150" s="89" t="s">
        <v>348</v>
      </c>
      <c r="AI150" s="92" t="s">
        <v>140</v>
      </c>
      <c r="AJ150" s="89"/>
    </row>
    <row r="151" spans="1:36" ht="15.75" customHeight="1" x14ac:dyDescent="0.2">
      <c r="A151" s="78">
        <v>150</v>
      </c>
      <c r="B151" s="79">
        <v>46037</v>
      </c>
      <c r="C151" s="103">
        <v>2</v>
      </c>
      <c r="D151" s="80"/>
      <c r="E151" s="81" t="str">
        <f ca="1">IFERROR(__xludf.DUMMYFUNCTION("IF(G151="""","""",FILTER(Especie!$A$2:$A$982,Especie!$H$2:$H$982=G151))"),"FPVA_031")</f>
        <v>FPVA_031</v>
      </c>
      <c r="F151" s="59" t="s">
        <v>124</v>
      </c>
      <c r="G151" s="87" t="s">
        <v>406</v>
      </c>
      <c r="H151" s="88" t="s">
        <v>407</v>
      </c>
      <c r="J151" s="59" t="s">
        <v>169</v>
      </c>
      <c r="L151" s="88" t="s">
        <v>643</v>
      </c>
      <c r="M151" s="84" t="s">
        <v>146</v>
      </c>
      <c r="N151" s="84" t="s">
        <v>131</v>
      </c>
      <c r="O151" s="84" t="s">
        <v>148</v>
      </c>
      <c r="P151" s="84" t="s">
        <v>149</v>
      </c>
      <c r="Q151" s="89">
        <v>10</v>
      </c>
      <c r="R151" s="84" t="s">
        <v>186</v>
      </c>
      <c r="S151" s="89"/>
      <c r="T151" s="84" t="s">
        <v>175</v>
      </c>
      <c r="U151" s="89"/>
      <c r="V151" s="89"/>
      <c r="W151" s="84"/>
      <c r="X151" s="84" t="s">
        <v>135</v>
      </c>
      <c r="Y151" s="89" t="s">
        <v>644</v>
      </c>
      <c r="Z151" s="89" t="s">
        <v>645</v>
      </c>
      <c r="AA151" s="89"/>
      <c r="AB151" s="89"/>
      <c r="AC151" s="89" t="s">
        <v>195</v>
      </c>
      <c r="AD151" s="89"/>
      <c r="AE151" s="89"/>
      <c r="AF151" s="92" t="s">
        <v>139</v>
      </c>
      <c r="AG151" s="86">
        <v>46062</v>
      </c>
      <c r="AH151" s="84" t="s">
        <v>70</v>
      </c>
      <c r="AI151" s="92" t="s">
        <v>140</v>
      </c>
      <c r="AJ151" s="89"/>
    </row>
    <row r="152" spans="1:36" ht="15.75" customHeight="1" x14ac:dyDescent="0.2">
      <c r="A152" s="78">
        <v>151</v>
      </c>
      <c r="B152" s="79">
        <v>46038</v>
      </c>
      <c r="C152" s="103">
        <v>2</v>
      </c>
      <c r="D152" s="80"/>
      <c r="E152" s="81" t="str">
        <f ca="1">IFERROR(__xludf.DUMMYFUNCTION("IF(G152="""","""",FILTER(Especie!$A$2:$A$982,Especie!$H$2:$H$982=G152))"),"FPVA_009")</f>
        <v>FPVA_009</v>
      </c>
      <c r="F152" s="59" t="s">
        <v>124</v>
      </c>
      <c r="G152" s="87" t="s">
        <v>232</v>
      </c>
      <c r="H152" s="88" t="s">
        <v>233</v>
      </c>
      <c r="J152" s="59" t="s">
        <v>127</v>
      </c>
      <c r="K152" s="88" t="s">
        <v>128</v>
      </c>
      <c r="M152" s="84" t="s">
        <v>160</v>
      </c>
      <c r="N152" s="84" t="s">
        <v>131</v>
      </c>
      <c r="O152" s="84" t="s">
        <v>132</v>
      </c>
      <c r="P152" s="84" t="s">
        <v>133</v>
      </c>
      <c r="Q152" s="89">
        <v>12</v>
      </c>
      <c r="R152" s="84" t="s">
        <v>174</v>
      </c>
      <c r="S152" s="89"/>
      <c r="T152" s="84" t="s">
        <v>151</v>
      </c>
      <c r="U152" s="89"/>
      <c r="V152" s="89"/>
      <c r="W152" s="84"/>
      <c r="X152" s="84" t="s">
        <v>135</v>
      </c>
      <c r="Y152" s="89" t="s">
        <v>246</v>
      </c>
      <c r="Z152" s="89" t="s">
        <v>580</v>
      </c>
      <c r="AA152" s="89"/>
      <c r="AB152" s="89"/>
      <c r="AC152" s="89" t="s">
        <v>195</v>
      </c>
      <c r="AD152" s="89"/>
      <c r="AE152" s="89"/>
      <c r="AF152" s="92" t="s">
        <v>139</v>
      </c>
      <c r="AG152" s="86">
        <v>46062</v>
      </c>
      <c r="AH152" s="84" t="s">
        <v>70</v>
      </c>
      <c r="AI152" s="92" t="s">
        <v>140</v>
      </c>
      <c r="AJ152" s="89"/>
    </row>
    <row r="153" spans="1:36" ht="15.75" customHeight="1" x14ac:dyDescent="0.2">
      <c r="A153" s="78">
        <v>152</v>
      </c>
      <c r="B153" s="79">
        <v>46039</v>
      </c>
      <c r="C153" s="44">
        <v>8</v>
      </c>
      <c r="D153" s="80"/>
      <c r="E153" s="81" t="str">
        <f ca="1">IFERROR(__xludf.DUMMYFUNCTION("IF(G153="""","""",FILTER(Especie!$A$2:$A$982,Especie!$H$2:$H$982=G153))"),"FPVA_009")</f>
        <v>FPVA_009</v>
      </c>
      <c r="F153" s="48" t="s">
        <v>124</v>
      </c>
      <c r="G153" s="90" t="s">
        <v>232</v>
      </c>
      <c r="H153" s="48" t="s">
        <v>233</v>
      </c>
      <c r="I153" s="48"/>
      <c r="J153" s="48" t="s">
        <v>127</v>
      </c>
      <c r="K153" s="88" t="s">
        <v>128</v>
      </c>
      <c r="L153" s="88" t="s">
        <v>128</v>
      </c>
      <c r="M153" s="50" t="s">
        <v>160</v>
      </c>
      <c r="N153" s="97" t="s">
        <v>131</v>
      </c>
      <c r="O153" s="97" t="s">
        <v>161</v>
      </c>
      <c r="P153" s="84" t="s">
        <v>237</v>
      </c>
      <c r="Q153" s="83">
        <v>25</v>
      </c>
      <c r="R153" s="83" t="s">
        <v>174</v>
      </c>
      <c r="S153" s="83"/>
      <c r="T153" s="84" t="s">
        <v>151</v>
      </c>
      <c r="U153" s="89"/>
      <c r="V153" s="89"/>
      <c r="W153" s="97"/>
      <c r="X153" s="84" t="s">
        <v>135</v>
      </c>
      <c r="Y153" s="89" t="s">
        <v>246</v>
      </c>
      <c r="Z153" s="98" t="s">
        <v>606</v>
      </c>
      <c r="AA153" s="89"/>
      <c r="AB153" s="89"/>
      <c r="AC153" s="98" t="s">
        <v>195</v>
      </c>
      <c r="AD153" s="89"/>
      <c r="AE153" s="83"/>
      <c r="AF153" s="92" t="s">
        <v>139</v>
      </c>
      <c r="AG153" s="115">
        <v>46167</v>
      </c>
      <c r="AH153" s="89" t="s">
        <v>348</v>
      </c>
      <c r="AI153" s="92" t="s">
        <v>140</v>
      </c>
      <c r="AJ153" s="89"/>
    </row>
    <row r="154" spans="1:36" ht="15.75" customHeight="1" x14ac:dyDescent="0.2">
      <c r="A154" s="78">
        <v>153</v>
      </c>
      <c r="B154" s="79">
        <v>46039</v>
      </c>
      <c r="C154" s="103">
        <v>2</v>
      </c>
      <c r="D154" s="80"/>
      <c r="E154" s="81" t="str">
        <f ca="1">IFERROR(__xludf.DUMMYFUNCTION("IF(G154="""","""",FILTER(Especie!$A$2:$A$982,Especie!$H$2:$H$982=G154))"),"FPVA_009")</f>
        <v>FPVA_009</v>
      </c>
      <c r="F154" s="59" t="s">
        <v>124</v>
      </c>
      <c r="G154" s="87" t="s">
        <v>232</v>
      </c>
      <c r="H154" s="88" t="s">
        <v>233</v>
      </c>
      <c r="J154" s="59" t="s">
        <v>127</v>
      </c>
      <c r="K154" s="88" t="s">
        <v>128</v>
      </c>
      <c r="M154" s="84" t="s">
        <v>160</v>
      </c>
      <c r="N154" s="84" t="s">
        <v>131</v>
      </c>
      <c r="O154" s="84" t="s">
        <v>132</v>
      </c>
      <c r="P154" s="84" t="s">
        <v>237</v>
      </c>
      <c r="Q154" s="89">
        <v>25</v>
      </c>
      <c r="R154" s="84" t="s">
        <v>174</v>
      </c>
      <c r="S154" s="89"/>
      <c r="T154" s="84" t="s">
        <v>151</v>
      </c>
      <c r="U154" s="89"/>
      <c r="V154" s="89"/>
      <c r="W154" s="84"/>
      <c r="X154" s="84" t="s">
        <v>135</v>
      </c>
      <c r="Y154" s="89" t="s">
        <v>246</v>
      </c>
      <c r="Z154" s="89" t="s">
        <v>580</v>
      </c>
      <c r="AA154" s="89"/>
      <c r="AB154" s="89"/>
      <c r="AC154" s="89" t="s">
        <v>195</v>
      </c>
      <c r="AD154" s="89"/>
      <c r="AE154" s="89"/>
      <c r="AF154" s="92" t="s">
        <v>139</v>
      </c>
      <c r="AG154" s="86">
        <v>46062</v>
      </c>
      <c r="AH154" s="84" t="s">
        <v>70</v>
      </c>
      <c r="AI154" s="92" t="s">
        <v>140</v>
      </c>
      <c r="AJ154" s="89"/>
    </row>
    <row r="155" spans="1:36" ht="15.75" customHeight="1" x14ac:dyDescent="0.2">
      <c r="A155" s="78">
        <v>154</v>
      </c>
      <c r="B155" s="79">
        <v>46045</v>
      </c>
      <c r="C155" s="44">
        <v>3</v>
      </c>
      <c r="D155" s="80"/>
      <c r="E155" s="81" t="str">
        <f ca="1">IFERROR(__xludf.DUMMYFUNCTION("IF(G155="""","""",FILTER(Especie!$A$2:$A$982,Especie!$H$2:$H$982=G155))"),"FPVA_054")</f>
        <v>FPVA_054</v>
      </c>
      <c r="F155" s="59" t="s">
        <v>166</v>
      </c>
      <c r="G155" s="87" t="s">
        <v>521</v>
      </c>
      <c r="H155" s="88" t="s">
        <v>522</v>
      </c>
      <c r="J155" s="59" t="s">
        <v>169</v>
      </c>
      <c r="L155" s="88" t="s">
        <v>615</v>
      </c>
      <c r="M155" s="84" t="s">
        <v>171</v>
      </c>
      <c r="N155" s="84" t="s">
        <v>147</v>
      </c>
      <c r="O155" s="84" t="s">
        <v>172</v>
      </c>
      <c r="P155" s="84" t="s">
        <v>173</v>
      </c>
      <c r="Q155" s="89">
        <v>15</v>
      </c>
      <c r="R155" s="84" t="s">
        <v>295</v>
      </c>
      <c r="S155" s="89"/>
      <c r="T155" s="84" t="s">
        <v>151</v>
      </c>
      <c r="U155" s="89"/>
      <c r="V155" s="89"/>
      <c r="W155" s="84"/>
      <c r="X155" s="84" t="s">
        <v>176</v>
      </c>
      <c r="Y155" s="89"/>
      <c r="Z155" s="89" t="s">
        <v>646</v>
      </c>
      <c r="AA155" s="89" t="s">
        <v>350</v>
      </c>
      <c r="AB155" s="89"/>
      <c r="AC155" s="89" t="s">
        <v>647</v>
      </c>
      <c r="AD155" s="89"/>
      <c r="AE155" s="89"/>
      <c r="AF155" s="92" t="s">
        <v>139</v>
      </c>
      <c r="AG155" s="86">
        <v>46170</v>
      </c>
      <c r="AH155" s="84" t="s">
        <v>348</v>
      </c>
      <c r="AI155" s="92" t="s">
        <v>140</v>
      </c>
      <c r="AJ155" s="89"/>
    </row>
    <row r="156" spans="1:36" ht="15.75" customHeight="1" x14ac:dyDescent="0.2">
      <c r="A156" s="78">
        <v>155</v>
      </c>
      <c r="B156" s="79">
        <v>46045</v>
      </c>
      <c r="C156" s="44">
        <v>3</v>
      </c>
      <c r="D156" s="80"/>
      <c r="E156" s="81" t="str">
        <f ca="1">IFERROR(__xludf.DUMMYFUNCTION("IF(G156="""","""",FILTER(Especie!$A$2:$A$982,Especie!$H$2:$H$982=G156))"),"FPVA_079")</f>
        <v>FPVA_079</v>
      </c>
      <c r="F156" s="59" t="s">
        <v>166</v>
      </c>
      <c r="G156" s="139" t="s">
        <v>648</v>
      </c>
      <c r="H156" s="88" t="s">
        <v>649</v>
      </c>
      <c r="J156" s="59" t="s">
        <v>169</v>
      </c>
      <c r="L156" s="88" t="s">
        <v>615</v>
      </c>
      <c r="M156" s="84" t="s">
        <v>171</v>
      </c>
      <c r="N156" s="84" t="s">
        <v>147</v>
      </c>
      <c r="O156" s="84" t="s">
        <v>172</v>
      </c>
      <c r="P156" s="84" t="s">
        <v>173</v>
      </c>
      <c r="Q156" s="89">
        <v>15</v>
      </c>
      <c r="R156" s="84" t="s">
        <v>295</v>
      </c>
      <c r="S156" s="89"/>
      <c r="T156" s="84" t="s">
        <v>151</v>
      </c>
      <c r="U156" s="89"/>
      <c r="V156" s="89"/>
      <c r="W156" s="84"/>
      <c r="X156" s="84" t="s">
        <v>176</v>
      </c>
      <c r="Y156" s="89"/>
      <c r="Z156" s="89"/>
      <c r="AA156" s="89" t="s">
        <v>350</v>
      </c>
      <c r="AB156" s="89"/>
      <c r="AC156" s="89" t="s">
        <v>647</v>
      </c>
      <c r="AD156" s="89"/>
      <c r="AE156" s="89"/>
      <c r="AF156" s="92" t="s">
        <v>139</v>
      </c>
      <c r="AG156" s="86">
        <v>46170</v>
      </c>
      <c r="AH156" s="84" t="s">
        <v>348</v>
      </c>
      <c r="AI156" s="92" t="s">
        <v>140</v>
      </c>
      <c r="AJ156" s="89"/>
    </row>
    <row r="157" spans="1:36" ht="15.75" customHeight="1" x14ac:dyDescent="0.2">
      <c r="A157" s="78">
        <v>156</v>
      </c>
      <c r="B157" s="79">
        <v>46048</v>
      </c>
      <c r="C157" s="103">
        <v>2</v>
      </c>
      <c r="D157" s="80"/>
      <c r="E157" s="81" t="str">
        <f ca="1">IFERROR(__xludf.DUMMYFUNCTION("IF(G157="""","""",FILTER(Especie!$A$2:$A$982,Especie!$H$2:$H$982=G157))"),"FPVA_040")</f>
        <v>FPVA_040</v>
      </c>
      <c r="F157" s="59" t="s">
        <v>124</v>
      </c>
      <c r="G157" s="87" t="s">
        <v>456</v>
      </c>
      <c r="H157" s="88" t="s">
        <v>650</v>
      </c>
      <c r="J157" s="59" t="s">
        <v>183</v>
      </c>
      <c r="L157" s="88" t="s">
        <v>651</v>
      </c>
      <c r="M157" s="84" t="s">
        <v>146</v>
      </c>
      <c r="N157" s="84" t="s">
        <v>147</v>
      </c>
      <c r="O157" s="84" t="s">
        <v>161</v>
      </c>
      <c r="P157" s="84" t="s">
        <v>133</v>
      </c>
      <c r="Q157" s="89">
        <v>5</v>
      </c>
      <c r="R157" s="84" t="s">
        <v>174</v>
      </c>
      <c r="S157" s="89"/>
      <c r="T157" s="84" t="s">
        <v>151</v>
      </c>
      <c r="U157" s="89"/>
      <c r="V157" s="89"/>
      <c r="W157" s="84"/>
      <c r="X157" s="84" t="s">
        <v>135</v>
      </c>
      <c r="Y157" s="89" t="s">
        <v>652</v>
      </c>
      <c r="Z157" s="89" t="s">
        <v>653</v>
      </c>
      <c r="AA157" s="89"/>
      <c r="AB157" s="89"/>
      <c r="AC157" s="89" t="s">
        <v>195</v>
      </c>
      <c r="AD157" s="89"/>
      <c r="AE157" s="89"/>
      <c r="AF157" s="92" t="s">
        <v>139</v>
      </c>
      <c r="AG157" s="86">
        <v>46062</v>
      </c>
      <c r="AH157" s="84" t="s">
        <v>70</v>
      </c>
      <c r="AI157" s="92" t="s">
        <v>140</v>
      </c>
      <c r="AJ157" s="89"/>
    </row>
    <row r="158" spans="1:36" ht="15.75" customHeight="1" x14ac:dyDescent="0.2">
      <c r="A158" s="78">
        <v>157</v>
      </c>
      <c r="B158" s="79">
        <v>46051</v>
      </c>
      <c r="C158" s="103">
        <v>3</v>
      </c>
      <c r="D158" s="80"/>
      <c r="E158" s="81" t="str">
        <f ca="1">IFERROR(__xludf.DUMMYFUNCTION("IF(G158="""","""",FILTER(Especie!$A$2:$A$982,Especie!$H$2:$H$982=G158))"),"FPVA_029")</f>
        <v>FPVA_029</v>
      </c>
      <c r="F158" s="48" t="s">
        <v>124</v>
      </c>
      <c r="G158" s="104" t="s">
        <v>383</v>
      </c>
      <c r="H158" s="91" t="s">
        <v>654</v>
      </c>
      <c r="I158" s="121"/>
      <c r="J158" s="121" t="s">
        <v>234</v>
      </c>
      <c r="K158" s="117"/>
      <c r="L158" s="117" t="s">
        <v>655</v>
      </c>
      <c r="M158" s="140" t="s">
        <v>130</v>
      </c>
      <c r="N158" s="140" t="s">
        <v>147</v>
      </c>
      <c r="O158" s="140" t="s">
        <v>132</v>
      </c>
      <c r="P158" s="116" t="s">
        <v>237</v>
      </c>
      <c r="Q158" s="141" t="s">
        <v>656</v>
      </c>
      <c r="R158" s="141" t="s">
        <v>657</v>
      </c>
      <c r="S158" s="89"/>
      <c r="T158" s="141" t="s">
        <v>163</v>
      </c>
      <c r="U158" s="116"/>
      <c r="V158" s="116"/>
      <c r="W158" s="140"/>
      <c r="X158" s="98" t="s">
        <v>366</v>
      </c>
      <c r="Y158" s="116"/>
      <c r="Z158" s="116" t="s">
        <v>658</v>
      </c>
      <c r="AA158" s="116"/>
      <c r="AB158" s="116"/>
      <c r="AC158" s="116" t="s">
        <v>165</v>
      </c>
      <c r="AD158" s="116"/>
      <c r="AE158" s="141"/>
      <c r="AF158" s="92" t="s">
        <v>139</v>
      </c>
      <c r="AG158" s="86">
        <v>46062</v>
      </c>
      <c r="AH158" s="84" t="s">
        <v>70</v>
      </c>
      <c r="AI158" s="92" t="s">
        <v>140</v>
      </c>
      <c r="AJ158" s="89"/>
    </row>
    <row r="159" spans="1:36" ht="15.75" customHeight="1" x14ac:dyDescent="0.2">
      <c r="A159" s="78">
        <v>158</v>
      </c>
      <c r="B159" s="79">
        <v>46051</v>
      </c>
      <c r="C159" s="103">
        <v>2</v>
      </c>
      <c r="D159" s="80"/>
      <c r="E159" s="81" t="str">
        <f ca="1">IFERROR(__xludf.DUMMYFUNCTION("IF(G159="""","""",FILTER(Especie!$A$2:$A$982,Especie!$H$2:$H$982=G159))"),"FPVA_076")</f>
        <v>FPVA_076</v>
      </c>
      <c r="F159" s="59" t="s">
        <v>124</v>
      </c>
      <c r="G159" s="87" t="s">
        <v>659</v>
      </c>
      <c r="H159" s="88" t="s">
        <v>660</v>
      </c>
      <c r="J159" s="59" t="s">
        <v>234</v>
      </c>
      <c r="L159" s="88" t="s">
        <v>661</v>
      </c>
      <c r="M159" s="84" t="s">
        <v>146</v>
      </c>
      <c r="N159" s="84" t="s">
        <v>131</v>
      </c>
      <c r="O159" s="84" t="s">
        <v>161</v>
      </c>
      <c r="P159" s="84" t="s">
        <v>350</v>
      </c>
      <c r="Q159" s="89">
        <v>500</v>
      </c>
      <c r="R159" s="84" t="s">
        <v>186</v>
      </c>
      <c r="S159" s="89"/>
      <c r="T159" s="84" t="s">
        <v>151</v>
      </c>
      <c r="U159" s="89"/>
      <c r="V159" s="89"/>
      <c r="W159" s="84"/>
      <c r="X159" s="84" t="s">
        <v>578</v>
      </c>
      <c r="Y159" s="89" t="s">
        <v>193</v>
      </c>
      <c r="Z159" s="89" t="s">
        <v>662</v>
      </c>
      <c r="AA159" s="89"/>
      <c r="AB159" s="89"/>
      <c r="AC159" s="89" t="s">
        <v>195</v>
      </c>
      <c r="AD159" s="89"/>
      <c r="AE159" s="89"/>
      <c r="AF159" s="92" t="s">
        <v>139</v>
      </c>
      <c r="AG159" s="86">
        <v>46062</v>
      </c>
      <c r="AH159" s="84" t="s">
        <v>70</v>
      </c>
      <c r="AI159" s="92" t="s">
        <v>140</v>
      </c>
      <c r="AJ159" s="89"/>
    </row>
    <row r="160" spans="1:36" ht="15.75" customHeight="1" x14ac:dyDescent="0.2">
      <c r="A160" s="78">
        <v>159</v>
      </c>
      <c r="B160" s="79">
        <v>46054</v>
      </c>
      <c r="C160" s="103">
        <v>2</v>
      </c>
      <c r="D160" s="80"/>
      <c r="E160" s="81" t="str">
        <f ca="1">IFERROR(__xludf.DUMMYFUNCTION("IF(G160="""","""",FILTER(Especie!$A$2:$A$982,Especie!$H$2:$H$982=G160))"),"FPVA_075")</f>
        <v>FPVA_075</v>
      </c>
      <c r="F160" s="59" t="s">
        <v>124</v>
      </c>
      <c r="G160" s="87" t="s">
        <v>611</v>
      </c>
      <c r="H160" s="88" t="s">
        <v>612</v>
      </c>
      <c r="J160" s="59" t="s">
        <v>234</v>
      </c>
      <c r="L160" s="88" t="s">
        <v>613</v>
      </c>
      <c r="M160" s="84" t="s">
        <v>275</v>
      </c>
      <c r="N160" s="84" t="s">
        <v>147</v>
      </c>
      <c r="O160" s="84" t="s">
        <v>148</v>
      </c>
      <c r="P160" s="84" t="s">
        <v>149</v>
      </c>
      <c r="Q160" s="89">
        <v>600</v>
      </c>
      <c r="R160" s="84" t="s">
        <v>186</v>
      </c>
      <c r="S160" s="89"/>
      <c r="T160" s="84" t="s">
        <v>151</v>
      </c>
      <c r="U160" s="89"/>
      <c r="V160" s="89"/>
      <c r="W160" s="84"/>
      <c r="X160" s="84" t="s">
        <v>366</v>
      </c>
      <c r="Y160" s="89"/>
      <c r="Z160" s="89" t="s">
        <v>614</v>
      </c>
      <c r="AA160" s="89"/>
      <c r="AB160" s="89"/>
      <c r="AC160" s="89" t="s">
        <v>195</v>
      </c>
      <c r="AD160" s="89"/>
      <c r="AE160" s="89"/>
      <c r="AF160" s="92" t="s">
        <v>139</v>
      </c>
      <c r="AG160" s="86">
        <v>46062</v>
      </c>
      <c r="AH160" s="84" t="s">
        <v>70</v>
      </c>
      <c r="AI160" s="92" t="s">
        <v>140</v>
      </c>
      <c r="AJ160" s="89"/>
    </row>
    <row r="161" spans="1:36" ht="15.75" customHeight="1" x14ac:dyDescent="0.2">
      <c r="A161" s="78">
        <v>160</v>
      </c>
      <c r="B161" s="79">
        <v>46055</v>
      </c>
      <c r="C161" s="44">
        <v>1</v>
      </c>
      <c r="D161" s="80"/>
      <c r="E161" s="81" t="str">
        <f ca="1">IFERROR(__xludf.DUMMYFUNCTION("IF(G161="""","""",FILTER(Especie!$A$2:$A$982,Especie!$H$2:$H$982=G161))"),"FPVA_028")</f>
        <v>FPVA_028</v>
      </c>
      <c r="F161" s="59" t="s">
        <v>257</v>
      </c>
      <c r="G161" s="87" t="s">
        <v>320</v>
      </c>
      <c r="H161" s="88" t="s">
        <v>351</v>
      </c>
      <c r="J161" s="59" t="s">
        <v>169</v>
      </c>
      <c r="L161" s="88" t="s">
        <v>663</v>
      </c>
      <c r="M161" s="84" t="s">
        <v>171</v>
      </c>
      <c r="N161" s="84" t="s">
        <v>147</v>
      </c>
      <c r="O161" s="84" t="s">
        <v>262</v>
      </c>
      <c r="P161" s="84" t="s">
        <v>353</v>
      </c>
      <c r="Q161" s="89">
        <v>8</v>
      </c>
      <c r="R161" s="84" t="s">
        <v>295</v>
      </c>
      <c r="S161" s="89"/>
      <c r="T161" s="84" t="s">
        <v>151</v>
      </c>
      <c r="U161" s="89"/>
      <c r="V161" s="89"/>
      <c r="W161" s="84"/>
      <c r="X161" s="84" t="s">
        <v>152</v>
      </c>
      <c r="Y161" s="89" t="s">
        <v>664</v>
      </c>
      <c r="Z161" s="89" t="s">
        <v>665</v>
      </c>
      <c r="AA161" s="89"/>
      <c r="AB161" s="89"/>
      <c r="AC161" s="98" t="s">
        <v>138</v>
      </c>
      <c r="AD161" s="98"/>
      <c r="AE161" s="98"/>
      <c r="AF161" s="92" t="s">
        <v>139</v>
      </c>
      <c r="AG161" s="86">
        <v>46062</v>
      </c>
      <c r="AH161" s="84" t="s">
        <v>70</v>
      </c>
      <c r="AI161" s="92" t="s">
        <v>140</v>
      </c>
      <c r="AJ161" s="89"/>
    </row>
    <row r="162" spans="1:36" ht="15.75" customHeight="1" x14ac:dyDescent="0.2">
      <c r="A162" s="78">
        <v>161</v>
      </c>
      <c r="B162" s="79">
        <v>46056</v>
      </c>
      <c r="C162" s="44">
        <v>1</v>
      </c>
      <c r="D162" s="80"/>
      <c r="E162" s="81" t="str">
        <f ca="1">IFERROR(__xludf.DUMMYFUNCTION("IF(G162="""","""",FILTER(Especie!$A$2:$A$982,Especie!$H$2:$H$982=G162))"),"FPVA_051")</f>
        <v>FPVA_051</v>
      </c>
      <c r="F162" s="48" t="s">
        <v>166</v>
      </c>
      <c r="G162" s="108" t="s">
        <v>666</v>
      </c>
      <c r="H162" s="98" t="s">
        <v>667</v>
      </c>
      <c r="I162" s="98"/>
      <c r="J162" s="98" t="s">
        <v>169</v>
      </c>
      <c r="K162" s="98"/>
      <c r="L162" s="98" t="s">
        <v>668</v>
      </c>
      <c r="M162" s="99" t="s">
        <v>171</v>
      </c>
      <c r="N162" s="98" t="s">
        <v>147</v>
      </c>
      <c r="O162" s="98" t="s">
        <v>172</v>
      </c>
      <c r="P162" s="98" t="s">
        <v>669</v>
      </c>
      <c r="Q162" s="98">
        <v>3</v>
      </c>
      <c r="R162" s="98" t="s">
        <v>295</v>
      </c>
      <c r="S162" s="98"/>
      <c r="T162" s="98" t="s">
        <v>151</v>
      </c>
      <c r="U162" s="98"/>
      <c r="V162" s="98"/>
      <c r="W162" s="98"/>
      <c r="X162" s="98" t="s">
        <v>176</v>
      </c>
      <c r="Y162" s="98" t="s">
        <v>670</v>
      </c>
      <c r="Z162" s="98" t="s">
        <v>671</v>
      </c>
      <c r="AA162" s="98" t="s">
        <v>602</v>
      </c>
      <c r="AB162" s="98"/>
      <c r="AC162" s="98" t="s">
        <v>603</v>
      </c>
      <c r="AD162" s="98"/>
      <c r="AE162" s="98"/>
      <c r="AF162" s="92" t="s">
        <v>139</v>
      </c>
      <c r="AG162" s="86">
        <v>46062</v>
      </c>
      <c r="AH162" s="84" t="s">
        <v>70</v>
      </c>
      <c r="AI162" s="92" t="s">
        <v>140</v>
      </c>
      <c r="AJ162" s="89"/>
    </row>
    <row r="163" spans="1:36" ht="15.75" customHeight="1" x14ac:dyDescent="0.2">
      <c r="A163" s="78">
        <v>162</v>
      </c>
      <c r="B163" s="79">
        <v>46057</v>
      </c>
      <c r="C163" s="44">
        <v>1</v>
      </c>
      <c r="D163" s="80"/>
      <c r="E163" s="81" t="str">
        <f ca="1">IFERROR(__xludf.DUMMYFUNCTION("IF(G163="""","""",FILTER(Especie!$A$2:$A$982,Especie!$H$2:$H$982=G163))"),"FPVA_056")</f>
        <v>FPVA_056</v>
      </c>
      <c r="F163" s="48" t="s">
        <v>166</v>
      </c>
      <c r="G163" s="108" t="s">
        <v>526</v>
      </c>
      <c r="H163" s="98" t="s">
        <v>672</v>
      </c>
      <c r="I163" s="98"/>
      <c r="J163" s="98" t="s">
        <v>169</v>
      </c>
      <c r="K163" s="98"/>
      <c r="L163" s="98" t="s">
        <v>668</v>
      </c>
      <c r="M163" s="99" t="s">
        <v>171</v>
      </c>
      <c r="N163" s="98" t="s">
        <v>147</v>
      </c>
      <c r="O163" s="98" t="s">
        <v>172</v>
      </c>
      <c r="P163" s="98" t="s">
        <v>669</v>
      </c>
      <c r="Q163" s="98">
        <v>3</v>
      </c>
      <c r="R163" s="98" t="s">
        <v>295</v>
      </c>
      <c r="S163" s="98"/>
      <c r="T163" s="98" t="s">
        <v>151</v>
      </c>
      <c r="U163" s="98"/>
      <c r="V163" s="98"/>
      <c r="W163" s="98"/>
      <c r="X163" s="98" t="s">
        <v>176</v>
      </c>
      <c r="Y163" s="98" t="s">
        <v>670</v>
      </c>
      <c r="Z163" s="98" t="s">
        <v>671</v>
      </c>
      <c r="AA163" s="98" t="s">
        <v>602</v>
      </c>
      <c r="AB163" s="98"/>
      <c r="AC163" s="98" t="s">
        <v>603</v>
      </c>
      <c r="AD163" s="98"/>
      <c r="AE163" s="98"/>
      <c r="AF163" s="92" t="s">
        <v>139</v>
      </c>
      <c r="AG163" s="86">
        <v>46062</v>
      </c>
      <c r="AH163" s="84" t="s">
        <v>70</v>
      </c>
      <c r="AI163" s="92" t="s">
        <v>140</v>
      </c>
      <c r="AJ163" s="89"/>
    </row>
    <row r="164" spans="1:36" ht="15.75" customHeight="1" x14ac:dyDescent="0.2">
      <c r="A164" s="78">
        <v>163</v>
      </c>
      <c r="B164" s="79">
        <v>46061</v>
      </c>
      <c r="C164" s="103">
        <v>2</v>
      </c>
      <c r="D164" s="80"/>
      <c r="E164" s="81" t="str">
        <f ca="1">IFERROR(__xludf.DUMMYFUNCTION("IF(G164="""","""",FILTER(Especie!$A$2:$A$982,Especie!$H$2:$H$982=G164))"),"FPVA_019")</f>
        <v>FPVA_019</v>
      </c>
      <c r="F164" s="59" t="s">
        <v>124</v>
      </c>
      <c r="G164" s="87" t="s">
        <v>248</v>
      </c>
      <c r="H164" s="88" t="s">
        <v>595</v>
      </c>
      <c r="J164" s="59" t="s">
        <v>144</v>
      </c>
      <c r="L164" s="88" t="s">
        <v>629</v>
      </c>
      <c r="M164" s="84" t="s">
        <v>146</v>
      </c>
      <c r="N164" s="84" t="s">
        <v>147</v>
      </c>
      <c r="O164" s="84" t="s">
        <v>161</v>
      </c>
      <c r="P164" s="84" t="s">
        <v>350</v>
      </c>
      <c r="Q164" s="89">
        <v>150</v>
      </c>
      <c r="R164" s="84" t="s">
        <v>186</v>
      </c>
      <c r="S164" s="89"/>
      <c r="T164" s="84" t="s">
        <v>151</v>
      </c>
      <c r="U164" s="89"/>
      <c r="V164" s="89"/>
      <c r="W164" s="84"/>
      <c r="X164" s="84" t="s">
        <v>252</v>
      </c>
      <c r="Y164" s="89" t="s">
        <v>673</v>
      </c>
      <c r="Z164" s="89" t="s">
        <v>674</v>
      </c>
      <c r="AA164" s="89" t="s">
        <v>631</v>
      </c>
      <c r="AB164" s="89"/>
      <c r="AC164" s="89" t="s">
        <v>195</v>
      </c>
      <c r="AD164" s="89"/>
      <c r="AE164" s="89"/>
      <c r="AF164" s="92" t="s">
        <v>139</v>
      </c>
      <c r="AG164" s="86">
        <v>46062</v>
      </c>
      <c r="AH164" s="84" t="s">
        <v>70</v>
      </c>
      <c r="AI164" s="92" t="s">
        <v>140</v>
      </c>
      <c r="AJ164" s="89"/>
    </row>
    <row r="165" spans="1:36" ht="15.75" customHeight="1" x14ac:dyDescent="0.2">
      <c r="A165" s="78">
        <v>164</v>
      </c>
      <c r="B165" s="79">
        <v>46063</v>
      </c>
      <c r="C165" s="44">
        <v>1</v>
      </c>
      <c r="D165" s="80"/>
      <c r="E165" s="81" t="str">
        <f ca="1">IFERROR(__xludf.DUMMYFUNCTION("IF(G165="""","""",FILTER(Especie!$A$2:$A$982,Especie!$H$2:$H$982=G165))"),"FPVA_011")</f>
        <v>FPVA_011</v>
      </c>
      <c r="F165" s="59" t="s">
        <v>124</v>
      </c>
      <c r="G165" s="87" t="s">
        <v>241</v>
      </c>
      <c r="H165" s="88" t="s">
        <v>242</v>
      </c>
      <c r="J165" s="59" t="s">
        <v>127</v>
      </c>
      <c r="K165" s="88" t="s">
        <v>128</v>
      </c>
      <c r="M165" s="84" t="s">
        <v>130</v>
      </c>
      <c r="N165" s="84" t="s">
        <v>147</v>
      </c>
      <c r="O165" s="84" t="s">
        <v>161</v>
      </c>
      <c r="P165" s="84" t="s">
        <v>133</v>
      </c>
      <c r="Q165" s="89">
        <v>20</v>
      </c>
      <c r="R165" s="84" t="s">
        <v>371</v>
      </c>
      <c r="S165" s="89"/>
      <c r="T165" s="84" t="s">
        <v>151</v>
      </c>
      <c r="U165" s="89"/>
      <c r="V165" s="89"/>
      <c r="W165" s="84"/>
      <c r="X165" s="84" t="s">
        <v>152</v>
      </c>
      <c r="Y165" s="89" t="s">
        <v>246</v>
      </c>
      <c r="Z165" s="89" t="s">
        <v>675</v>
      </c>
      <c r="AA165" s="89"/>
      <c r="AB165" s="89"/>
      <c r="AC165" s="98" t="s">
        <v>138</v>
      </c>
      <c r="AD165" s="98"/>
      <c r="AE165" s="98"/>
      <c r="AF165" s="92" t="s">
        <v>139</v>
      </c>
      <c r="AG165" s="86">
        <v>46062</v>
      </c>
      <c r="AH165" s="84" t="s">
        <v>70</v>
      </c>
      <c r="AI165" s="92" t="s">
        <v>140</v>
      </c>
      <c r="AJ165" s="89"/>
    </row>
    <row r="166" spans="1:36" ht="15.75" customHeight="1" x14ac:dyDescent="0.2">
      <c r="A166" s="78">
        <v>165</v>
      </c>
      <c r="B166" s="79">
        <v>46063</v>
      </c>
      <c r="C166" s="44">
        <v>1</v>
      </c>
      <c r="D166" s="80"/>
      <c r="E166" s="81" t="str">
        <f ca="1">IFERROR(__xludf.DUMMYFUNCTION("IF(G166="""","""",FILTER(Especie!$A$2:$A$982,Especie!$H$2:$H$982=G166))"),"FPVA_001")</f>
        <v>FPVA_001</v>
      </c>
      <c r="F166" s="59" t="s">
        <v>124</v>
      </c>
      <c r="G166" s="87" t="s">
        <v>141</v>
      </c>
      <c r="H166" s="88" t="s">
        <v>676</v>
      </c>
      <c r="J166" s="59" t="s">
        <v>127</v>
      </c>
      <c r="K166" s="88" t="s">
        <v>128</v>
      </c>
      <c r="M166" s="84" t="s">
        <v>130</v>
      </c>
      <c r="N166" s="84" t="s">
        <v>147</v>
      </c>
      <c r="O166" s="84" t="s">
        <v>132</v>
      </c>
      <c r="P166" s="84" t="s">
        <v>237</v>
      </c>
      <c r="Q166" s="89">
        <v>20</v>
      </c>
      <c r="R166" s="84" t="s">
        <v>371</v>
      </c>
      <c r="S166" s="89"/>
      <c r="T166" s="84" t="s">
        <v>151</v>
      </c>
      <c r="U166" s="89"/>
      <c r="V166" s="89"/>
      <c r="W166" s="84"/>
      <c r="X166" s="84" t="s">
        <v>200</v>
      </c>
      <c r="Y166" s="89" t="s">
        <v>246</v>
      </c>
      <c r="Z166" s="89" t="s">
        <v>675</v>
      </c>
      <c r="AA166" s="89"/>
      <c r="AB166" s="89"/>
      <c r="AC166" s="98" t="s">
        <v>138</v>
      </c>
      <c r="AD166" s="98"/>
      <c r="AE166" s="98"/>
      <c r="AF166" s="92" t="s">
        <v>139</v>
      </c>
      <c r="AG166" s="86">
        <v>46062</v>
      </c>
      <c r="AH166" s="84" t="s">
        <v>70</v>
      </c>
      <c r="AI166" s="92" t="s">
        <v>140</v>
      </c>
      <c r="AJ166" s="89"/>
    </row>
    <row r="167" spans="1:36" ht="15.75" customHeight="1" x14ac:dyDescent="0.2">
      <c r="A167" s="78">
        <v>166</v>
      </c>
      <c r="B167" s="79">
        <v>46063</v>
      </c>
      <c r="C167" s="44">
        <v>1</v>
      </c>
      <c r="D167" s="80"/>
      <c r="E167" s="81" t="str">
        <f ca="1">IFERROR(__xludf.DUMMYFUNCTION("IF(G167="""","""",FILTER(Especie!$A$2:$A$982,Especie!$H$2:$H$982=G167))"),"FPVA_074")</f>
        <v>FPVA_074</v>
      </c>
      <c r="F167" s="59" t="s">
        <v>124</v>
      </c>
      <c r="G167" s="87" t="s">
        <v>677</v>
      </c>
      <c r="H167" s="88" t="s">
        <v>678</v>
      </c>
      <c r="J167" s="59" t="s">
        <v>127</v>
      </c>
      <c r="K167" s="88" t="s">
        <v>128</v>
      </c>
      <c r="M167" s="84" t="s">
        <v>130</v>
      </c>
      <c r="N167" s="84" t="s">
        <v>147</v>
      </c>
      <c r="O167" s="84" t="s">
        <v>161</v>
      </c>
      <c r="P167" s="84" t="s">
        <v>133</v>
      </c>
      <c r="Q167" s="89">
        <v>20</v>
      </c>
      <c r="R167" s="84" t="s">
        <v>371</v>
      </c>
      <c r="S167" s="89"/>
      <c r="T167" s="84" t="s">
        <v>151</v>
      </c>
      <c r="U167" s="89"/>
      <c r="V167" s="89"/>
      <c r="W167" s="84"/>
      <c r="X167" s="84" t="s">
        <v>135</v>
      </c>
      <c r="Y167" s="89" t="s">
        <v>246</v>
      </c>
      <c r="Z167" s="89" t="s">
        <v>675</v>
      </c>
      <c r="AA167" s="89"/>
      <c r="AB167" s="89"/>
      <c r="AC167" s="98" t="s">
        <v>138</v>
      </c>
      <c r="AD167" s="98"/>
      <c r="AE167" s="98"/>
      <c r="AF167" s="92" t="s">
        <v>139</v>
      </c>
      <c r="AG167" s="86">
        <v>46062</v>
      </c>
      <c r="AH167" s="84" t="s">
        <v>70</v>
      </c>
      <c r="AI167" s="92" t="s">
        <v>140</v>
      </c>
      <c r="AJ167" s="89"/>
    </row>
    <row r="168" spans="1:36" ht="15.75" customHeight="1" x14ac:dyDescent="0.2">
      <c r="A168" s="78">
        <v>167</v>
      </c>
      <c r="B168" s="79">
        <v>46064</v>
      </c>
      <c r="C168" s="44">
        <v>1</v>
      </c>
      <c r="D168" s="80"/>
      <c r="E168" s="81" t="str">
        <f ca="1">IFERROR(__xludf.DUMMYFUNCTION("IF(G168="""","""",FILTER(Especie!$A$2:$A$982,Especie!$H$2:$H$982=G168))"),"FPVA_038")</f>
        <v>FPVA_038</v>
      </c>
      <c r="F168" s="59" t="s">
        <v>257</v>
      </c>
      <c r="G168" s="87" t="s">
        <v>364</v>
      </c>
      <c r="H168" s="88" t="s">
        <v>365</v>
      </c>
      <c r="J168" s="59" t="s">
        <v>169</v>
      </c>
      <c r="L168" s="88" t="s">
        <v>679</v>
      </c>
      <c r="M168" s="84" t="s">
        <v>171</v>
      </c>
      <c r="N168" s="84" t="s">
        <v>147</v>
      </c>
      <c r="O168" s="84" t="s">
        <v>262</v>
      </c>
      <c r="P168" s="84" t="s">
        <v>353</v>
      </c>
      <c r="Q168" s="89">
        <v>10</v>
      </c>
      <c r="R168" s="84" t="s">
        <v>295</v>
      </c>
      <c r="S168" s="89"/>
      <c r="T168" s="84" t="s">
        <v>151</v>
      </c>
      <c r="U168" s="89"/>
      <c r="V168" s="89"/>
      <c r="W168" s="84"/>
      <c r="X168" s="84" t="s">
        <v>366</v>
      </c>
      <c r="Y168" s="89" t="s">
        <v>680</v>
      </c>
      <c r="Z168" s="89" t="s">
        <v>681</v>
      </c>
      <c r="AA168" s="89"/>
      <c r="AB168" s="89"/>
      <c r="AC168" s="98" t="s">
        <v>138</v>
      </c>
      <c r="AD168" s="98"/>
      <c r="AE168" s="98"/>
      <c r="AF168" s="92" t="s">
        <v>139</v>
      </c>
      <c r="AG168" s="86">
        <v>46062</v>
      </c>
      <c r="AH168" s="84" t="s">
        <v>70</v>
      </c>
      <c r="AI168" s="92" t="s">
        <v>140</v>
      </c>
      <c r="AJ168" s="89"/>
    </row>
    <row r="169" spans="1:36" ht="15.75" customHeight="1" x14ac:dyDescent="0.2">
      <c r="A169" s="78">
        <v>168</v>
      </c>
      <c r="B169" s="79">
        <v>46065</v>
      </c>
      <c r="C169" s="44">
        <v>1</v>
      </c>
      <c r="D169" s="80"/>
      <c r="E169" s="81" t="str">
        <f ca="1">IFERROR(__xludf.DUMMYFUNCTION("IF(G169="""","""",FILTER(Especie!$A$2:$A$982,Especie!$H$2:$H$982=G169))"),"FPVA_034")</f>
        <v>FPVA_034</v>
      </c>
      <c r="F169" s="59" t="s">
        <v>166</v>
      </c>
      <c r="G169" s="87" t="s">
        <v>416</v>
      </c>
      <c r="H169" s="88" t="s">
        <v>682</v>
      </c>
      <c r="J169" s="59" t="s">
        <v>169</v>
      </c>
      <c r="L169" s="88" t="s">
        <v>683</v>
      </c>
      <c r="M169" s="84" t="s">
        <v>171</v>
      </c>
      <c r="N169" s="84" t="s">
        <v>147</v>
      </c>
      <c r="O169" s="84" t="s">
        <v>172</v>
      </c>
      <c r="P169" s="84" t="s">
        <v>173</v>
      </c>
      <c r="Q169" s="89">
        <v>3</v>
      </c>
      <c r="R169" s="84" t="s">
        <v>295</v>
      </c>
      <c r="S169" s="89"/>
      <c r="T169" s="84" t="s">
        <v>151</v>
      </c>
      <c r="U169" s="89"/>
      <c r="V169" s="89"/>
      <c r="W169" s="84"/>
      <c r="X169" s="84" t="s">
        <v>176</v>
      </c>
      <c r="Y169" s="89" t="s">
        <v>684</v>
      </c>
      <c r="Z169" s="89" t="s">
        <v>685</v>
      </c>
      <c r="AA169" s="89"/>
      <c r="AB169" s="89"/>
      <c r="AC169" s="98" t="s">
        <v>138</v>
      </c>
      <c r="AD169" s="98"/>
      <c r="AE169" s="98"/>
      <c r="AF169" s="92" t="s">
        <v>139</v>
      </c>
      <c r="AG169" s="86">
        <v>46062</v>
      </c>
      <c r="AH169" s="84" t="s">
        <v>70</v>
      </c>
      <c r="AI169" s="92" t="s">
        <v>140</v>
      </c>
      <c r="AJ169" s="89"/>
    </row>
    <row r="170" spans="1:36" ht="15.75" customHeight="1" x14ac:dyDescent="0.2">
      <c r="A170" s="78">
        <v>169</v>
      </c>
      <c r="B170" s="142">
        <v>46065</v>
      </c>
      <c r="C170" s="143">
        <v>3</v>
      </c>
      <c r="D170" s="80"/>
      <c r="E170" s="81" t="str">
        <f ca="1">IFERROR(__xludf.DUMMYFUNCTION("IF(G170="""","""",FILTER(Especie!$A$2:$A$982,Especie!$H$2:$H$982=G170))"),"FPVA_034")</f>
        <v>FPVA_034</v>
      </c>
      <c r="F170" s="59" t="s">
        <v>166</v>
      </c>
      <c r="G170" s="87" t="s">
        <v>416</v>
      </c>
      <c r="H170" s="88" t="s">
        <v>682</v>
      </c>
      <c r="J170" s="59" t="s">
        <v>169</v>
      </c>
      <c r="L170" s="88" t="s">
        <v>686</v>
      </c>
      <c r="M170" s="84" t="s">
        <v>171</v>
      </c>
      <c r="N170" s="84" t="s">
        <v>147</v>
      </c>
      <c r="O170" s="84" t="s">
        <v>172</v>
      </c>
      <c r="P170" s="84" t="s">
        <v>217</v>
      </c>
      <c r="Q170" s="89">
        <v>2</v>
      </c>
      <c r="R170" s="84" t="s">
        <v>174</v>
      </c>
      <c r="S170" s="89"/>
      <c r="T170" s="84" t="s">
        <v>151</v>
      </c>
      <c r="U170" s="89"/>
      <c r="V170" s="89"/>
      <c r="W170" s="84"/>
      <c r="X170" s="84" t="s">
        <v>176</v>
      </c>
      <c r="Y170" s="89"/>
      <c r="Z170" s="89" t="s">
        <v>687</v>
      </c>
      <c r="AA170" s="89" t="s">
        <v>350</v>
      </c>
      <c r="AB170" s="89"/>
      <c r="AC170" s="84" t="s">
        <v>138</v>
      </c>
      <c r="AD170" s="89"/>
      <c r="AE170" s="89"/>
      <c r="AF170" s="92" t="s">
        <v>139</v>
      </c>
      <c r="AG170" s="86">
        <v>46170</v>
      </c>
      <c r="AH170" s="84" t="s">
        <v>348</v>
      </c>
      <c r="AI170" s="92" t="s">
        <v>140</v>
      </c>
      <c r="AJ170" s="89"/>
    </row>
    <row r="171" spans="1:36" ht="15.75" customHeight="1" x14ac:dyDescent="0.2">
      <c r="A171" s="78">
        <v>170</v>
      </c>
      <c r="B171" s="79">
        <v>46067</v>
      </c>
      <c r="C171" s="103">
        <v>2</v>
      </c>
      <c r="D171" s="80"/>
      <c r="E171" s="81" t="str">
        <f ca="1">IFERROR(__xludf.DUMMYFUNCTION("IF(G171="""","""",FILTER(Especie!$A$2:$A$982,Especie!$H$2:$H$982=G171))"),"FPVA_076")</f>
        <v>FPVA_076</v>
      </c>
      <c r="F171" s="59" t="s">
        <v>124</v>
      </c>
      <c r="G171" s="87" t="s">
        <v>659</v>
      </c>
      <c r="H171" s="88" t="s">
        <v>660</v>
      </c>
      <c r="J171" s="59" t="s">
        <v>234</v>
      </c>
      <c r="L171" s="88" t="s">
        <v>661</v>
      </c>
      <c r="M171" s="84" t="s">
        <v>146</v>
      </c>
      <c r="N171" s="84" t="s">
        <v>131</v>
      </c>
      <c r="O171" s="84" t="s">
        <v>161</v>
      </c>
      <c r="P171" s="84" t="s">
        <v>350</v>
      </c>
      <c r="Q171" s="89">
        <v>700</v>
      </c>
      <c r="R171" s="84" t="s">
        <v>186</v>
      </c>
      <c r="S171" s="89"/>
      <c r="T171" s="84" t="s">
        <v>151</v>
      </c>
      <c r="U171" s="89"/>
      <c r="V171" s="89"/>
      <c r="W171" s="84"/>
      <c r="X171" s="84" t="s">
        <v>578</v>
      </c>
      <c r="Y171" s="89" t="s">
        <v>193</v>
      </c>
      <c r="Z171" s="89" t="s">
        <v>688</v>
      </c>
      <c r="AA171" s="89"/>
      <c r="AB171" s="89"/>
      <c r="AC171" s="89" t="s">
        <v>195</v>
      </c>
      <c r="AD171" s="89"/>
      <c r="AE171" s="89"/>
      <c r="AF171" s="92" t="s">
        <v>139</v>
      </c>
      <c r="AG171" s="86">
        <v>46062</v>
      </c>
      <c r="AH171" s="84" t="s">
        <v>70</v>
      </c>
      <c r="AI171" s="92" t="s">
        <v>140</v>
      </c>
      <c r="AJ171" s="89"/>
    </row>
    <row r="172" spans="1:36" ht="15.75" customHeight="1" x14ac:dyDescent="0.2">
      <c r="A172" s="78">
        <v>171</v>
      </c>
      <c r="B172" s="79">
        <v>46082</v>
      </c>
      <c r="C172" s="44">
        <v>1</v>
      </c>
      <c r="D172" s="80"/>
      <c r="E172" s="81" t="str">
        <f ca="1">IFERROR(__xludf.DUMMYFUNCTION("IF(G172="""","""",FILTER(Especie!$A$2:$A$982,Especie!$H$2:$H$982=G172))"),"FPVA_028")</f>
        <v>FPVA_028</v>
      </c>
      <c r="F172" s="59" t="s">
        <v>257</v>
      </c>
      <c r="G172" s="87" t="s">
        <v>320</v>
      </c>
      <c r="H172" s="88" t="s">
        <v>351</v>
      </c>
      <c r="J172" s="59" t="s">
        <v>169</v>
      </c>
      <c r="L172" s="88" t="s">
        <v>689</v>
      </c>
      <c r="M172" s="84" t="s">
        <v>171</v>
      </c>
      <c r="N172" s="84" t="s">
        <v>147</v>
      </c>
      <c r="O172" s="84" t="s">
        <v>262</v>
      </c>
      <c r="P172" s="84" t="s">
        <v>353</v>
      </c>
      <c r="Q172" s="89">
        <v>6</v>
      </c>
      <c r="R172" s="84" t="s">
        <v>295</v>
      </c>
      <c r="S172" s="89"/>
      <c r="T172" s="84" t="s">
        <v>175</v>
      </c>
      <c r="U172" s="89"/>
      <c r="V172" s="89"/>
      <c r="W172" s="84"/>
      <c r="X172" s="84" t="s">
        <v>135</v>
      </c>
      <c r="Y172" s="89" t="s">
        <v>690</v>
      </c>
      <c r="Z172" s="89" t="s">
        <v>691</v>
      </c>
      <c r="AA172" s="89"/>
      <c r="AB172" s="89"/>
      <c r="AC172" s="98" t="s">
        <v>138</v>
      </c>
      <c r="AD172" s="98"/>
      <c r="AE172" s="98"/>
      <c r="AF172" s="92" t="s">
        <v>139</v>
      </c>
      <c r="AG172" s="86">
        <v>46062</v>
      </c>
      <c r="AH172" s="84" t="s">
        <v>70</v>
      </c>
      <c r="AI172" s="92" t="s">
        <v>140</v>
      </c>
      <c r="AJ172" s="89"/>
    </row>
    <row r="173" spans="1:36" ht="15.75" customHeight="1" x14ac:dyDescent="0.2">
      <c r="A173" s="78">
        <v>172</v>
      </c>
      <c r="B173" s="79">
        <v>46084</v>
      </c>
      <c r="C173" s="44">
        <v>15</v>
      </c>
      <c r="D173" s="44"/>
      <c r="E173" s="81" t="str">
        <f ca="1">IFERROR(__xludf.DUMMYFUNCTION("IF(G173="""","""",FILTER(Especie!$A$2:$A$982,Especie!$H$2:$H$982=G173))"),"FPVA_051")</f>
        <v>FPVA_051</v>
      </c>
      <c r="F173" s="48" t="s">
        <v>166</v>
      </c>
      <c r="G173" s="90" t="s">
        <v>666</v>
      </c>
      <c r="H173" s="48" t="s">
        <v>667</v>
      </c>
      <c r="I173" s="48"/>
      <c r="J173" s="48" t="s">
        <v>169</v>
      </c>
      <c r="L173" s="88" t="s">
        <v>692</v>
      </c>
      <c r="M173" s="97" t="s">
        <v>171</v>
      </c>
      <c r="N173" s="97" t="s">
        <v>147</v>
      </c>
      <c r="O173" s="97" t="s">
        <v>172</v>
      </c>
      <c r="P173" s="84" t="s">
        <v>217</v>
      </c>
      <c r="Q173" s="83">
        <v>2</v>
      </c>
      <c r="R173" s="83" t="s">
        <v>295</v>
      </c>
      <c r="S173" s="83"/>
      <c r="T173" s="84" t="s">
        <v>466</v>
      </c>
      <c r="U173" s="89"/>
      <c r="V173" s="89"/>
      <c r="W173" s="97"/>
      <c r="X173" s="84" t="s">
        <v>176</v>
      </c>
      <c r="Y173" s="89" t="s">
        <v>693</v>
      </c>
      <c r="Z173" s="89" t="s">
        <v>694</v>
      </c>
      <c r="AA173" s="89" t="s">
        <v>695</v>
      </c>
      <c r="AB173" s="89"/>
      <c r="AC173" s="89" t="s">
        <v>165</v>
      </c>
      <c r="AD173" s="89"/>
      <c r="AE173" s="83"/>
      <c r="AF173" s="92" t="s">
        <v>139</v>
      </c>
      <c r="AG173" s="86">
        <v>46162</v>
      </c>
      <c r="AH173" s="84" t="s">
        <v>70</v>
      </c>
      <c r="AI173" s="92" t="s">
        <v>140</v>
      </c>
      <c r="AJ173" s="89"/>
    </row>
    <row r="174" spans="1:36" ht="15.75" customHeight="1" x14ac:dyDescent="0.2">
      <c r="A174" s="78">
        <v>173</v>
      </c>
      <c r="B174" s="79">
        <v>46084</v>
      </c>
      <c r="C174" s="44">
        <v>15</v>
      </c>
      <c r="D174" s="44"/>
      <c r="E174" s="81" t="str">
        <f ca="1">IFERROR(__xludf.DUMMYFUNCTION("IF(G174="""","""",FILTER(Especie!$A$2:$A$982,Especie!$H$2:$H$982=G174))"),"FPVA_054")</f>
        <v>FPVA_054</v>
      </c>
      <c r="F174" s="48" t="s">
        <v>166</v>
      </c>
      <c r="G174" s="90" t="s">
        <v>521</v>
      </c>
      <c r="H174" s="48" t="s">
        <v>696</v>
      </c>
      <c r="I174" s="48"/>
      <c r="J174" s="48" t="s">
        <v>169</v>
      </c>
      <c r="L174" s="88" t="s">
        <v>692</v>
      </c>
      <c r="M174" s="97" t="s">
        <v>171</v>
      </c>
      <c r="N174" s="97" t="s">
        <v>147</v>
      </c>
      <c r="O174" s="97" t="s">
        <v>172</v>
      </c>
      <c r="P174" s="84" t="s">
        <v>217</v>
      </c>
      <c r="Q174" s="83">
        <v>2</v>
      </c>
      <c r="R174" s="83" t="s">
        <v>295</v>
      </c>
      <c r="S174" s="83"/>
      <c r="T174" s="84" t="s">
        <v>466</v>
      </c>
      <c r="U174" s="89"/>
      <c r="V174" s="89"/>
      <c r="W174" s="97"/>
      <c r="X174" s="84" t="s">
        <v>176</v>
      </c>
      <c r="Y174" s="89" t="s">
        <v>693</v>
      </c>
      <c r="Z174" s="89" t="s">
        <v>694</v>
      </c>
      <c r="AA174" s="89" t="s">
        <v>695</v>
      </c>
      <c r="AB174" s="89"/>
      <c r="AC174" s="89" t="s">
        <v>165</v>
      </c>
      <c r="AD174" s="89"/>
      <c r="AE174" s="83"/>
      <c r="AF174" s="92" t="s">
        <v>139</v>
      </c>
      <c r="AG174" s="86">
        <v>46162</v>
      </c>
      <c r="AH174" s="84" t="s">
        <v>70</v>
      </c>
      <c r="AI174" s="92" t="s">
        <v>140</v>
      </c>
      <c r="AJ174" s="89"/>
    </row>
    <row r="175" spans="1:36" ht="15.75" customHeight="1" x14ac:dyDescent="0.2">
      <c r="A175" s="78">
        <v>174</v>
      </c>
      <c r="B175" s="79">
        <v>46084</v>
      </c>
      <c r="C175" s="44">
        <v>15</v>
      </c>
      <c r="D175" s="44"/>
      <c r="E175" s="81" t="str">
        <f ca="1">IFERROR(__xludf.DUMMYFUNCTION("IF(G175="""","""",FILTER(Especie!$A$2:$A$982,Especie!$H$2:$H$982=G175))"),"FPVA_072")</f>
        <v>FPVA_072</v>
      </c>
      <c r="F175" s="48" t="s">
        <v>166</v>
      </c>
      <c r="G175" s="90" t="s">
        <v>697</v>
      </c>
      <c r="H175" s="48" t="s">
        <v>698</v>
      </c>
      <c r="I175" s="48"/>
      <c r="J175" s="48" t="s">
        <v>169</v>
      </c>
      <c r="L175" s="88" t="s">
        <v>692</v>
      </c>
      <c r="M175" s="97" t="s">
        <v>171</v>
      </c>
      <c r="N175" s="97" t="s">
        <v>147</v>
      </c>
      <c r="O175" s="97" t="s">
        <v>172</v>
      </c>
      <c r="P175" s="84" t="s">
        <v>217</v>
      </c>
      <c r="Q175" s="83">
        <v>2</v>
      </c>
      <c r="R175" s="83" t="s">
        <v>295</v>
      </c>
      <c r="S175" s="83"/>
      <c r="T175" s="84" t="s">
        <v>466</v>
      </c>
      <c r="U175" s="89"/>
      <c r="V175" s="89"/>
      <c r="W175" s="97"/>
      <c r="X175" s="84" t="s">
        <v>176</v>
      </c>
      <c r="Y175" s="89" t="s">
        <v>693</v>
      </c>
      <c r="Z175" s="89" t="s">
        <v>694</v>
      </c>
      <c r="AA175" s="89" t="s">
        <v>695</v>
      </c>
      <c r="AB175" s="89"/>
      <c r="AC175" s="89" t="s">
        <v>165</v>
      </c>
      <c r="AD175" s="89"/>
      <c r="AE175" s="83"/>
      <c r="AF175" s="92" t="s">
        <v>139</v>
      </c>
      <c r="AG175" s="86">
        <v>46162</v>
      </c>
      <c r="AH175" s="84" t="s">
        <v>70</v>
      </c>
      <c r="AI175" s="92" t="s">
        <v>140</v>
      </c>
      <c r="AJ175" s="89"/>
    </row>
    <row r="176" spans="1:36" ht="15.75" customHeight="1" x14ac:dyDescent="0.2">
      <c r="A176" s="78">
        <v>175</v>
      </c>
      <c r="B176" s="79">
        <v>46084</v>
      </c>
      <c r="C176" s="44">
        <v>15</v>
      </c>
      <c r="D176" s="44"/>
      <c r="E176" s="81" t="str">
        <f ca="1">IFERROR(__xludf.DUMMYFUNCTION("IF(G176="""","""",FILTER(Especie!$A$2:$A$982,Especie!$H$2:$H$982=G176))"),"FPVA_017")</f>
        <v>FPVA_017</v>
      </c>
      <c r="F176" s="48" t="s">
        <v>124</v>
      </c>
      <c r="G176" s="90" t="s">
        <v>285</v>
      </c>
      <c r="H176" s="48" t="s">
        <v>468</v>
      </c>
      <c r="I176" s="48"/>
      <c r="J176" s="48" t="s">
        <v>144</v>
      </c>
      <c r="L176" s="88" t="s">
        <v>699</v>
      </c>
      <c r="M176" s="97" t="s">
        <v>146</v>
      </c>
      <c r="N176" s="97" t="s">
        <v>147</v>
      </c>
      <c r="O176" s="97" t="s">
        <v>161</v>
      </c>
      <c r="P176" s="84" t="s">
        <v>133</v>
      </c>
      <c r="Q176" s="83">
        <v>5</v>
      </c>
      <c r="R176" s="83" t="s">
        <v>470</v>
      </c>
      <c r="S176" s="83"/>
      <c r="T176" s="84" t="s">
        <v>151</v>
      </c>
      <c r="U176" s="89"/>
      <c r="V176" s="89"/>
      <c r="W176" s="97"/>
      <c r="X176" s="84" t="s">
        <v>215</v>
      </c>
      <c r="Y176" s="89" t="s">
        <v>700</v>
      </c>
      <c r="Z176" s="89" t="s">
        <v>701</v>
      </c>
      <c r="AA176" s="89" t="s">
        <v>702</v>
      </c>
      <c r="AB176" s="89"/>
      <c r="AC176" s="89" t="s">
        <v>165</v>
      </c>
      <c r="AD176" s="89"/>
      <c r="AE176" s="83"/>
      <c r="AF176" s="92" t="s">
        <v>139</v>
      </c>
      <c r="AG176" s="86">
        <v>46162</v>
      </c>
      <c r="AH176" s="84" t="s">
        <v>70</v>
      </c>
      <c r="AI176" s="92" t="s">
        <v>140</v>
      </c>
      <c r="AJ176" s="89"/>
    </row>
    <row r="177" spans="1:36" ht="15.75" customHeight="1" x14ac:dyDescent="0.2">
      <c r="A177" s="78">
        <v>176</v>
      </c>
      <c r="B177" s="79">
        <v>46088</v>
      </c>
      <c r="C177" s="103">
        <v>2</v>
      </c>
      <c r="D177" s="80"/>
      <c r="E177" s="81" t="str">
        <f ca="1">IFERROR(__xludf.DUMMYFUNCTION("IF(G177="""","""",FILTER(Especie!$A$2:$A$982,Especie!$H$2:$H$982=G177))"),"FPVA_019")</f>
        <v>FPVA_019</v>
      </c>
      <c r="F177" s="59" t="s">
        <v>124</v>
      </c>
      <c r="G177" s="87" t="s">
        <v>248</v>
      </c>
      <c r="H177" s="88" t="s">
        <v>595</v>
      </c>
      <c r="J177" s="59" t="s">
        <v>144</v>
      </c>
      <c r="M177" s="84" t="s">
        <v>146</v>
      </c>
      <c r="N177" s="84" t="s">
        <v>147</v>
      </c>
      <c r="O177" s="84" t="s">
        <v>161</v>
      </c>
      <c r="P177" s="84" t="s">
        <v>350</v>
      </c>
      <c r="Q177" s="89">
        <v>150</v>
      </c>
      <c r="R177" s="84" t="s">
        <v>186</v>
      </c>
      <c r="S177" s="89"/>
      <c r="T177" s="84" t="s">
        <v>151</v>
      </c>
      <c r="U177" s="89"/>
      <c r="V177" s="89"/>
      <c r="W177" s="84"/>
      <c r="X177" s="84" t="s">
        <v>252</v>
      </c>
      <c r="Y177" s="89" t="s">
        <v>136</v>
      </c>
      <c r="Z177" s="89" t="s">
        <v>703</v>
      </c>
      <c r="AA177" s="89"/>
      <c r="AB177" s="89"/>
      <c r="AC177" s="89" t="s">
        <v>195</v>
      </c>
      <c r="AD177" s="89"/>
      <c r="AE177" s="89"/>
      <c r="AF177" s="92" t="s">
        <v>139</v>
      </c>
      <c r="AG177" s="86">
        <v>46062</v>
      </c>
      <c r="AH177" s="84" t="s">
        <v>70</v>
      </c>
      <c r="AI177" s="92" t="s">
        <v>140</v>
      </c>
      <c r="AJ177" s="89"/>
    </row>
    <row r="178" spans="1:36" ht="15.75" customHeight="1" x14ac:dyDescent="0.2">
      <c r="A178" s="78">
        <v>177</v>
      </c>
      <c r="B178" s="79">
        <v>46093</v>
      </c>
      <c r="C178" s="44">
        <v>1</v>
      </c>
      <c r="D178" s="80"/>
      <c r="E178" s="81" t="str">
        <f ca="1">IFERROR(__xludf.DUMMYFUNCTION("IF(G178="""","""",FILTER(Especie!$A$2:$A$982,Especie!$H$2:$H$982=G178))"),"FPVA_073")</f>
        <v>FPVA_073</v>
      </c>
      <c r="F178" s="59" t="s">
        <v>124</v>
      </c>
      <c r="G178" s="87" t="s">
        <v>589</v>
      </c>
      <c r="H178" s="88" t="s">
        <v>590</v>
      </c>
      <c r="J178" s="59" t="s">
        <v>127</v>
      </c>
      <c r="K178" s="88" t="s">
        <v>128</v>
      </c>
      <c r="M178" s="84" t="s">
        <v>275</v>
      </c>
      <c r="N178" s="84" t="s">
        <v>147</v>
      </c>
      <c r="O178" s="84" t="s">
        <v>132</v>
      </c>
      <c r="P178" s="84" t="s">
        <v>237</v>
      </c>
      <c r="Q178" s="89">
        <v>30</v>
      </c>
      <c r="R178" s="84" t="s">
        <v>371</v>
      </c>
      <c r="S178" s="89"/>
      <c r="T178" s="84" t="s">
        <v>151</v>
      </c>
      <c r="U178" s="89"/>
      <c r="V178" s="89"/>
      <c r="W178" s="84"/>
      <c r="X178" s="84" t="s">
        <v>152</v>
      </c>
      <c r="Y178" s="89" t="s">
        <v>246</v>
      </c>
      <c r="Z178" s="89" t="s">
        <v>704</v>
      </c>
      <c r="AA178" s="89"/>
      <c r="AB178" s="89"/>
      <c r="AC178" s="98" t="s">
        <v>138</v>
      </c>
      <c r="AD178" s="98"/>
      <c r="AE178" s="98"/>
      <c r="AF178" s="92" t="s">
        <v>139</v>
      </c>
      <c r="AG178" s="86">
        <v>46062</v>
      </c>
      <c r="AH178" s="84" t="s">
        <v>70</v>
      </c>
      <c r="AI178" s="92" t="s">
        <v>140</v>
      </c>
      <c r="AJ178" s="89"/>
    </row>
    <row r="179" spans="1:36" ht="15.75" customHeight="1" x14ac:dyDescent="0.2">
      <c r="A179" s="78">
        <v>178</v>
      </c>
      <c r="B179" s="79">
        <v>46093</v>
      </c>
      <c r="C179" s="44">
        <v>1</v>
      </c>
      <c r="D179" s="80"/>
      <c r="E179" s="81" t="str">
        <f ca="1">IFERROR(__xludf.DUMMYFUNCTION("IF(G179="""","""",FILTER(Especie!$A$2:$A$982,Especie!$H$2:$H$982=G179))"),"FPVA_074")</f>
        <v>FPVA_074</v>
      </c>
      <c r="F179" s="59" t="s">
        <v>124</v>
      </c>
      <c r="G179" s="87" t="s">
        <v>677</v>
      </c>
      <c r="H179" s="88" t="s">
        <v>678</v>
      </c>
      <c r="J179" s="59" t="s">
        <v>127</v>
      </c>
      <c r="K179" s="88" t="s">
        <v>128</v>
      </c>
      <c r="M179" s="84" t="s">
        <v>275</v>
      </c>
      <c r="N179" s="84" t="s">
        <v>147</v>
      </c>
      <c r="O179" s="84" t="s">
        <v>132</v>
      </c>
      <c r="P179" s="84" t="s">
        <v>237</v>
      </c>
      <c r="Q179" s="89">
        <v>30</v>
      </c>
      <c r="R179" s="84" t="s">
        <v>371</v>
      </c>
      <c r="S179" s="89"/>
      <c r="T179" s="84" t="s">
        <v>151</v>
      </c>
      <c r="U179" s="89"/>
      <c r="V179" s="89"/>
      <c r="W179" s="84"/>
      <c r="X179" s="84" t="s">
        <v>366</v>
      </c>
      <c r="Y179" s="89" t="s">
        <v>246</v>
      </c>
      <c r="Z179" s="89" t="s">
        <v>704</v>
      </c>
      <c r="AA179" s="89"/>
      <c r="AB179" s="89"/>
      <c r="AC179" s="98" t="s">
        <v>138</v>
      </c>
      <c r="AD179" s="98"/>
      <c r="AE179" s="98"/>
      <c r="AF179" s="92" t="s">
        <v>139</v>
      </c>
      <c r="AG179" s="86">
        <v>46062</v>
      </c>
      <c r="AH179" s="84" t="s">
        <v>70</v>
      </c>
      <c r="AI179" s="92" t="s">
        <v>140</v>
      </c>
      <c r="AJ179" s="89"/>
    </row>
    <row r="180" spans="1:36" ht="15.75" customHeight="1" x14ac:dyDescent="0.2">
      <c r="A180" s="78">
        <v>179</v>
      </c>
      <c r="B180" s="79">
        <v>46093</v>
      </c>
      <c r="C180" s="44">
        <v>1</v>
      </c>
      <c r="D180" s="80"/>
      <c r="E180" s="81" t="str">
        <f ca="1">IFERROR(__xludf.DUMMYFUNCTION("IF(G180="""","""",FILTER(Especie!$A$2:$A$982,Especie!$H$2:$H$982=G180))"),"FPVA_001")</f>
        <v>FPVA_001</v>
      </c>
      <c r="F180" s="59" t="s">
        <v>124</v>
      </c>
      <c r="G180" s="87" t="s">
        <v>141</v>
      </c>
      <c r="H180" s="88" t="s">
        <v>705</v>
      </c>
      <c r="J180" s="59" t="s">
        <v>127</v>
      </c>
      <c r="K180" s="88" t="s">
        <v>128</v>
      </c>
      <c r="M180" s="84" t="s">
        <v>275</v>
      </c>
      <c r="N180" s="84" t="s">
        <v>147</v>
      </c>
      <c r="O180" s="84" t="s">
        <v>132</v>
      </c>
      <c r="P180" s="84" t="s">
        <v>237</v>
      </c>
      <c r="Q180" s="89">
        <v>30</v>
      </c>
      <c r="R180" s="84" t="s">
        <v>371</v>
      </c>
      <c r="S180" s="89"/>
      <c r="T180" s="84" t="s">
        <v>151</v>
      </c>
      <c r="U180" s="89"/>
      <c r="V180" s="89"/>
      <c r="W180" s="84"/>
      <c r="X180" s="84" t="s">
        <v>706</v>
      </c>
      <c r="Y180" s="89" t="s">
        <v>246</v>
      </c>
      <c r="Z180" s="89" t="s">
        <v>704</v>
      </c>
      <c r="AA180" s="89"/>
      <c r="AB180" s="89"/>
      <c r="AC180" s="98" t="s">
        <v>138</v>
      </c>
      <c r="AD180" s="98"/>
      <c r="AE180" s="98"/>
      <c r="AF180" s="92" t="s">
        <v>139</v>
      </c>
      <c r="AG180" s="86">
        <v>46062</v>
      </c>
      <c r="AH180" s="84" t="s">
        <v>70</v>
      </c>
      <c r="AI180" s="92" t="s">
        <v>140</v>
      </c>
      <c r="AJ180" s="89"/>
    </row>
    <row r="181" spans="1:36" ht="15.75" customHeight="1" x14ac:dyDescent="0.2">
      <c r="A181" s="78">
        <v>180</v>
      </c>
      <c r="B181" s="79">
        <v>46095</v>
      </c>
      <c r="C181" s="44">
        <v>12</v>
      </c>
      <c r="D181" s="80"/>
      <c r="E181" s="81" t="str">
        <f ca="1">IFERROR(__xludf.DUMMYFUNCTION("IF(G181="""","""",FILTER(Especie!$A$2:$A$982,Especie!$H$2:$H$982=G181))"),"FPVA_016")</f>
        <v>FPVA_016</v>
      </c>
      <c r="F181" s="48" t="s">
        <v>124</v>
      </c>
      <c r="G181" s="90" t="s">
        <v>327</v>
      </c>
      <c r="H181" s="48" t="s">
        <v>707</v>
      </c>
      <c r="I181" s="48"/>
      <c r="J181" s="48" t="s">
        <v>127</v>
      </c>
      <c r="K181" s="88" t="s">
        <v>128</v>
      </c>
      <c r="M181" s="97" t="s">
        <v>160</v>
      </c>
      <c r="N181" s="97" t="s">
        <v>147</v>
      </c>
      <c r="O181" s="97" t="s">
        <v>132</v>
      </c>
      <c r="P181" s="116" t="s">
        <v>708</v>
      </c>
      <c r="Q181" s="83">
        <v>5</v>
      </c>
      <c r="R181" s="83" t="s">
        <v>134</v>
      </c>
      <c r="S181" s="83"/>
      <c r="T181" s="84" t="s">
        <v>151</v>
      </c>
      <c r="U181" s="89"/>
      <c r="V181" s="89"/>
      <c r="W181" s="97"/>
      <c r="X181" s="84" t="s">
        <v>215</v>
      </c>
      <c r="Y181" s="89" t="s">
        <v>136</v>
      </c>
      <c r="Z181" s="89" t="s">
        <v>709</v>
      </c>
      <c r="AA181" s="89" t="s">
        <v>710</v>
      </c>
      <c r="AB181" s="89"/>
      <c r="AC181" s="89" t="s">
        <v>165</v>
      </c>
      <c r="AD181" s="89"/>
      <c r="AE181" s="83"/>
      <c r="AF181" s="92" t="s">
        <v>139</v>
      </c>
      <c r="AG181" s="86">
        <v>46162</v>
      </c>
      <c r="AH181" s="84" t="s">
        <v>70</v>
      </c>
      <c r="AI181" s="92" t="s">
        <v>140</v>
      </c>
      <c r="AJ181" s="89"/>
    </row>
    <row r="182" spans="1:36" ht="15.75" customHeight="1" x14ac:dyDescent="0.2">
      <c r="A182" s="78">
        <v>181</v>
      </c>
      <c r="B182" s="79">
        <v>46095</v>
      </c>
      <c r="C182" s="103">
        <v>2</v>
      </c>
      <c r="D182" s="80"/>
      <c r="E182" s="81" t="str">
        <f ca="1">IFERROR(__xludf.DUMMYFUNCTION("IF(G182="""","""",FILTER(Especie!$A$2:$A$982,Especie!$H$2:$H$982=G182))"),"FPVA_019")</f>
        <v>FPVA_019</v>
      </c>
      <c r="F182" s="59" t="s">
        <v>124</v>
      </c>
      <c r="G182" s="87" t="s">
        <v>248</v>
      </c>
      <c r="H182" s="88" t="s">
        <v>595</v>
      </c>
      <c r="J182" s="117" t="s">
        <v>711</v>
      </c>
      <c r="K182" s="126"/>
      <c r="L182" s="126" t="s">
        <v>629</v>
      </c>
      <c r="M182" s="84" t="s">
        <v>146</v>
      </c>
      <c r="N182" s="84" t="s">
        <v>147</v>
      </c>
      <c r="O182" s="84" t="s">
        <v>161</v>
      </c>
      <c r="P182" s="84" t="s">
        <v>350</v>
      </c>
      <c r="Q182" s="89">
        <v>150</v>
      </c>
      <c r="R182" s="84" t="s">
        <v>186</v>
      </c>
      <c r="S182" s="89"/>
      <c r="T182" s="84" t="s">
        <v>151</v>
      </c>
      <c r="U182" s="89"/>
      <c r="V182" s="89"/>
      <c r="W182" s="84"/>
      <c r="X182" s="84" t="s">
        <v>252</v>
      </c>
      <c r="Y182" s="89" t="s">
        <v>673</v>
      </c>
      <c r="Z182" s="89" t="s">
        <v>674</v>
      </c>
      <c r="AA182" s="89" t="s">
        <v>631</v>
      </c>
      <c r="AB182" s="89"/>
      <c r="AC182" s="89" t="s">
        <v>195</v>
      </c>
      <c r="AD182" s="89"/>
      <c r="AE182" s="89"/>
      <c r="AF182" s="92" t="s">
        <v>139</v>
      </c>
      <c r="AG182" s="86">
        <v>46062</v>
      </c>
      <c r="AH182" s="84" t="s">
        <v>70</v>
      </c>
      <c r="AI182" s="92" t="s">
        <v>140</v>
      </c>
      <c r="AJ182" s="89"/>
    </row>
    <row r="183" spans="1:36" ht="15.75" customHeight="1" x14ac:dyDescent="0.2">
      <c r="A183" s="78">
        <v>182</v>
      </c>
      <c r="B183" s="79">
        <v>46107</v>
      </c>
      <c r="C183" s="44">
        <v>1</v>
      </c>
      <c r="D183" s="80"/>
      <c r="E183" s="81" t="str">
        <f ca="1">IFERROR(__xludf.DUMMYFUNCTION("IF(G183="""","""",FILTER(Especie!$A$2:$A$982,Especie!$H$2:$H$982=G183))"),"FPVA_034")</f>
        <v>FPVA_034</v>
      </c>
      <c r="F183" s="59" t="s">
        <v>166</v>
      </c>
      <c r="G183" s="87" t="s">
        <v>416</v>
      </c>
      <c r="H183" s="88" t="s">
        <v>682</v>
      </c>
      <c r="J183" s="59" t="s">
        <v>169</v>
      </c>
      <c r="L183" s="88" t="s">
        <v>712</v>
      </c>
      <c r="M183" s="84" t="s">
        <v>171</v>
      </c>
      <c r="N183" s="84" t="s">
        <v>147</v>
      </c>
      <c r="O183" s="84" t="s">
        <v>172</v>
      </c>
      <c r="P183" s="84" t="s">
        <v>217</v>
      </c>
      <c r="Q183" s="89">
        <v>4</v>
      </c>
      <c r="R183" s="84" t="s">
        <v>295</v>
      </c>
      <c r="S183" s="89"/>
      <c r="T183" s="84" t="s">
        <v>151</v>
      </c>
      <c r="U183" s="89"/>
      <c r="V183" s="89"/>
      <c r="W183" s="84"/>
      <c r="X183" s="84" t="s">
        <v>135</v>
      </c>
      <c r="Y183" s="89" t="s">
        <v>246</v>
      </c>
      <c r="Z183" s="89" t="s">
        <v>713</v>
      </c>
      <c r="AA183" s="89"/>
      <c r="AB183" s="89"/>
      <c r="AC183" s="98" t="s">
        <v>138</v>
      </c>
      <c r="AD183" s="98"/>
      <c r="AE183" s="98"/>
      <c r="AF183" s="92" t="s">
        <v>139</v>
      </c>
      <c r="AG183" s="86">
        <v>46062</v>
      </c>
      <c r="AH183" s="84" t="s">
        <v>70</v>
      </c>
      <c r="AI183" s="92" t="s">
        <v>140</v>
      </c>
      <c r="AJ183" s="89"/>
    </row>
    <row r="184" spans="1:36" ht="15.75" customHeight="1" x14ac:dyDescent="0.2">
      <c r="A184" s="78">
        <v>183</v>
      </c>
      <c r="B184" s="79">
        <v>46110</v>
      </c>
      <c r="C184" s="103">
        <v>2</v>
      </c>
      <c r="D184" s="80"/>
      <c r="E184" s="81" t="str">
        <f ca="1">IFERROR(__xludf.DUMMYFUNCTION("IF(G184="""","""",FILTER(Especie!$A$2:$A$982,Especie!$H$2:$H$982=G184))"),"FPVA_050")</f>
        <v>FPVA_050</v>
      </c>
      <c r="F184" s="59" t="s">
        <v>124</v>
      </c>
      <c r="G184" s="87" t="s">
        <v>607</v>
      </c>
      <c r="H184" s="88" t="s">
        <v>608</v>
      </c>
      <c r="J184" s="59" t="s">
        <v>169</v>
      </c>
      <c r="L184" s="88" t="s">
        <v>714</v>
      </c>
      <c r="M184" s="84" t="s">
        <v>269</v>
      </c>
      <c r="N184" s="84" t="s">
        <v>147</v>
      </c>
      <c r="O184" s="84" t="s">
        <v>148</v>
      </c>
      <c r="P184" s="84" t="s">
        <v>149</v>
      </c>
      <c r="Q184" s="89">
        <v>500</v>
      </c>
      <c r="R184" s="84" t="s">
        <v>186</v>
      </c>
      <c r="S184" s="89"/>
      <c r="T184" s="84" t="s">
        <v>151</v>
      </c>
      <c r="U184" s="89"/>
      <c r="V184" s="89"/>
      <c r="W184" s="84"/>
      <c r="X184" s="84" t="s">
        <v>135</v>
      </c>
      <c r="Y184" s="89"/>
      <c r="Z184" s="89" t="s">
        <v>715</v>
      </c>
      <c r="AA184" s="89" t="s">
        <v>536</v>
      </c>
      <c r="AB184" s="89"/>
      <c r="AC184" s="89" t="s">
        <v>195</v>
      </c>
      <c r="AD184" s="89"/>
      <c r="AE184" s="89"/>
      <c r="AF184" s="92" t="s">
        <v>139</v>
      </c>
      <c r="AG184" s="86">
        <v>46062</v>
      </c>
      <c r="AH184" s="84" t="s">
        <v>70</v>
      </c>
      <c r="AI184" s="92" t="s">
        <v>140</v>
      </c>
      <c r="AJ184" s="89"/>
    </row>
    <row r="185" spans="1:36" ht="15.75" customHeight="1" x14ac:dyDescent="0.2">
      <c r="A185" s="78">
        <v>184</v>
      </c>
      <c r="B185" s="79">
        <v>46111</v>
      </c>
      <c r="C185" s="44">
        <v>7</v>
      </c>
      <c r="D185" s="80"/>
      <c r="E185" s="81" t="str">
        <f ca="1">IFERROR(__xludf.DUMMYFUNCTION("IF(G185="""","""",FILTER(Especie!$A$2:$A$982,Especie!$H$2:$H$982=G185))"),"FPVA_059")</f>
        <v>FPVA_059</v>
      </c>
      <c r="F185" s="48" t="s">
        <v>124</v>
      </c>
      <c r="G185" s="90" t="s">
        <v>515</v>
      </c>
      <c r="H185" s="48" t="s">
        <v>516</v>
      </c>
      <c r="I185" s="48"/>
      <c r="J185" s="48" t="s">
        <v>127</v>
      </c>
      <c r="L185" s="88" t="s">
        <v>128</v>
      </c>
      <c r="M185" s="50" t="s">
        <v>130</v>
      </c>
      <c r="N185" s="97" t="s">
        <v>147</v>
      </c>
      <c r="O185" s="97" t="s">
        <v>161</v>
      </c>
      <c r="P185" s="84" t="s">
        <v>237</v>
      </c>
      <c r="Q185" s="83">
        <v>5</v>
      </c>
      <c r="R185" s="83" t="s">
        <v>218</v>
      </c>
      <c r="S185" s="83"/>
      <c r="T185" s="84" t="s">
        <v>163</v>
      </c>
      <c r="U185" s="89"/>
      <c r="V185" s="89"/>
      <c r="W185" s="97"/>
      <c r="X185" s="84" t="s">
        <v>200</v>
      </c>
      <c r="Y185" s="89"/>
      <c r="Z185" s="89" t="s">
        <v>716</v>
      </c>
      <c r="AA185" s="89"/>
      <c r="AB185" s="89"/>
      <c r="AC185" s="102" t="s">
        <v>343</v>
      </c>
      <c r="AD185" s="89"/>
      <c r="AE185" s="83"/>
      <c r="AF185" s="92" t="s">
        <v>139</v>
      </c>
      <c r="AG185" s="115">
        <v>46167</v>
      </c>
      <c r="AH185" s="89" t="s">
        <v>348</v>
      </c>
      <c r="AI185" s="92" t="s">
        <v>140</v>
      </c>
      <c r="AJ185" s="89"/>
    </row>
    <row r="186" spans="1:36" ht="15.75" customHeight="1" x14ac:dyDescent="0.2">
      <c r="A186" s="78">
        <v>185</v>
      </c>
      <c r="B186" s="79">
        <v>46111</v>
      </c>
      <c r="C186" s="103">
        <v>2</v>
      </c>
      <c r="D186" s="80"/>
      <c r="E186" s="81" t="str">
        <f ca="1">IFERROR(__xludf.DUMMYFUNCTION("IF(G186="""","""",FILTER(Especie!$A$2:$A$982,Especie!$H$2:$H$982=G186))"),"FPVA_050")</f>
        <v>FPVA_050</v>
      </c>
      <c r="F186" s="59" t="s">
        <v>124</v>
      </c>
      <c r="G186" s="87" t="s">
        <v>607</v>
      </c>
      <c r="H186" s="88" t="s">
        <v>608</v>
      </c>
      <c r="J186" s="59" t="s">
        <v>158</v>
      </c>
      <c r="L186" s="88" t="s">
        <v>717</v>
      </c>
      <c r="M186" s="84" t="s">
        <v>269</v>
      </c>
      <c r="N186" s="84" t="s">
        <v>147</v>
      </c>
      <c r="O186" s="84" t="s">
        <v>148</v>
      </c>
      <c r="P186" s="84" t="s">
        <v>149</v>
      </c>
      <c r="Q186" s="89">
        <v>1</v>
      </c>
      <c r="R186" s="84" t="s">
        <v>174</v>
      </c>
      <c r="S186" s="89"/>
      <c r="T186" s="84" t="s">
        <v>163</v>
      </c>
      <c r="U186" s="89"/>
      <c r="V186" s="89"/>
      <c r="W186" s="84"/>
      <c r="X186" s="84" t="s">
        <v>135</v>
      </c>
      <c r="Y186" s="89" t="s">
        <v>136</v>
      </c>
      <c r="Z186" s="89" t="s">
        <v>718</v>
      </c>
      <c r="AA186" s="89" t="s">
        <v>293</v>
      </c>
      <c r="AB186" s="89"/>
      <c r="AC186" s="89" t="s">
        <v>195</v>
      </c>
      <c r="AD186" s="89"/>
      <c r="AE186" s="89"/>
      <c r="AF186" s="92" t="s">
        <v>139</v>
      </c>
      <c r="AG186" s="86">
        <v>46062</v>
      </c>
      <c r="AH186" s="84" t="s">
        <v>70</v>
      </c>
      <c r="AI186" s="92" t="s">
        <v>140</v>
      </c>
      <c r="AJ186" s="89"/>
    </row>
    <row r="187" spans="1:36" ht="15.75" customHeight="1" x14ac:dyDescent="0.2">
      <c r="A187" s="78">
        <v>186</v>
      </c>
      <c r="B187" s="79">
        <v>46113</v>
      </c>
      <c r="C187" s="95">
        <v>2</v>
      </c>
      <c r="D187" s="80"/>
      <c r="E187" s="81" t="str">
        <f ca="1">IFERROR(__xludf.DUMMYFUNCTION("IF(G187="""","""",FILTER(Especie!$A$2:$A$982,Especie!$H$2:$H$982=G187))"),"FPVA_050")</f>
        <v>FPVA_050</v>
      </c>
      <c r="F187" s="59" t="s">
        <v>124</v>
      </c>
      <c r="G187" s="87" t="s">
        <v>607</v>
      </c>
      <c r="H187" s="88" t="s">
        <v>608</v>
      </c>
      <c r="J187" s="59" t="s">
        <v>169</v>
      </c>
      <c r="L187" s="88" t="s">
        <v>714</v>
      </c>
      <c r="M187" s="84" t="s">
        <v>269</v>
      </c>
      <c r="N187" s="84" t="s">
        <v>147</v>
      </c>
      <c r="O187" s="84" t="s">
        <v>148</v>
      </c>
      <c r="P187" s="84" t="s">
        <v>149</v>
      </c>
      <c r="Q187" s="89">
        <v>1</v>
      </c>
      <c r="R187" s="84" t="s">
        <v>174</v>
      </c>
      <c r="S187" s="89"/>
      <c r="T187" s="84" t="s">
        <v>151</v>
      </c>
      <c r="U187" s="89"/>
      <c r="V187" s="89"/>
      <c r="W187" s="84"/>
      <c r="X187" s="84" t="s">
        <v>135</v>
      </c>
      <c r="Y187" s="89" t="s">
        <v>719</v>
      </c>
      <c r="Z187" s="89" t="s">
        <v>715</v>
      </c>
      <c r="AA187" s="89" t="s">
        <v>536</v>
      </c>
      <c r="AB187" s="89"/>
      <c r="AC187" s="89" t="s">
        <v>195</v>
      </c>
      <c r="AD187" s="89"/>
      <c r="AE187" s="89"/>
      <c r="AF187" s="92" t="s">
        <v>139</v>
      </c>
      <c r="AG187" s="86">
        <v>46062</v>
      </c>
      <c r="AH187" s="84" t="s">
        <v>70</v>
      </c>
      <c r="AI187" s="92" t="s">
        <v>140</v>
      </c>
      <c r="AJ187" s="89"/>
    </row>
    <row r="188" spans="1:36" ht="15.75" customHeight="1" x14ac:dyDescent="0.2">
      <c r="A188" s="78">
        <v>187</v>
      </c>
      <c r="B188" s="79">
        <v>46113</v>
      </c>
      <c r="C188" s="95">
        <v>2</v>
      </c>
      <c r="D188" s="80"/>
      <c r="E188" s="81" t="str">
        <f ca="1">IFERROR(__xludf.DUMMYFUNCTION("IF(G188="""","""",FILTER(Especie!$A$2:$A$982,Especie!$H$2:$H$982=G188))"),"FPVA_018")</f>
        <v>FPVA_018</v>
      </c>
      <c r="F188" s="59" t="s">
        <v>124</v>
      </c>
      <c r="G188" s="87" t="s">
        <v>459</v>
      </c>
      <c r="H188" s="88" t="s">
        <v>632</v>
      </c>
      <c r="J188" s="59" t="s">
        <v>144</v>
      </c>
      <c r="L188" s="88" t="s">
        <v>633</v>
      </c>
      <c r="M188" s="84" t="s">
        <v>146</v>
      </c>
      <c r="N188" s="84" t="s">
        <v>131</v>
      </c>
      <c r="O188" s="84" t="s">
        <v>148</v>
      </c>
      <c r="P188" s="84" t="s">
        <v>149</v>
      </c>
      <c r="Q188" s="89">
        <v>300</v>
      </c>
      <c r="R188" s="84" t="s">
        <v>186</v>
      </c>
      <c r="S188" s="89"/>
      <c r="T188" s="84" t="s">
        <v>214</v>
      </c>
      <c r="U188" s="89"/>
      <c r="V188" s="89"/>
      <c r="W188" s="84"/>
      <c r="X188" s="84" t="s">
        <v>252</v>
      </c>
      <c r="Y188" s="89" t="s">
        <v>193</v>
      </c>
      <c r="Z188" s="89" t="s">
        <v>634</v>
      </c>
      <c r="AA188" s="89"/>
      <c r="AB188" s="89"/>
      <c r="AC188" s="89" t="s">
        <v>195</v>
      </c>
      <c r="AD188" s="89"/>
      <c r="AE188" s="89"/>
      <c r="AF188" s="92" t="s">
        <v>139</v>
      </c>
      <c r="AG188" s="86">
        <v>46062</v>
      </c>
      <c r="AH188" s="84" t="s">
        <v>70</v>
      </c>
      <c r="AI188" s="92" t="s">
        <v>140</v>
      </c>
      <c r="AJ188" s="89"/>
    </row>
    <row r="189" spans="1:36" ht="15.75" customHeight="1" x14ac:dyDescent="0.2">
      <c r="A189" s="78">
        <v>188</v>
      </c>
      <c r="B189" s="79">
        <v>46113</v>
      </c>
      <c r="C189" s="95">
        <v>2</v>
      </c>
      <c r="D189" s="80"/>
      <c r="E189" s="81" t="str">
        <f ca="1">IFERROR(__xludf.DUMMYFUNCTION("IF(G189="""","""",FILTER(Especie!$A$2:$A$982,Especie!$H$2:$H$982=G189))"),"FPVA_007")</f>
        <v>FPVA_007</v>
      </c>
      <c r="F189" s="59" t="s">
        <v>166</v>
      </c>
      <c r="G189" s="87" t="s">
        <v>204</v>
      </c>
      <c r="H189" s="88" t="s">
        <v>205</v>
      </c>
      <c r="J189" s="59" t="s">
        <v>169</v>
      </c>
      <c r="L189" s="88" t="s">
        <v>720</v>
      </c>
      <c r="M189" s="84" t="s">
        <v>171</v>
      </c>
      <c r="N189" s="84" t="s">
        <v>131</v>
      </c>
      <c r="O189" s="84" t="s">
        <v>172</v>
      </c>
      <c r="P189" s="84" t="s">
        <v>217</v>
      </c>
      <c r="Q189" s="89">
        <v>1</v>
      </c>
      <c r="R189" s="84" t="s">
        <v>174</v>
      </c>
      <c r="S189" s="89"/>
      <c r="T189" s="84" t="s">
        <v>151</v>
      </c>
      <c r="U189" s="89"/>
      <c r="V189" s="89"/>
      <c r="W189" s="84"/>
      <c r="X189" s="84" t="s">
        <v>627</v>
      </c>
      <c r="Y189" s="89" t="s">
        <v>721</v>
      </c>
      <c r="Z189" s="89" t="s">
        <v>722</v>
      </c>
      <c r="AA189" s="89" t="s">
        <v>723</v>
      </c>
      <c r="AB189" s="89"/>
      <c r="AC189" s="89" t="s">
        <v>195</v>
      </c>
      <c r="AD189" s="89"/>
      <c r="AE189" s="89"/>
      <c r="AF189" s="92" t="s">
        <v>139</v>
      </c>
      <c r="AG189" s="86">
        <v>46062</v>
      </c>
      <c r="AH189" s="84" t="s">
        <v>70</v>
      </c>
      <c r="AI189" s="92" t="s">
        <v>140</v>
      </c>
      <c r="AJ189" s="89"/>
    </row>
    <row r="190" spans="1:36" ht="15.75" customHeight="1" x14ac:dyDescent="0.2">
      <c r="A190" s="78">
        <v>189</v>
      </c>
      <c r="B190" s="79">
        <v>46113</v>
      </c>
      <c r="C190" s="95">
        <v>2</v>
      </c>
      <c r="D190" s="80"/>
      <c r="E190" s="81" t="str">
        <f ca="1">IFERROR(__xludf.DUMMYFUNCTION("IF(G190="""","""",FILTER(Especie!$A$2:$A$982,Especie!$H$2:$H$982=G190))"),"FPVA_031")</f>
        <v>FPVA_031</v>
      </c>
      <c r="F190" s="59" t="s">
        <v>124</v>
      </c>
      <c r="G190" s="87" t="s">
        <v>406</v>
      </c>
      <c r="H190" s="88" t="s">
        <v>407</v>
      </c>
      <c r="J190" s="59" t="s">
        <v>169</v>
      </c>
      <c r="L190" s="88" t="s">
        <v>724</v>
      </c>
      <c r="M190" s="84" t="s">
        <v>146</v>
      </c>
      <c r="N190" s="84" t="s">
        <v>131</v>
      </c>
      <c r="O190" s="84" t="s">
        <v>148</v>
      </c>
      <c r="P190" s="84" t="s">
        <v>149</v>
      </c>
      <c r="Q190" s="89">
        <v>30</v>
      </c>
      <c r="R190" s="84" t="s">
        <v>186</v>
      </c>
      <c r="S190" s="89"/>
      <c r="T190" s="84" t="s">
        <v>163</v>
      </c>
      <c r="U190" s="89"/>
      <c r="V190" s="89"/>
      <c r="W190" s="84"/>
      <c r="X190" s="84" t="s">
        <v>135</v>
      </c>
      <c r="Y190" s="89" t="s">
        <v>644</v>
      </c>
      <c r="Z190" s="89" t="s">
        <v>645</v>
      </c>
      <c r="AA190" s="89"/>
      <c r="AB190" s="89"/>
      <c r="AC190" s="89" t="s">
        <v>195</v>
      </c>
      <c r="AD190" s="89"/>
      <c r="AE190" s="89"/>
      <c r="AF190" s="92" t="s">
        <v>139</v>
      </c>
      <c r="AG190" s="86">
        <v>46062</v>
      </c>
      <c r="AH190" s="84" t="s">
        <v>70</v>
      </c>
      <c r="AI190" s="92" t="s">
        <v>140</v>
      </c>
      <c r="AJ190" s="89"/>
    </row>
    <row r="191" spans="1:36" ht="15.75" customHeight="1" x14ac:dyDescent="0.2">
      <c r="A191" s="78">
        <v>190</v>
      </c>
      <c r="B191" s="79">
        <v>46113</v>
      </c>
      <c r="C191" s="95">
        <v>2</v>
      </c>
      <c r="D191" s="80"/>
      <c r="E191" s="81" t="str">
        <f ca="1">IFERROR(__xludf.DUMMYFUNCTION("IF(G191="""","""",FILTER(Especie!$A$2:$A$982,Especie!$H$2:$H$982=G191))"),"FPVA_019")</f>
        <v>FPVA_019</v>
      </c>
      <c r="F191" s="59" t="s">
        <v>124</v>
      </c>
      <c r="G191" s="87" t="s">
        <v>248</v>
      </c>
      <c r="H191" s="88" t="s">
        <v>595</v>
      </c>
      <c r="J191" s="59" t="s">
        <v>144</v>
      </c>
      <c r="L191" s="88" t="s">
        <v>725</v>
      </c>
      <c r="M191" s="84" t="s">
        <v>146</v>
      </c>
      <c r="N191" s="84" t="s">
        <v>147</v>
      </c>
      <c r="O191" s="84" t="s">
        <v>161</v>
      </c>
      <c r="P191" s="84" t="s">
        <v>350</v>
      </c>
      <c r="Q191" s="89">
        <v>500</v>
      </c>
      <c r="R191" s="84" t="s">
        <v>186</v>
      </c>
      <c r="S191" s="89"/>
      <c r="T191" s="84" t="s">
        <v>214</v>
      </c>
      <c r="U191" s="89"/>
      <c r="V191" s="89"/>
      <c r="W191" s="84"/>
      <c r="X191" s="84" t="s">
        <v>252</v>
      </c>
      <c r="Y191" s="89" t="s">
        <v>136</v>
      </c>
      <c r="Z191" s="89" t="s">
        <v>726</v>
      </c>
      <c r="AA191" s="89" t="s">
        <v>293</v>
      </c>
      <c r="AB191" s="89"/>
      <c r="AC191" s="89" t="s">
        <v>195</v>
      </c>
      <c r="AD191" s="89"/>
      <c r="AE191" s="89"/>
      <c r="AF191" s="92" t="s">
        <v>139</v>
      </c>
      <c r="AG191" s="86">
        <v>46062</v>
      </c>
      <c r="AH191" s="84" t="s">
        <v>70</v>
      </c>
      <c r="AI191" s="92" t="s">
        <v>140</v>
      </c>
      <c r="AJ191" s="89"/>
    </row>
    <row r="192" spans="1:36" ht="15.75" customHeight="1" x14ac:dyDescent="0.2">
      <c r="A192" s="78">
        <v>191</v>
      </c>
      <c r="B192" s="79">
        <v>46113</v>
      </c>
      <c r="C192" s="80">
        <v>3</v>
      </c>
      <c r="D192" s="80"/>
      <c r="E192" s="81" t="str">
        <f ca="1">IFERROR(__xludf.DUMMYFUNCTION("IF(G192="""","""",FILTER(Especie!$A$2:$A$982,Especie!$H$2:$H$982=G192))"),"FPVA_002")</f>
        <v>FPVA_002</v>
      </c>
      <c r="F192" s="48" t="s">
        <v>166</v>
      </c>
      <c r="G192" s="90" t="s">
        <v>167</v>
      </c>
      <c r="H192" s="91" t="s">
        <v>168</v>
      </c>
      <c r="I192" s="91"/>
      <c r="J192" s="48" t="s">
        <v>169</v>
      </c>
      <c r="L192" s="59" t="s">
        <v>727</v>
      </c>
      <c r="M192" s="97" t="s">
        <v>171</v>
      </c>
      <c r="N192" s="97" t="s">
        <v>147</v>
      </c>
      <c r="O192" s="97" t="s">
        <v>172</v>
      </c>
      <c r="P192" s="84" t="s">
        <v>173</v>
      </c>
      <c r="Q192" s="83">
        <v>12</v>
      </c>
      <c r="R192" s="83" t="s">
        <v>174</v>
      </c>
      <c r="S192" s="83"/>
      <c r="T192" s="84" t="s">
        <v>214</v>
      </c>
      <c r="U192" s="89"/>
      <c r="V192" s="89"/>
      <c r="W192" s="97"/>
      <c r="X192" s="84" t="s">
        <v>176</v>
      </c>
      <c r="Y192" s="84" t="s">
        <v>728</v>
      </c>
      <c r="Z192" s="84" t="s">
        <v>729</v>
      </c>
      <c r="AA192" s="84" t="s">
        <v>350</v>
      </c>
      <c r="AB192" s="89"/>
      <c r="AC192" s="84" t="s">
        <v>730</v>
      </c>
      <c r="AD192" s="89"/>
      <c r="AE192" s="83"/>
      <c r="AF192" s="92" t="s">
        <v>139</v>
      </c>
      <c r="AG192" s="86">
        <v>46170</v>
      </c>
      <c r="AH192" s="84" t="s">
        <v>348</v>
      </c>
      <c r="AI192" s="92" t="s">
        <v>140</v>
      </c>
      <c r="AJ192" s="89"/>
    </row>
    <row r="193" spans="1:36" ht="15.75" customHeight="1" x14ac:dyDescent="0.2">
      <c r="A193" s="78">
        <v>192</v>
      </c>
      <c r="B193" s="134">
        <v>46114</v>
      </c>
      <c r="C193" s="95">
        <v>8</v>
      </c>
      <c r="D193" s="80"/>
      <c r="E193" s="81" t="str">
        <f ca="1">IFERROR(__xludf.DUMMYFUNCTION("IF(G193="""","""",FILTER(Especie!$A$2:$A$982,Especie!$H$2:$H$982=G193))"),"FPVA_007")</f>
        <v>FPVA_007</v>
      </c>
      <c r="F193" s="99" t="s">
        <v>166</v>
      </c>
      <c r="G193" s="110" t="s">
        <v>204</v>
      </c>
      <c r="H193" s="99" t="s">
        <v>205</v>
      </c>
      <c r="I193" s="99"/>
      <c r="J193" s="99" t="s">
        <v>169</v>
      </c>
      <c r="K193" s="99"/>
      <c r="L193" s="99" t="s">
        <v>418</v>
      </c>
      <c r="M193" s="99" t="s">
        <v>171</v>
      </c>
      <c r="N193" s="98" t="s">
        <v>147</v>
      </c>
      <c r="O193" s="98" t="s">
        <v>172</v>
      </c>
      <c r="P193" s="98" t="s">
        <v>217</v>
      </c>
      <c r="Q193" s="98">
        <v>8</v>
      </c>
      <c r="R193" s="98" t="s">
        <v>295</v>
      </c>
      <c r="S193" s="98"/>
      <c r="T193" s="98" t="s">
        <v>151</v>
      </c>
      <c r="U193" s="98"/>
      <c r="V193" s="98" t="s">
        <v>208</v>
      </c>
      <c r="W193" s="98"/>
      <c r="X193" s="98" t="s">
        <v>208</v>
      </c>
      <c r="Y193" s="98" t="s">
        <v>193</v>
      </c>
      <c r="Z193" s="98" t="s">
        <v>731</v>
      </c>
      <c r="AA193" s="98" t="s">
        <v>619</v>
      </c>
      <c r="AB193" s="135">
        <v>46167</v>
      </c>
      <c r="AC193" s="102" t="s">
        <v>195</v>
      </c>
      <c r="AD193" s="98" t="s">
        <v>140</v>
      </c>
      <c r="AE193" s="83"/>
      <c r="AF193" s="92" t="s">
        <v>139</v>
      </c>
      <c r="AG193" s="115">
        <v>46167</v>
      </c>
      <c r="AH193" s="89" t="s">
        <v>348</v>
      </c>
      <c r="AI193" s="92" t="s">
        <v>140</v>
      </c>
      <c r="AJ193" s="89"/>
    </row>
    <row r="194" spans="1:36" ht="15.75" customHeight="1" x14ac:dyDescent="0.2">
      <c r="A194" s="78">
        <v>193</v>
      </c>
      <c r="B194" s="79">
        <v>46114</v>
      </c>
      <c r="C194" s="80">
        <v>12</v>
      </c>
      <c r="D194" s="80"/>
      <c r="E194" s="81" t="str">
        <f ca="1">IFERROR(__xludf.DUMMYFUNCTION("IF(G194="""","""",FILTER(Especie!$A$2:$A$982,Especie!$H$2:$H$982=G194))"),"FPVA_011")</f>
        <v>FPVA_011</v>
      </c>
      <c r="F194" s="48" t="s">
        <v>124</v>
      </c>
      <c r="G194" s="90" t="s">
        <v>241</v>
      </c>
      <c r="H194" s="48" t="s">
        <v>242</v>
      </c>
      <c r="I194" s="48"/>
      <c r="J194" s="48" t="s">
        <v>127</v>
      </c>
      <c r="K194" s="88" t="s">
        <v>128</v>
      </c>
      <c r="M194" s="97" t="s">
        <v>130</v>
      </c>
      <c r="N194" s="97" t="s">
        <v>147</v>
      </c>
      <c r="O194" s="97" t="s">
        <v>132</v>
      </c>
      <c r="P194" s="84" t="s">
        <v>237</v>
      </c>
      <c r="Q194" s="83">
        <v>1</v>
      </c>
      <c r="R194" s="83" t="s">
        <v>641</v>
      </c>
      <c r="S194" s="83"/>
      <c r="T194" s="84" t="s">
        <v>151</v>
      </c>
      <c r="U194" s="89"/>
      <c r="V194" s="89"/>
      <c r="W194" s="97"/>
      <c r="X194" s="84" t="s">
        <v>200</v>
      </c>
      <c r="Y194" s="89" t="s">
        <v>246</v>
      </c>
      <c r="Z194" s="89" t="s">
        <v>732</v>
      </c>
      <c r="AA194" s="89"/>
      <c r="AB194" s="89"/>
      <c r="AC194" s="89" t="s">
        <v>165</v>
      </c>
      <c r="AD194" s="89"/>
      <c r="AE194" s="83"/>
      <c r="AF194" s="92" t="s">
        <v>139</v>
      </c>
      <c r="AG194" s="86">
        <v>46162</v>
      </c>
      <c r="AH194" s="84" t="s">
        <v>70</v>
      </c>
      <c r="AI194" s="92" t="s">
        <v>140</v>
      </c>
      <c r="AJ194" s="89"/>
    </row>
    <row r="195" spans="1:36" ht="15.75" customHeight="1" x14ac:dyDescent="0.2">
      <c r="A195" s="78">
        <v>194</v>
      </c>
      <c r="B195" s="79">
        <v>46114</v>
      </c>
      <c r="C195" s="80">
        <v>1</v>
      </c>
      <c r="D195" s="80"/>
      <c r="E195" s="81" t="str">
        <f ca="1">IFERROR(__xludf.DUMMYFUNCTION("IF(G195="""","""",FILTER(Especie!$A$2:$A$982,Especie!$H$2:$H$982=G195))"),"FPVA_005")</f>
        <v>FPVA_005</v>
      </c>
      <c r="F195" s="59" t="s">
        <v>124</v>
      </c>
      <c r="G195" s="87" t="s">
        <v>188</v>
      </c>
      <c r="H195" s="88" t="s">
        <v>189</v>
      </c>
      <c r="J195" s="59" t="s">
        <v>144</v>
      </c>
      <c r="L195" s="88" t="s">
        <v>733</v>
      </c>
      <c r="M195" s="84" t="s">
        <v>146</v>
      </c>
      <c r="N195" s="84" t="s">
        <v>147</v>
      </c>
      <c r="O195" s="84" t="s">
        <v>161</v>
      </c>
      <c r="P195" s="84" t="s">
        <v>133</v>
      </c>
      <c r="Q195" s="89">
        <v>200</v>
      </c>
      <c r="R195" s="84" t="s">
        <v>186</v>
      </c>
      <c r="S195" s="89"/>
      <c r="T195" s="84" t="s">
        <v>151</v>
      </c>
      <c r="U195" s="89"/>
      <c r="V195" s="89"/>
      <c r="W195" s="84"/>
      <c r="X195" s="84" t="s">
        <v>215</v>
      </c>
      <c r="Y195" s="89" t="s">
        <v>342</v>
      </c>
      <c r="Z195" s="89" t="s">
        <v>734</v>
      </c>
      <c r="AA195" s="89"/>
      <c r="AB195" s="89"/>
      <c r="AC195" s="98" t="s">
        <v>138</v>
      </c>
      <c r="AD195" s="98"/>
      <c r="AE195" s="98"/>
      <c r="AF195" s="92" t="s">
        <v>139</v>
      </c>
      <c r="AG195" s="86">
        <v>46062</v>
      </c>
      <c r="AH195" s="84" t="s">
        <v>70</v>
      </c>
      <c r="AI195" s="92" t="s">
        <v>140</v>
      </c>
      <c r="AJ195" s="89"/>
    </row>
    <row r="196" spans="1:36" ht="15.75" customHeight="1" x14ac:dyDescent="0.2">
      <c r="A196" s="78">
        <v>195</v>
      </c>
      <c r="B196" s="79">
        <v>46114</v>
      </c>
      <c r="C196" s="80">
        <v>1</v>
      </c>
      <c r="D196" s="80"/>
      <c r="E196" s="81" t="str">
        <f ca="1">IFERROR(__xludf.DUMMYFUNCTION("IF(G196="""","""",FILTER(Especie!$A$2:$A$982,Especie!$H$2:$H$982=G196))"),"FPVA_064")</f>
        <v>FPVA_064</v>
      </c>
      <c r="F196" s="59" t="s">
        <v>166</v>
      </c>
      <c r="G196" s="87" t="s">
        <v>735</v>
      </c>
      <c r="H196" s="88" t="s">
        <v>736</v>
      </c>
      <c r="J196" s="59" t="s">
        <v>169</v>
      </c>
      <c r="L196" s="88" t="s">
        <v>712</v>
      </c>
      <c r="M196" s="84" t="s">
        <v>171</v>
      </c>
      <c r="N196" s="84" t="s">
        <v>147</v>
      </c>
      <c r="O196" s="84" t="s">
        <v>172</v>
      </c>
      <c r="P196" s="84" t="s">
        <v>217</v>
      </c>
      <c r="Q196" s="89">
        <v>1</v>
      </c>
      <c r="R196" s="84" t="s">
        <v>295</v>
      </c>
      <c r="S196" s="89"/>
      <c r="T196" s="84" t="s">
        <v>151</v>
      </c>
      <c r="U196" s="89"/>
      <c r="V196" s="89"/>
      <c r="W196" s="84"/>
      <c r="X196" s="84" t="s">
        <v>176</v>
      </c>
      <c r="Y196" s="89" t="s">
        <v>737</v>
      </c>
      <c r="Z196" s="89" t="s">
        <v>738</v>
      </c>
      <c r="AA196" s="89"/>
      <c r="AB196" s="89"/>
      <c r="AC196" s="98" t="s">
        <v>138</v>
      </c>
      <c r="AD196" s="98"/>
      <c r="AE196" s="98"/>
      <c r="AF196" s="92" t="s">
        <v>139</v>
      </c>
      <c r="AG196" s="86">
        <v>46062</v>
      </c>
      <c r="AH196" s="84" t="s">
        <v>70</v>
      </c>
      <c r="AI196" s="92" t="s">
        <v>140</v>
      </c>
      <c r="AJ196" s="89"/>
    </row>
    <row r="197" spans="1:36" ht="15.75" customHeight="1" x14ac:dyDescent="0.2">
      <c r="A197" s="78">
        <v>196</v>
      </c>
      <c r="B197" s="79">
        <v>46114</v>
      </c>
      <c r="C197" s="95">
        <v>2</v>
      </c>
      <c r="D197" s="80"/>
      <c r="E197" s="81" t="str">
        <f ca="1">IFERROR(__xludf.DUMMYFUNCTION("IF(G197="""","""",FILTER(Especie!$A$2:$A$982,Especie!$H$2:$H$982=G197))"),"FPVA_050")</f>
        <v>FPVA_050</v>
      </c>
      <c r="F197" s="59" t="s">
        <v>124</v>
      </c>
      <c r="G197" s="87" t="s">
        <v>607</v>
      </c>
      <c r="H197" s="88" t="s">
        <v>608</v>
      </c>
      <c r="J197" s="59" t="s">
        <v>169</v>
      </c>
      <c r="L197" s="88" t="s">
        <v>714</v>
      </c>
      <c r="M197" s="84" t="s">
        <v>269</v>
      </c>
      <c r="N197" s="84" t="s">
        <v>147</v>
      </c>
      <c r="O197" s="84" t="s">
        <v>148</v>
      </c>
      <c r="P197" s="84" t="s">
        <v>149</v>
      </c>
      <c r="Q197" s="89">
        <v>1</v>
      </c>
      <c r="R197" s="84" t="s">
        <v>174</v>
      </c>
      <c r="S197" s="89"/>
      <c r="T197" s="84" t="s">
        <v>151</v>
      </c>
      <c r="U197" s="89"/>
      <c r="V197" s="89"/>
      <c r="W197" s="84"/>
      <c r="X197" s="84" t="s">
        <v>135</v>
      </c>
      <c r="Y197" s="89" t="s">
        <v>719</v>
      </c>
      <c r="Z197" s="89" t="s">
        <v>715</v>
      </c>
      <c r="AA197" s="89" t="s">
        <v>536</v>
      </c>
      <c r="AB197" s="89"/>
      <c r="AC197" s="89" t="s">
        <v>195</v>
      </c>
      <c r="AD197" s="89"/>
      <c r="AE197" s="89"/>
      <c r="AF197" s="92" t="s">
        <v>139</v>
      </c>
      <c r="AG197" s="86">
        <v>46062</v>
      </c>
      <c r="AH197" s="84" t="s">
        <v>70</v>
      </c>
      <c r="AI197" s="92" t="s">
        <v>140</v>
      </c>
      <c r="AJ197" s="89"/>
    </row>
    <row r="198" spans="1:36" ht="15.75" customHeight="1" x14ac:dyDescent="0.2">
      <c r="A198" s="78">
        <v>197</v>
      </c>
      <c r="B198" s="79">
        <v>46115</v>
      </c>
      <c r="C198" s="95">
        <v>2</v>
      </c>
      <c r="D198" s="80"/>
      <c r="E198" s="81" t="str">
        <f ca="1">IFERROR(__xludf.DUMMYFUNCTION("IF(G198="""","""",FILTER(Especie!$A$2:$A$982,Especie!$H$2:$H$982=G198))"),"FPVA_050")</f>
        <v>FPVA_050</v>
      </c>
      <c r="F198" s="59" t="s">
        <v>124</v>
      </c>
      <c r="G198" s="87" t="s">
        <v>607</v>
      </c>
      <c r="H198" s="88" t="s">
        <v>608</v>
      </c>
      <c r="J198" s="59" t="s">
        <v>169</v>
      </c>
      <c r="L198" s="88" t="s">
        <v>714</v>
      </c>
      <c r="M198" s="84" t="s">
        <v>269</v>
      </c>
      <c r="N198" s="84" t="s">
        <v>147</v>
      </c>
      <c r="O198" s="84" t="s">
        <v>148</v>
      </c>
      <c r="P198" s="84" t="s">
        <v>149</v>
      </c>
      <c r="Q198" s="89">
        <v>1</v>
      </c>
      <c r="R198" s="84" t="s">
        <v>174</v>
      </c>
      <c r="S198" s="89"/>
      <c r="T198" s="84" t="s">
        <v>151</v>
      </c>
      <c r="U198" s="89"/>
      <c r="V198" s="89"/>
      <c r="W198" s="84"/>
      <c r="X198" s="84" t="s">
        <v>135</v>
      </c>
      <c r="Y198" s="89" t="s">
        <v>719</v>
      </c>
      <c r="Z198" s="89" t="s">
        <v>715</v>
      </c>
      <c r="AA198" s="89" t="s">
        <v>536</v>
      </c>
      <c r="AB198" s="89"/>
      <c r="AC198" s="89" t="s">
        <v>195</v>
      </c>
      <c r="AD198" s="89"/>
      <c r="AE198" s="89"/>
      <c r="AF198" s="92" t="s">
        <v>139</v>
      </c>
      <c r="AG198" s="86">
        <v>46062</v>
      </c>
      <c r="AH198" s="84" t="s">
        <v>70</v>
      </c>
      <c r="AI198" s="92" t="s">
        <v>140</v>
      </c>
      <c r="AJ198" s="89"/>
    </row>
    <row r="199" spans="1:36" ht="15.75" customHeight="1" x14ac:dyDescent="0.2">
      <c r="A199" s="78">
        <v>198</v>
      </c>
      <c r="B199" s="79">
        <v>46115</v>
      </c>
      <c r="C199" s="95">
        <v>2</v>
      </c>
      <c r="D199" s="80"/>
      <c r="E199" s="81" t="str">
        <f ca="1">IFERROR(__xludf.DUMMYFUNCTION("IF(G199="""","""",FILTER(Especie!$A$2:$A$982,Especie!$H$2:$H$982=G199))"),"FPVA_007")</f>
        <v>FPVA_007</v>
      </c>
      <c r="F199" s="59" t="s">
        <v>166</v>
      </c>
      <c r="G199" s="87" t="s">
        <v>204</v>
      </c>
      <c r="H199" s="88" t="s">
        <v>205</v>
      </c>
      <c r="J199" s="59" t="s">
        <v>169</v>
      </c>
      <c r="L199" s="88" t="s">
        <v>626</v>
      </c>
      <c r="M199" s="84" t="s">
        <v>171</v>
      </c>
      <c r="N199" s="84" t="s">
        <v>131</v>
      </c>
      <c r="O199" s="84" t="s">
        <v>172</v>
      </c>
      <c r="P199" s="84" t="s">
        <v>217</v>
      </c>
      <c r="Q199" s="89">
        <v>9</v>
      </c>
      <c r="R199" s="84" t="s">
        <v>295</v>
      </c>
      <c r="S199" s="89"/>
      <c r="T199" s="84" t="s">
        <v>151</v>
      </c>
      <c r="U199" s="89"/>
      <c r="V199" s="89"/>
      <c r="W199" s="84"/>
      <c r="X199" s="84" t="s">
        <v>739</v>
      </c>
      <c r="Y199" s="89"/>
      <c r="Z199" s="89" t="s">
        <v>628</v>
      </c>
      <c r="AA199" s="89"/>
      <c r="AB199" s="89"/>
      <c r="AC199" s="89" t="s">
        <v>195</v>
      </c>
      <c r="AD199" s="89"/>
      <c r="AE199" s="89"/>
      <c r="AF199" s="92" t="s">
        <v>139</v>
      </c>
      <c r="AG199" s="86">
        <v>46062</v>
      </c>
      <c r="AH199" s="84" t="s">
        <v>70</v>
      </c>
      <c r="AI199" s="92" t="s">
        <v>140</v>
      </c>
      <c r="AJ199" s="89"/>
    </row>
    <row r="200" spans="1:36" ht="15.75" customHeight="1" x14ac:dyDescent="0.2">
      <c r="A200" s="78">
        <v>199</v>
      </c>
      <c r="B200" s="142">
        <v>46115</v>
      </c>
      <c r="C200" s="80">
        <v>3</v>
      </c>
      <c r="D200" s="80"/>
      <c r="E200" s="81" t="str">
        <f ca="1">IFERROR(__xludf.DUMMYFUNCTION("IF(G200="""","""",FILTER(Especie!$A$2:$A$982,Especie!$H$2:$H$982=G200))"),"FPVA_034")</f>
        <v>FPVA_034</v>
      </c>
      <c r="F200" s="59" t="s">
        <v>166</v>
      </c>
      <c r="G200" s="87" t="s">
        <v>416</v>
      </c>
      <c r="H200" s="88" t="s">
        <v>649</v>
      </c>
      <c r="J200" s="59" t="s">
        <v>169</v>
      </c>
      <c r="L200" s="88" t="s">
        <v>615</v>
      </c>
      <c r="M200" s="84" t="s">
        <v>171</v>
      </c>
      <c r="N200" s="84" t="s">
        <v>147</v>
      </c>
      <c r="O200" s="84" t="s">
        <v>172</v>
      </c>
      <c r="P200" s="84" t="s">
        <v>173</v>
      </c>
      <c r="Q200" s="89">
        <v>12</v>
      </c>
      <c r="R200" s="84" t="s">
        <v>174</v>
      </c>
      <c r="S200" s="89"/>
      <c r="T200" s="84" t="s">
        <v>151</v>
      </c>
      <c r="U200" s="89"/>
      <c r="V200" s="89"/>
      <c r="W200" s="84"/>
      <c r="X200" s="84" t="s">
        <v>176</v>
      </c>
      <c r="Y200" s="89"/>
      <c r="Z200" s="89"/>
      <c r="AA200" s="89" t="s">
        <v>350</v>
      </c>
      <c r="AB200" s="89"/>
      <c r="AC200" s="89" t="s">
        <v>740</v>
      </c>
      <c r="AD200" s="89"/>
      <c r="AE200" s="89"/>
      <c r="AF200" s="92" t="s">
        <v>139</v>
      </c>
      <c r="AG200" s="86">
        <v>46170</v>
      </c>
      <c r="AH200" s="84" t="s">
        <v>348</v>
      </c>
      <c r="AI200" s="92" t="s">
        <v>140</v>
      </c>
      <c r="AJ200" s="89"/>
    </row>
    <row r="201" spans="1:36" ht="15.75" customHeight="1" x14ac:dyDescent="0.2">
      <c r="A201" s="78">
        <v>200</v>
      </c>
      <c r="B201" s="79">
        <v>46119</v>
      </c>
      <c r="C201" s="95">
        <v>2</v>
      </c>
      <c r="D201" s="80"/>
      <c r="E201" s="81" t="str">
        <f ca="1">IFERROR(__xludf.DUMMYFUNCTION("IF(G201="""","""",FILTER(Especie!$A$2:$A$982,Especie!$H$2:$H$982=G201))"),"FPVA_050")</f>
        <v>FPVA_050</v>
      </c>
      <c r="F201" s="59" t="s">
        <v>124</v>
      </c>
      <c r="G201" s="87" t="s">
        <v>607</v>
      </c>
      <c r="H201" s="88" t="s">
        <v>608</v>
      </c>
      <c r="J201" s="59" t="s">
        <v>169</v>
      </c>
      <c r="L201" s="88" t="s">
        <v>714</v>
      </c>
      <c r="M201" s="84" t="s">
        <v>269</v>
      </c>
      <c r="N201" s="84" t="s">
        <v>147</v>
      </c>
      <c r="O201" s="84" t="s">
        <v>148</v>
      </c>
      <c r="P201" s="84" t="s">
        <v>149</v>
      </c>
      <c r="Q201" s="89">
        <v>1</v>
      </c>
      <c r="R201" s="84" t="s">
        <v>174</v>
      </c>
      <c r="S201" s="89"/>
      <c r="T201" s="84" t="s">
        <v>151</v>
      </c>
      <c r="U201" s="89"/>
      <c r="V201" s="89"/>
      <c r="W201" s="84"/>
      <c r="X201" s="84" t="s">
        <v>135</v>
      </c>
      <c r="Y201" s="89" t="s">
        <v>719</v>
      </c>
      <c r="Z201" s="89" t="s">
        <v>715</v>
      </c>
      <c r="AA201" s="89" t="s">
        <v>536</v>
      </c>
      <c r="AB201" s="89"/>
      <c r="AC201" s="89" t="s">
        <v>195</v>
      </c>
      <c r="AD201" s="89"/>
      <c r="AE201" s="89"/>
      <c r="AF201" s="92" t="s">
        <v>139</v>
      </c>
      <c r="AG201" s="86">
        <v>46062</v>
      </c>
      <c r="AH201" s="84" t="s">
        <v>70</v>
      </c>
      <c r="AI201" s="92" t="s">
        <v>140</v>
      </c>
      <c r="AJ201" s="89"/>
    </row>
    <row r="202" spans="1:36" ht="15.75" customHeight="1" x14ac:dyDescent="0.2">
      <c r="A202" s="78">
        <v>201</v>
      </c>
      <c r="B202" s="79">
        <v>46120</v>
      </c>
      <c r="C202" s="95">
        <v>2</v>
      </c>
      <c r="D202" s="80"/>
      <c r="E202" s="81" t="str">
        <f ca="1">IFERROR(__xludf.DUMMYFUNCTION("IF(G202="""","""",FILTER(Especie!$A$2:$A$982,Especie!$H$2:$H$982=G202))"),"FPVA_050")</f>
        <v>FPVA_050</v>
      </c>
      <c r="F202" s="59" t="s">
        <v>124</v>
      </c>
      <c r="G202" s="87" t="s">
        <v>607</v>
      </c>
      <c r="H202" s="88" t="s">
        <v>608</v>
      </c>
      <c r="J202" s="59" t="s">
        <v>169</v>
      </c>
      <c r="L202" s="88" t="s">
        <v>714</v>
      </c>
      <c r="M202" s="84" t="s">
        <v>269</v>
      </c>
      <c r="N202" s="84" t="s">
        <v>147</v>
      </c>
      <c r="O202" s="84" t="s">
        <v>148</v>
      </c>
      <c r="P202" s="84" t="s">
        <v>149</v>
      </c>
      <c r="Q202" s="89">
        <v>1</v>
      </c>
      <c r="R202" s="84" t="s">
        <v>174</v>
      </c>
      <c r="S202" s="89"/>
      <c r="T202" s="84" t="s">
        <v>151</v>
      </c>
      <c r="U202" s="89"/>
      <c r="V202" s="89"/>
      <c r="W202" s="84"/>
      <c r="X202" s="84" t="s">
        <v>135</v>
      </c>
      <c r="Y202" s="89" t="s">
        <v>719</v>
      </c>
      <c r="Z202" s="89" t="s">
        <v>715</v>
      </c>
      <c r="AA202" s="89" t="s">
        <v>536</v>
      </c>
      <c r="AB202" s="89"/>
      <c r="AC202" s="89" t="s">
        <v>195</v>
      </c>
      <c r="AD202" s="89"/>
      <c r="AE202" s="89"/>
      <c r="AF202" s="92" t="s">
        <v>139</v>
      </c>
      <c r="AG202" s="86">
        <v>46062</v>
      </c>
      <c r="AH202" s="84" t="s">
        <v>70</v>
      </c>
      <c r="AI202" s="92" t="s">
        <v>140</v>
      </c>
      <c r="AJ202" s="89"/>
    </row>
    <row r="203" spans="1:36" ht="15.75" customHeight="1" x14ac:dyDescent="0.2">
      <c r="A203" s="78">
        <v>202</v>
      </c>
      <c r="B203" s="79">
        <v>46126</v>
      </c>
      <c r="C203" s="80">
        <v>12</v>
      </c>
      <c r="D203" s="80"/>
      <c r="E203" s="81" t="str">
        <f ca="1">IFERROR(__xludf.DUMMYFUNCTION("IF(G203="""","""",FILTER(Especie!$A$2:$A$982,Especie!$H$2:$H$982=G203))"),"FPVA_068")</f>
        <v>FPVA_068</v>
      </c>
      <c r="F203" s="48" t="s">
        <v>124</v>
      </c>
      <c r="G203" s="90" t="s">
        <v>741</v>
      </c>
      <c r="H203" s="48" t="s">
        <v>742</v>
      </c>
      <c r="I203" s="48"/>
      <c r="J203" s="48" t="s">
        <v>144</v>
      </c>
      <c r="L203" s="88" t="s">
        <v>743</v>
      </c>
      <c r="M203" s="97" t="s">
        <v>490</v>
      </c>
      <c r="N203" s="97" t="s">
        <v>147</v>
      </c>
      <c r="O203" s="97" t="s">
        <v>148</v>
      </c>
      <c r="P203" s="84" t="s">
        <v>149</v>
      </c>
      <c r="Q203" s="83">
        <v>16</v>
      </c>
      <c r="R203" s="83" t="s">
        <v>744</v>
      </c>
      <c r="S203" s="83"/>
      <c r="T203" s="84" t="s">
        <v>163</v>
      </c>
      <c r="U203" s="89"/>
      <c r="V203" s="89"/>
      <c r="W203" s="97"/>
      <c r="X203" s="84" t="s">
        <v>215</v>
      </c>
      <c r="Y203" s="89" t="s">
        <v>312</v>
      </c>
      <c r="Z203" s="89" t="s">
        <v>745</v>
      </c>
      <c r="AA203" s="89"/>
      <c r="AB203" s="89"/>
      <c r="AC203" s="89" t="s">
        <v>165</v>
      </c>
      <c r="AD203" s="89"/>
      <c r="AE203" s="83"/>
      <c r="AF203" s="92" t="s">
        <v>139</v>
      </c>
      <c r="AG203" s="86">
        <v>46162</v>
      </c>
      <c r="AH203" s="84" t="s">
        <v>70</v>
      </c>
      <c r="AI203" s="92" t="s">
        <v>140</v>
      </c>
      <c r="AJ203" s="89"/>
    </row>
    <row r="204" spans="1:36" ht="15.75" customHeight="1" x14ac:dyDescent="0.2">
      <c r="A204" s="78">
        <v>203</v>
      </c>
      <c r="B204" s="79">
        <v>46127</v>
      </c>
      <c r="C204" s="80">
        <v>1</v>
      </c>
      <c r="D204" s="80"/>
      <c r="E204" s="81" t="str">
        <f ca="1">IFERROR(__xludf.DUMMYFUNCTION("IF(G204="""","""",FILTER(Especie!$A$2:$A$982,Especie!$H$2:$H$982=G204))"),"FPVA_008")</f>
        <v>FPVA_008</v>
      </c>
      <c r="F204" s="59" t="s">
        <v>124</v>
      </c>
      <c r="G204" s="87" t="s">
        <v>228</v>
      </c>
      <c r="H204" s="88" t="s">
        <v>746</v>
      </c>
      <c r="J204" s="59" t="s">
        <v>144</v>
      </c>
      <c r="L204" s="88" t="s">
        <v>747</v>
      </c>
      <c r="M204" s="84" t="s">
        <v>146</v>
      </c>
      <c r="N204" s="84" t="s">
        <v>147</v>
      </c>
      <c r="O204" s="84" t="s">
        <v>161</v>
      </c>
      <c r="P204" s="84" t="s">
        <v>149</v>
      </c>
      <c r="Q204" s="89">
        <v>100</v>
      </c>
      <c r="R204" s="84" t="s">
        <v>186</v>
      </c>
      <c r="S204" s="89"/>
      <c r="T204" s="84" t="s">
        <v>151</v>
      </c>
      <c r="U204" s="89"/>
      <c r="V204" s="89"/>
      <c r="W204" s="84"/>
      <c r="X204" s="84" t="s">
        <v>215</v>
      </c>
      <c r="Y204" s="89" t="s">
        <v>342</v>
      </c>
      <c r="Z204" s="89" t="s">
        <v>748</v>
      </c>
      <c r="AA204" s="89"/>
      <c r="AB204" s="89"/>
      <c r="AC204" s="98" t="s">
        <v>138</v>
      </c>
      <c r="AD204" s="98"/>
      <c r="AE204" s="98"/>
      <c r="AF204" s="92" t="s">
        <v>139</v>
      </c>
      <c r="AG204" s="86">
        <v>46062</v>
      </c>
      <c r="AH204" s="84" t="s">
        <v>70</v>
      </c>
      <c r="AI204" s="92" t="s">
        <v>140</v>
      </c>
      <c r="AJ204" s="89"/>
    </row>
    <row r="205" spans="1:36" ht="15.75" customHeight="1" x14ac:dyDescent="0.2">
      <c r="A205" s="78">
        <v>204</v>
      </c>
      <c r="B205" s="142">
        <v>46129</v>
      </c>
      <c r="C205" s="144">
        <v>3</v>
      </c>
      <c r="D205" s="80"/>
      <c r="E205" s="81" t="str">
        <f ca="1">IFERROR(__xludf.DUMMYFUNCTION("IF(G205="""","""",FILTER(Especie!$A$2:$A$982,Especie!$H$2:$H$982=G205))"),"FPVA_002")</f>
        <v>FPVA_002</v>
      </c>
      <c r="F205" s="48" t="s">
        <v>166</v>
      </c>
      <c r="G205" s="90" t="s">
        <v>167</v>
      </c>
      <c r="H205" s="99" t="s">
        <v>168</v>
      </c>
      <c r="I205" s="99"/>
      <c r="J205" s="91" t="s">
        <v>169</v>
      </c>
      <c r="K205" s="99"/>
      <c r="L205" s="99" t="s">
        <v>749</v>
      </c>
      <c r="M205" s="98" t="s">
        <v>171</v>
      </c>
      <c r="N205" s="98" t="s">
        <v>147</v>
      </c>
      <c r="O205" s="98" t="s">
        <v>172</v>
      </c>
      <c r="P205" s="98" t="s">
        <v>217</v>
      </c>
      <c r="Q205" s="98">
        <v>6</v>
      </c>
      <c r="R205" s="98" t="s">
        <v>174</v>
      </c>
      <c r="S205" s="89"/>
      <c r="T205" s="98" t="s">
        <v>214</v>
      </c>
      <c r="U205" s="98"/>
      <c r="V205" s="98"/>
      <c r="W205" s="98"/>
      <c r="X205" s="84" t="s">
        <v>176</v>
      </c>
      <c r="Y205" s="84" t="s">
        <v>728</v>
      </c>
      <c r="Z205" s="98"/>
      <c r="AA205" s="98" t="s">
        <v>350</v>
      </c>
      <c r="AB205" s="98"/>
      <c r="AC205" s="98" t="s">
        <v>195</v>
      </c>
      <c r="AD205" s="98"/>
      <c r="AE205" s="98"/>
      <c r="AF205" s="92" t="s">
        <v>139</v>
      </c>
      <c r="AG205" s="86">
        <v>46170</v>
      </c>
      <c r="AH205" s="84" t="s">
        <v>348</v>
      </c>
      <c r="AI205" s="92" t="s">
        <v>140</v>
      </c>
      <c r="AJ205" s="89"/>
    </row>
    <row r="206" spans="1:36" ht="15.75" customHeight="1" x14ac:dyDescent="0.2">
      <c r="A206" s="78">
        <v>205</v>
      </c>
      <c r="B206" s="79">
        <v>46130</v>
      </c>
      <c r="C206" s="80">
        <v>1</v>
      </c>
      <c r="D206" s="80"/>
      <c r="E206" s="81" t="str">
        <f ca="1">IFERROR(__xludf.DUMMYFUNCTION("IF(G206="""","""",FILTER(Especie!$A$2:$A$982,Especie!$H$2:$H$982=G206))"),"FPVA_064")</f>
        <v>FPVA_064</v>
      </c>
      <c r="F206" s="59" t="s">
        <v>166</v>
      </c>
      <c r="G206" s="87" t="s">
        <v>735</v>
      </c>
      <c r="H206" s="88" t="s">
        <v>736</v>
      </c>
      <c r="J206" s="59" t="s">
        <v>169</v>
      </c>
      <c r="L206" s="88" t="s">
        <v>712</v>
      </c>
      <c r="M206" s="84" t="s">
        <v>171</v>
      </c>
      <c r="N206" s="84" t="s">
        <v>147</v>
      </c>
      <c r="O206" s="84" t="s">
        <v>172</v>
      </c>
      <c r="P206" s="84" t="s">
        <v>217</v>
      </c>
      <c r="Q206" s="89">
        <v>2</v>
      </c>
      <c r="R206" s="84" t="s">
        <v>295</v>
      </c>
      <c r="S206" s="89"/>
      <c r="T206" s="84" t="s">
        <v>151</v>
      </c>
      <c r="U206" s="89"/>
      <c r="V206" s="89"/>
      <c r="W206" s="84"/>
      <c r="X206" s="84" t="s">
        <v>176</v>
      </c>
      <c r="Y206" s="89" t="s">
        <v>750</v>
      </c>
      <c r="Z206" s="89" t="s">
        <v>751</v>
      </c>
      <c r="AA206" s="89"/>
      <c r="AB206" s="89"/>
      <c r="AC206" s="98" t="s">
        <v>138</v>
      </c>
      <c r="AD206" s="98"/>
      <c r="AE206" s="98"/>
      <c r="AF206" s="92" t="s">
        <v>139</v>
      </c>
      <c r="AG206" s="86">
        <v>46062</v>
      </c>
      <c r="AH206" s="84" t="s">
        <v>70</v>
      </c>
      <c r="AI206" s="92" t="s">
        <v>140</v>
      </c>
      <c r="AJ206" s="89"/>
    </row>
    <row r="207" spans="1:36" ht="15.75" customHeight="1" x14ac:dyDescent="0.2">
      <c r="A207" s="78">
        <v>206</v>
      </c>
      <c r="B207" s="79">
        <v>46131</v>
      </c>
      <c r="C207" s="80">
        <v>12</v>
      </c>
      <c r="D207" s="80"/>
      <c r="E207" s="81" t="str">
        <f ca="1">IFERROR(__xludf.DUMMYFUNCTION("IF(G207="""","""",FILTER(Especie!$A$2:$A$982,Especie!$H$2:$H$982=G207))"),"FPVA_068")</f>
        <v>FPVA_068</v>
      </c>
      <c r="F207" s="48" t="s">
        <v>124</v>
      </c>
      <c r="G207" s="90" t="s">
        <v>741</v>
      </c>
      <c r="H207" s="48" t="s">
        <v>742</v>
      </c>
      <c r="I207" s="48"/>
      <c r="J207" s="48" t="s">
        <v>144</v>
      </c>
      <c r="L207" s="88" t="s">
        <v>743</v>
      </c>
      <c r="M207" s="97" t="s">
        <v>490</v>
      </c>
      <c r="N207" s="97" t="s">
        <v>147</v>
      </c>
      <c r="O207" s="97" t="s">
        <v>148</v>
      </c>
      <c r="P207" s="84" t="s">
        <v>149</v>
      </c>
      <c r="Q207" s="83">
        <v>12</v>
      </c>
      <c r="R207" s="83" t="s">
        <v>744</v>
      </c>
      <c r="S207" s="83"/>
      <c r="T207" s="84" t="s">
        <v>151</v>
      </c>
      <c r="U207" s="89"/>
      <c r="V207" s="89"/>
      <c r="W207" s="97"/>
      <c r="X207" s="84" t="s">
        <v>215</v>
      </c>
      <c r="Y207" s="89" t="s">
        <v>752</v>
      </c>
      <c r="Z207" s="89" t="s">
        <v>753</v>
      </c>
      <c r="AA207" s="89"/>
      <c r="AB207" s="89"/>
      <c r="AC207" s="89" t="s">
        <v>165</v>
      </c>
      <c r="AD207" s="89"/>
      <c r="AE207" s="83"/>
      <c r="AF207" s="92" t="s">
        <v>139</v>
      </c>
      <c r="AG207" s="86">
        <v>46162</v>
      </c>
      <c r="AH207" s="84" t="s">
        <v>70</v>
      </c>
      <c r="AI207" s="92" t="s">
        <v>140</v>
      </c>
      <c r="AJ207" s="89"/>
    </row>
    <row r="208" spans="1:36" ht="15.75" customHeight="1" x14ac:dyDescent="0.2">
      <c r="A208" s="78">
        <v>207</v>
      </c>
      <c r="B208" s="79">
        <v>46134</v>
      </c>
      <c r="C208" s="80">
        <v>12</v>
      </c>
      <c r="D208" s="80"/>
      <c r="E208" s="81" t="str">
        <f ca="1">IFERROR(__xludf.DUMMYFUNCTION("IF(G208="""","""",FILTER(Especie!$A$2:$A$982,Especie!$H$2:$H$982=G208))"),"FPVA_069")</f>
        <v>FPVA_069</v>
      </c>
      <c r="F208" s="48" t="s">
        <v>124</v>
      </c>
      <c r="G208" s="90" t="s">
        <v>754</v>
      </c>
      <c r="H208" s="48" t="s">
        <v>755</v>
      </c>
      <c r="I208" s="48"/>
      <c r="J208" s="48" t="s">
        <v>169</v>
      </c>
      <c r="L208" s="88" t="s">
        <v>756</v>
      </c>
      <c r="M208" s="97" t="s">
        <v>185</v>
      </c>
      <c r="N208" s="97" t="s">
        <v>131</v>
      </c>
      <c r="O208" s="97" t="s">
        <v>161</v>
      </c>
      <c r="P208" s="84" t="s">
        <v>133</v>
      </c>
      <c r="Q208" s="83">
        <v>2</v>
      </c>
      <c r="R208" s="83" t="s">
        <v>162</v>
      </c>
      <c r="S208" s="83"/>
      <c r="T208" s="84" t="s">
        <v>151</v>
      </c>
      <c r="U208" s="89"/>
      <c r="V208" s="89"/>
      <c r="W208" s="97"/>
      <c r="X208" s="84" t="s">
        <v>200</v>
      </c>
      <c r="Y208" s="89" t="s">
        <v>700</v>
      </c>
      <c r="Z208" s="89" t="s">
        <v>757</v>
      </c>
      <c r="AA208" s="89"/>
      <c r="AB208" s="89"/>
      <c r="AC208" s="89" t="s">
        <v>758</v>
      </c>
      <c r="AD208" s="89"/>
      <c r="AE208" s="83"/>
      <c r="AF208" s="92" t="s">
        <v>139</v>
      </c>
      <c r="AG208" s="86">
        <v>46162</v>
      </c>
      <c r="AH208" s="84" t="s">
        <v>70</v>
      </c>
      <c r="AI208" s="92" t="s">
        <v>140</v>
      </c>
      <c r="AJ208" s="89"/>
    </row>
    <row r="209" spans="1:36" ht="15.75" customHeight="1" x14ac:dyDescent="0.2">
      <c r="A209" s="78">
        <v>208</v>
      </c>
      <c r="B209" s="79">
        <v>46138</v>
      </c>
      <c r="C209" s="80">
        <v>8</v>
      </c>
      <c r="D209" s="80"/>
      <c r="E209" s="81" t="str">
        <f ca="1">IFERROR(__xludf.DUMMYFUNCTION("IF(G209="""","""",FILTER(Especie!$A$2:$A$982,Especie!$H$2:$H$982=G209))"),"FPVA_002")</f>
        <v>FPVA_002</v>
      </c>
      <c r="F209" s="48" t="s">
        <v>166</v>
      </c>
      <c r="G209" s="90" t="s">
        <v>167</v>
      </c>
      <c r="H209" s="48" t="s">
        <v>759</v>
      </c>
      <c r="I209" s="48"/>
      <c r="J209" s="48" t="s">
        <v>169</v>
      </c>
      <c r="L209" s="88" t="s">
        <v>403</v>
      </c>
      <c r="M209" s="50" t="s">
        <v>171</v>
      </c>
      <c r="N209" s="97" t="s">
        <v>147</v>
      </c>
      <c r="O209" s="97" t="s">
        <v>172</v>
      </c>
      <c r="P209" s="84" t="s">
        <v>217</v>
      </c>
      <c r="Q209" s="83">
        <v>10</v>
      </c>
      <c r="R209" s="83" t="s">
        <v>295</v>
      </c>
      <c r="S209" s="83"/>
      <c r="T209" s="84" t="s">
        <v>214</v>
      </c>
      <c r="U209" s="89"/>
      <c r="V209" s="89"/>
      <c r="W209" s="97"/>
      <c r="X209" s="84" t="s">
        <v>176</v>
      </c>
      <c r="Y209" s="89" t="s">
        <v>193</v>
      </c>
      <c r="Z209" s="89" t="s">
        <v>760</v>
      </c>
      <c r="AA209" s="89"/>
      <c r="AB209" s="89"/>
      <c r="AC209" s="102" t="s">
        <v>195</v>
      </c>
      <c r="AD209" s="89"/>
      <c r="AE209" s="83"/>
      <c r="AF209" s="92" t="s">
        <v>139</v>
      </c>
      <c r="AG209" s="115">
        <v>46167</v>
      </c>
      <c r="AH209" s="89" t="s">
        <v>348</v>
      </c>
      <c r="AI209" s="92" t="s">
        <v>140</v>
      </c>
      <c r="AJ209" s="89"/>
    </row>
    <row r="210" spans="1:36" ht="15.75" customHeight="1" x14ac:dyDescent="0.2">
      <c r="A210" s="78">
        <v>209</v>
      </c>
      <c r="B210" s="79">
        <v>46138</v>
      </c>
      <c r="C210" s="95">
        <v>2</v>
      </c>
      <c r="D210" s="80"/>
      <c r="E210" s="81" t="str">
        <f ca="1">IFERROR(__xludf.DUMMYFUNCTION("IF(G210="""","""",FILTER(Especie!$A$2:$A$982,Especie!$H$2:$H$982=G210))"),"FPVA_031")</f>
        <v>FPVA_031</v>
      </c>
      <c r="F210" s="59" t="s">
        <v>124</v>
      </c>
      <c r="G210" s="87" t="s">
        <v>406</v>
      </c>
      <c r="H210" s="88" t="s">
        <v>407</v>
      </c>
      <c r="J210" s="59" t="s">
        <v>169</v>
      </c>
      <c r="L210" s="88" t="s">
        <v>724</v>
      </c>
      <c r="M210" s="84" t="s">
        <v>146</v>
      </c>
      <c r="N210" s="84" t="s">
        <v>131</v>
      </c>
      <c r="O210" s="84" t="s">
        <v>148</v>
      </c>
      <c r="P210" s="84" t="s">
        <v>350</v>
      </c>
      <c r="Q210" s="89">
        <v>15</v>
      </c>
      <c r="R210" s="84" t="s">
        <v>186</v>
      </c>
      <c r="S210" s="89"/>
      <c r="T210" s="84" t="s">
        <v>163</v>
      </c>
      <c r="U210" s="89"/>
      <c r="V210" s="89"/>
      <c r="W210" s="84"/>
      <c r="X210" s="84" t="s">
        <v>135</v>
      </c>
      <c r="Y210" s="89" t="s">
        <v>644</v>
      </c>
      <c r="Z210" s="89" t="s">
        <v>645</v>
      </c>
      <c r="AA210" s="89"/>
      <c r="AB210" s="89"/>
      <c r="AC210" s="89" t="s">
        <v>195</v>
      </c>
      <c r="AD210" s="89"/>
      <c r="AE210" s="89"/>
      <c r="AF210" s="92" t="s">
        <v>139</v>
      </c>
      <c r="AG210" s="86">
        <v>46062</v>
      </c>
      <c r="AH210" s="84" t="s">
        <v>70</v>
      </c>
      <c r="AI210" s="92" t="s">
        <v>140</v>
      </c>
      <c r="AJ210" s="89"/>
    </row>
    <row r="211" spans="1:36" ht="15.75" customHeight="1" x14ac:dyDescent="0.2">
      <c r="A211" s="78">
        <v>210</v>
      </c>
      <c r="B211" s="79">
        <v>46140</v>
      </c>
      <c r="C211" s="95">
        <v>2</v>
      </c>
      <c r="D211" s="80"/>
      <c r="E211" s="81" t="str">
        <f ca="1">IFERROR(__xludf.DUMMYFUNCTION("IF(G211="""","""",FILTER(Especie!$A$2:$A$982,Especie!$H$2:$H$982=G211))"),"FPVA_076")</f>
        <v>FPVA_076</v>
      </c>
      <c r="F211" s="59" t="s">
        <v>124</v>
      </c>
      <c r="G211" s="87" t="s">
        <v>659</v>
      </c>
      <c r="H211" s="88" t="s">
        <v>660</v>
      </c>
      <c r="J211" s="59" t="s">
        <v>234</v>
      </c>
      <c r="L211" s="88" t="s">
        <v>661</v>
      </c>
      <c r="M211" s="84" t="s">
        <v>146</v>
      </c>
      <c r="N211" s="84" t="s">
        <v>131</v>
      </c>
      <c r="O211" s="84" t="s">
        <v>161</v>
      </c>
      <c r="P211" s="84" t="s">
        <v>350</v>
      </c>
      <c r="Q211" s="89">
        <v>500</v>
      </c>
      <c r="R211" s="84" t="s">
        <v>186</v>
      </c>
      <c r="S211" s="89"/>
      <c r="T211" s="84" t="s">
        <v>151</v>
      </c>
      <c r="U211" s="89"/>
      <c r="V211" s="89"/>
      <c r="W211" s="84"/>
      <c r="X211" s="84" t="s">
        <v>176</v>
      </c>
      <c r="Y211" s="89" t="s">
        <v>193</v>
      </c>
      <c r="Z211" s="89" t="s">
        <v>688</v>
      </c>
      <c r="AA211" s="89"/>
      <c r="AB211" s="89"/>
      <c r="AC211" s="89" t="s">
        <v>195</v>
      </c>
      <c r="AD211" s="89"/>
      <c r="AE211" s="89"/>
      <c r="AF211" s="92" t="s">
        <v>139</v>
      </c>
      <c r="AG211" s="86">
        <v>46062</v>
      </c>
      <c r="AH211" s="84" t="s">
        <v>70</v>
      </c>
      <c r="AI211" s="92" t="s">
        <v>140</v>
      </c>
      <c r="AJ211" s="89"/>
    </row>
    <row r="212" spans="1:36" ht="15.75" customHeight="1" x14ac:dyDescent="0.2">
      <c r="A212" s="78">
        <v>211</v>
      </c>
      <c r="B212" s="79">
        <v>46142</v>
      </c>
      <c r="C212" s="80">
        <v>7</v>
      </c>
      <c r="D212" s="80"/>
      <c r="E212" s="81" t="str">
        <f ca="1">IFERROR(__xludf.DUMMYFUNCTION("IF(G212="""","""",FILTER(Especie!$A$2:$A$982,Especie!$H$2:$H$982=G212))"),"FPVA_028")</f>
        <v>FPVA_028</v>
      </c>
      <c r="F212" s="48" t="s">
        <v>257</v>
      </c>
      <c r="G212" s="90" t="s">
        <v>320</v>
      </c>
      <c r="H212" s="48" t="s">
        <v>321</v>
      </c>
      <c r="I212" s="48"/>
      <c r="J212" s="48" t="s">
        <v>169</v>
      </c>
      <c r="L212" s="88" t="s">
        <v>418</v>
      </c>
      <c r="M212" s="50" t="s">
        <v>261</v>
      </c>
      <c r="N212" s="97" t="s">
        <v>147</v>
      </c>
      <c r="O212" s="97" t="s">
        <v>262</v>
      </c>
      <c r="P212" s="84" t="s">
        <v>353</v>
      </c>
      <c r="Q212" s="83">
        <v>1</v>
      </c>
      <c r="R212" s="83" t="s">
        <v>218</v>
      </c>
      <c r="S212" s="83"/>
      <c r="T212" s="84" t="s">
        <v>163</v>
      </c>
      <c r="U212" s="89"/>
      <c r="V212" s="89"/>
      <c r="W212" s="97"/>
      <c r="X212" s="84" t="s">
        <v>135</v>
      </c>
      <c r="Y212" s="89"/>
      <c r="Z212" s="89" t="s">
        <v>761</v>
      </c>
      <c r="AA212" s="89"/>
      <c r="AB212" s="89"/>
      <c r="AC212" s="102" t="s">
        <v>343</v>
      </c>
      <c r="AD212" s="89"/>
      <c r="AE212" s="83"/>
      <c r="AF212" s="92" t="s">
        <v>139</v>
      </c>
      <c r="AG212" s="115">
        <v>46167</v>
      </c>
      <c r="AH212" s="89" t="s">
        <v>348</v>
      </c>
      <c r="AI212" s="92" t="s">
        <v>140</v>
      </c>
      <c r="AJ212" s="89"/>
    </row>
    <row r="213" spans="1:36" ht="15.75" customHeight="1" x14ac:dyDescent="0.2">
      <c r="A213" s="78">
        <v>212</v>
      </c>
      <c r="B213" s="79">
        <v>46143</v>
      </c>
      <c r="C213" s="95">
        <v>2</v>
      </c>
      <c r="D213" s="80"/>
      <c r="E213" s="81" t="str">
        <f ca="1">IFERROR(__xludf.DUMMYFUNCTION("IF(G213="""","""",FILTER(Especie!$A$2:$A$982,Especie!$H$2:$H$982=G213))"),"FPVA_077")</f>
        <v>FPVA_077</v>
      </c>
      <c r="F213" s="59" t="s">
        <v>124</v>
      </c>
      <c r="G213" s="87" t="s">
        <v>762</v>
      </c>
      <c r="H213" s="88" t="s">
        <v>763</v>
      </c>
      <c r="J213" s="59" t="s">
        <v>158</v>
      </c>
      <c r="L213" s="88" t="s">
        <v>764</v>
      </c>
      <c r="M213" s="84" t="s">
        <v>269</v>
      </c>
      <c r="N213" s="84" t="s">
        <v>147</v>
      </c>
      <c r="O213" s="84" t="s">
        <v>148</v>
      </c>
      <c r="P213" s="84" t="s">
        <v>149</v>
      </c>
      <c r="Q213" s="89">
        <v>1000</v>
      </c>
      <c r="R213" s="84" t="s">
        <v>186</v>
      </c>
      <c r="S213" s="89"/>
      <c r="T213" s="84" t="s">
        <v>163</v>
      </c>
      <c r="U213" s="89"/>
      <c r="V213" s="89"/>
      <c r="W213" s="84"/>
      <c r="X213" s="84" t="s">
        <v>135</v>
      </c>
      <c r="Y213" s="89"/>
      <c r="Z213" s="89" t="s">
        <v>765</v>
      </c>
      <c r="AA213" s="89"/>
      <c r="AB213" s="89"/>
      <c r="AC213" s="89" t="s">
        <v>195</v>
      </c>
      <c r="AD213" s="89"/>
      <c r="AE213" s="89"/>
      <c r="AF213" s="92" t="s">
        <v>139</v>
      </c>
      <c r="AG213" s="86">
        <v>46062</v>
      </c>
      <c r="AH213" s="84" t="s">
        <v>70</v>
      </c>
      <c r="AI213" s="92" t="s">
        <v>140</v>
      </c>
      <c r="AJ213" s="89"/>
    </row>
    <row r="214" spans="1:36" ht="15.75" customHeight="1" x14ac:dyDescent="0.2">
      <c r="A214" s="78">
        <v>213</v>
      </c>
      <c r="B214" s="79">
        <v>46144</v>
      </c>
      <c r="C214" s="80">
        <v>1</v>
      </c>
      <c r="D214" s="80"/>
      <c r="E214" s="81" t="str">
        <f ca="1">IFERROR(__xludf.DUMMYFUNCTION("IF(G214="""","""",FILTER(Especie!$A$2:$A$982,Especie!$H$2:$H$982=G214))"),"FPVA_028")</f>
        <v>FPVA_028</v>
      </c>
      <c r="F214" s="59" t="s">
        <v>257</v>
      </c>
      <c r="G214" s="87" t="s">
        <v>320</v>
      </c>
      <c r="H214" s="88" t="s">
        <v>351</v>
      </c>
      <c r="J214" s="59" t="s">
        <v>169</v>
      </c>
      <c r="L214" s="88" t="s">
        <v>766</v>
      </c>
      <c r="M214" s="84" t="s">
        <v>171</v>
      </c>
      <c r="N214" s="84" t="s">
        <v>147</v>
      </c>
      <c r="O214" s="84" t="s">
        <v>262</v>
      </c>
      <c r="P214" s="84" t="s">
        <v>353</v>
      </c>
      <c r="Q214" s="89">
        <v>8</v>
      </c>
      <c r="R214" s="84" t="s">
        <v>295</v>
      </c>
      <c r="S214" s="89"/>
      <c r="T214" s="84" t="s">
        <v>151</v>
      </c>
      <c r="U214" s="89"/>
      <c r="V214" s="89"/>
      <c r="W214" s="84"/>
      <c r="X214" s="84" t="s">
        <v>200</v>
      </c>
      <c r="Y214" s="89" t="s">
        <v>767</v>
      </c>
      <c r="Z214" s="89" t="s">
        <v>768</v>
      </c>
      <c r="AA214" s="89"/>
      <c r="AB214" s="89"/>
      <c r="AC214" s="98" t="s">
        <v>138</v>
      </c>
      <c r="AD214" s="98"/>
      <c r="AE214" s="98"/>
      <c r="AF214" s="92" t="s">
        <v>139</v>
      </c>
      <c r="AG214" s="86">
        <v>46062</v>
      </c>
      <c r="AH214" s="84" t="s">
        <v>70</v>
      </c>
      <c r="AI214" s="92" t="s">
        <v>140</v>
      </c>
      <c r="AJ214" s="89"/>
    </row>
    <row r="215" spans="1:36" ht="15.75" customHeight="1" x14ac:dyDescent="0.2">
      <c r="A215" s="78">
        <v>214</v>
      </c>
      <c r="B215" s="79">
        <v>46145</v>
      </c>
      <c r="C215" s="80">
        <v>6</v>
      </c>
      <c r="D215" s="80"/>
      <c r="E215" s="81" t="str">
        <f ca="1">IFERROR(__xludf.DUMMYFUNCTION("IF(G215="""","""",FILTER(Especie!$A$2:$A$982,Especie!$H$2:$H$982=G215))"),"FPVA_034")</f>
        <v>FPVA_034</v>
      </c>
      <c r="F215" s="48" t="s">
        <v>166</v>
      </c>
      <c r="G215" s="90" t="s">
        <v>416</v>
      </c>
      <c r="H215" s="48" t="s">
        <v>417</v>
      </c>
      <c r="I215" s="48"/>
      <c r="J215" s="48" t="s">
        <v>169</v>
      </c>
      <c r="L215" s="88" t="s">
        <v>418</v>
      </c>
      <c r="M215" s="50" t="s">
        <v>171</v>
      </c>
      <c r="N215" s="97" t="s">
        <v>147</v>
      </c>
      <c r="O215" s="97" t="s">
        <v>172</v>
      </c>
      <c r="P215" s="84" t="s">
        <v>217</v>
      </c>
      <c r="Q215" s="83">
        <v>1</v>
      </c>
      <c r="R215" s="83" t="s">
        <v>174</v>
      </c>
      <c r="S215" s="83"/>
      <c r="T215" s="84" t="s">
        <v>175</v>
      </c>
      <c r="U215" s="89"/>
      <c r="V215" s="89"/>
      <c r="W215" s="97"/>
      <c r="X215" s="84" t="s">
        <v>176</v>
      </c>
      <c r="Y215" s="89" t="s">
        <v>637</v>
      </c>
      <c r="Z215" s="89" t="s">
        <v>625</v>
      </c>
      <c r="AA215" s="89" t="s">
        <v>350</v>
      </c>
      <c r="AB215" s="89"/>
      <c r="AC215" s="89" t="s">
        <v>138</v>
      </c>
      <c r="AD215" s="89"/>
      <c r="AE215" s="83"/>
      <c r="AF215" s="92" t="s">
        <v>139</v>
      </c>
      <c r="AG215" s="115">
        <v>46167</v>
      </c>
      <c r="AH215" s="89" t="s">
        <v>348</v>
      </c>
      <c r="AI215" s="92" t="s">
        <v>140</v>
      </c>
      <c r="AJ215" s="89"/>
    </row>
    <row r="216" spans="1:36" ht="15.75" customHeight="1" x14ac:dyDescent="0.2">
      <c r="A216" s="78">
        <v>215</v>
      </c>
      <c r="B216" s="79">
        <v>46146</v>
      </c>
      <c r="C216" s="80">
        <v>6</v>
      </c>
      <c r="D216" s="80"/>
      <c r="E216" s="81" t="str">
        <f ca="1">IFERROR(__xludf.DUMMYFUNCTION("IF(G216="""","""",FILTER(Especie!$A$2:$A$982,Especie!$H$2:$H$982=G216))"),"FPVA_028")</f>
        <v>FPVA_028</v>
      </c>
      <c r="F216" s="48" t="s">
        <v>257</v>
      </c>
      <c r="G216" s="90" t="s">
        <v>320</v>
      </c>
      <c r="H216" s="48" t="s">
        <v>321</v>
      </c>
      <c r="I216" s="48"/>
      <c r="J216" s="48" t="s">
        <v>169</v>
      </c>
      <c r="L216" s="88" t="s">
        <v>418</v>
      </c>
      <c r="M216" s="50" t="s">
        <v>769</v>
      </c>
      <c r="N216" s="97" t="s">
        <v>147</v>
      </c>
      <c r="O216" s="97" t="s">
        <v>262</v>
      </c>
      <c r="P216" s="84" t="s">
        <v>353</v>
      </c>
      <c r="Q216" s="83">
        <v>2</v>
      </c>
      <c r="R216" s="83" t="s">
        <v>174</v>
      </c>
      <c r="S216" s="83"/>
      <c r="T216" s="84" t="s">
        <v>175</v>
      </c>
      <c r="U216" s="89"/>
      <c r="V216" s="89"/>
      <c r="W216" s="97"/>
      <c r="X216" s="84" t="s">
        <v>200</v>
      </c>
      <c r="Y216" s="89" t="s">
        <v>637</v>
      </c>
      <c r="Z216" s="89" t="s">
        <v>770</v>
      </c>
      <c r="AA216" s="89"/>
      <c r="AB216" s="89"/>
      <c r="AC216" s="89" t="s">
        <v>138</v>
      </c>
      <c r="AD216" s="89"/>
      <c r="AE216" s="83"/>
      <c r="AF216" s="92" t="s">
        <v>139</v>
      </c>
      <c r="AG216" s="115">
        <v>46167</v>
      </c>
      <c r="AH216" s="89" t="s">
        <v>348</v>
      </c>
      <c r="AI216" s="92" t="s">
        <v>140</v>
      </c>
      <c r="AJ216" s="89"/>
    </row>
    <row r="217" spans="1:36" ht="15.75" customHeight="1" x14ac:dyDescent="0.2">
      <c r="A217" s="78">
        <v>216</v>
      </c>
      <c r="B217" s="79">
        <v>46146</v>
      </c>
      <c r="C217" s="80">
        <v>15</v>
      </c>
      <c r="D217" s="44"/>
      <c r="E217" s="81" t="str">
        <f ca="1">IFERROR(__xludf.DUMMYFUNCTION("IF(G217="""","""",FILTER(Especie!$A$2:$A$982,Especie!$H$2:$H$982=G217))"),"FPVA_069")</f>
        <v>FPVA_069</v>
      </c>
      <c r="F217" s="59" t="s">
        <v>124</v>
      </c>
      <c r="G217" s="87" t="s">
        <v>754</v>
      </c>
      <c r="H217" s="48" t="s">
        <v>755</v>
      </c>
      <c r="J217" s="59" t="s">
        <v>144</v>
      </c>
      <c r="L217" s="88" t="s">
        <v>771</v>
      </c>
      <c r="M217" s="84" t="s">
        <v>185</v>
      </c>
      <c r="N217" s="84" t="s">
        <v>147</v>
      </c>
      <c r="O217" s="84" t="s">
        <v>161</v>
      </c>
      <c r="P217" s="84" t="s">
        <v>133</v>
      </c>
      <c r="Q217" s="89">
        <v>1</v>
      </c>
      <c r="R217" s="84" t="s">
        <v>772</v>
      </c>
      <c r="S217" s="89"/>
      <c r="T217" s="84" t="s">
        <v>163</v>
      </c>
      <c r="U217" s="89"/>
      <c r="V217" s="89"/>
      <c r="W217" s="84"/>
      <c r="X217" s="84" t="s">
        <v>215</v>
      </c>
      <c r="Y217" s="89" t="s">
        <v>773</v>
      </c>
      <c r="Z217" s="89" t="s">
        <v>774</v>
      </c>
      <c r="AA217" s="89" t="s">
        <v>203</v>
      </c>
      <c r="AB217" s="89"/>
      <c r="AC217" s="89" t="s">
        <v>165</v>
      </c>
      <c r="AD217" s="89"/>
      <c r="AE217" s="83"/>
      <c r="AF217" s="92" t="s">
        <v>139</v>
      </c>
      <c r="AG217" s="86">
        <v>46162</v>
      </c>
      <c r="AH217" s="84" t="s">
        <v>70</v>
      </c>
      <c r="AI217" s="92" t="s">
        <v>140</v>
      </c>
      <c r="AJ217" s="89"/>
    </row>
    <row r="218" spans="1:36" ht="15.75" customHeight="1" x14ac:dyDescent="0.2">
      <c r="A218" s="78">
        <v>217</v>
      </c>
      <c r="B218" s="79">
        <v>46146</v>
      </c>
      <c r="C218" s="80">
        <v>15</v>
      </c>
      <c r="D218" s="44"/>
      <c r="E218" s="81" t="str">
        <f ca="1">IFERROR(__xludf.DUMMYFUNCTION("IF(G218="""","""",FILTER(Especie!$A$2:$A$982,Especie!$H$2:$H$982=G218))"),"FPVA_069")</f>
        <v>FPVA_069</v>
      </c>
      <c r="F218" s="59" t="s">
        <v>124</v>
      </c>
      <c r="G218" s="87" t="s">
        <v>754</v>
      </c>
      <c r="H218" s="48" t="s">
        <v>755</v>
      </c>
      <c r="J218" s="59" t="s">
        <v>144</v>
      </c>
      <c r="L218" s="88" t="s">
        <v>771</v>
      </c>
      <c r="M218" s="84" t="s">
        <v>185</v>
      </c>
      <c r="N218" s="84" t="s">
        <v>147</v>
      </c>
      <c r="O218" s="84" t="s">
        <v>161</v>
      </c>
      <c r="P218" s="84" t="s">
        <v>133</v>
      </c>
      <c r="Q218" s="89">
        <v>1</v>
      </c>
      <c r="R218" s="84" t="s">
        <v>772</v>
      </c>
      <c r="S218" s="89"/>
      <c r="T218" s="84" t="s">
        <v>163</v>
      </c>
      <c r="U218" s="89"/>
      <c r="V218" s="89"/>
      <c r="W218" s="84"/>
      <c r="X218" s="84" t="s">
        <v>200</v>
      </c>
      <c r="Y218" s="89" t="s">
        <v>773</v>
      </c>
      <c r="Z218" s="89" t="s">
        <v>774</v>
      </c>
      <c r="AA218" s="89" t="s">
        <v>203</v>
      </c>
      <c r="AB218" s="89"/>
      <c r="AC218" s="89" t="s">
        <v>165</v>
      </c>
      <c r="AD218" s="89"/>
      <c r="AE218" s="83"/>
      <c r="AF218" s="92" t="s">
        <v>139</v>
      </c>
      <c r="AG218" s="86">
        <v>46162</v>
      </c>
      <c r="AH218" s="84" t="s">
        <v>70</v>
      </c>
      <c r="AI218" s="92" t="s">
        <v>140</v>
      </c>
      <c r="AJ218" s="89"/>
    </row>
    <row r="219" spans="1:36" ht="15.75" customHeight="1" x14ac:dyDescent="0.2">
      <c r="A219" s="78">
        <v>218</v>
      </c>
      <c r="B219" s="79">
        <v>46150</v>
      </c>
      <c r="C219" s="80">
        <v>8</v>
      </c>
      <c r="D219" s="80"/>
      <c r="E219" s="81" t="str">
        <f ca="1">IFERROR(__xludf.DUMMYFUNCTION("IF(G219="""","""",FILTER(Especie!$A$2:$A$982,Especie!$H$2:$H$982=G219))"),"FPVA_064")</f>
        <v>FPVA_064</v>
      </c>
      <c r="F219" s="48" t="s">
        <v>166</v>
      </c>
      <c r="G219" s="90" t="s">
        <v>735</v>
      </c>
      <c r="H219" s="48" t="s">
        <v>736</v>
      </c>
      <c r="I219" s="48"/>
      <c r="J219" s="48" t="s">
        <v>169</v>
      </c>
      <c r="L219" s="88" t="s">
        <v>418</v>
      </c>
      <c r="M219" s="50" t="s">
        <v>171</v>
      </c>
      <c r="N219" s="97" t="s">
        <v>131</v>
      </c>
      <c r="O219" s="97" t="s">
        <v>172</v>
      </c>
      <c r="P219" s="84" t="s">
        <v>217</v>
      </c>
      <c r="Q219" s="83">
        <v>500</v>
      </c>
      <c r="R219" s="83" t="s">
        <v>186</v>
      </c>
      <c r="S219" s="83"/>
      <c r="T219" s="84" t="s">
        <v>175</v>
      </c>
      <c r="U219" s="89"/>
      <c r="V219" s="89"/>
      <c r="W219" s="97"/>
      <c r="X219" s="84" t="s">
        <v>176</v>
      </c>
      <c r="Y219" s="89" t="s">
        <v>775</v>
      </c>
      <c r="Z219" s="89" t="s">
        <v>776</v>
      </c>
      <c r="AA219" s="89"/>
      <c r="AB219" s="89"/>
      <c r="AC219" s="102" t="s">
        <v>195</v>
      </c>
      <c r="AD219" s="89"/>
      <c r="AE219" s="83"/>
      <c r="AF219" s="92" t="s">
        <v>139</v>
      </c>
      <c r="AG219" s="115">
        <v>46167</v>
      </c>
      <c r="AH219" s="89" t="s">
        <v>348</v>
      </c>
      <c r="AI219" s="92" t="s">
        <v>140</v>
      </c>
      <c r="AJ219" s="89"/>
    </row>
    <row r="220" spans="1:36" ht="15.75" customHeight="1" x14ac:dyDescent="0.2">
      <c r="A220" s="78">
        <v>219</v>
      </c>
      <c r="B220" s="79">
        <v>46152</v>
      </c>
      <c r="C220" s="95">
        <v>2</v>
      </c>
      <c r="D220" s="80"/>
      <c r="E220" s="81" t="str">
        <f ca="1">IFERROR(__xludf.DUMMYFUNCTION("IF(G220="""","""",FILTER(Especie!$A$2:$A$982,Especie!$H$2:$H$982=G220))"),"FPVA_075")</f>
        <v>FPVA_075</v>
      </c>
      <c r="F220" s="59" t="s">
        <v>124</v>
      </c>
      <c r="G220" s="87" t="s">
        <v>611</v>
      </c>
      <c r="H220" s="88" t="s">
        <v>612</v>
      </c>
      <c r="J220" s="59" t="s">
        <v>234</v>
      </c>
      <c r="L220" s="88" t="s">
        <v>613</v>
      </c>
      <c r="M220" s="84" t="s">
        <v>275</v>
      </c>
      <c r="N220" s="84" t="s">
        <v>147</v>
      </c>
      <c r="O220" s="84" t="s">
        <v>148</v>
      </c>
      <c r="P220" s="84" t="s">
        <v>149</v>
      </c>
      <c r="Q220" s="89">
        <v>1000</v>
      </c>
      <c r="R220" s="84" t="s">
        <v>186</v>
      </c>
      <c r="S220" s="89"/>
      <c r="T220" s="84" t="s">
        <v>175</v>
      </c>
      <c r="U220" s="89"/>
      <c r="V220" s="89"/>
      <c r="W220" s="84"/>
      <c r="X220" s="84" t="s">
        <v>135</v>
      </c>
      <c r="Y220" s="89"/>
      <c r="Z220" s="89" t="s">
        <v>777</v>
      </c>
      <c r="AA220" s="89"/>
      <c r="AB220" s="89"/>
      <c r="AC220" s="89" t="s">
        <v>195</v>
      </c>
      <c r="AD220" s="89"/>
      <c r="AE220" s="89"/>
      <c r="AF220" s="92" t="s">
        <v>139</v>
      </c>
      <c r="AG220" s="86">
        <v>46062</v>
      </c>
      <c r="AH220" s="84" t="s">
        <v>70</v>
      </c>
      <c r="AI220" s="92" t="s">
        <v>140</v>
      </c>
      <c r="AJ220" s="89"/>
    </row>
    <row r="221" spans="1:36" ht="15.75" customHeight="1" x14ac:dyDescent="0.2">
      <c r="A221" s="78">
        <v>220</v>
      </c>
      <c r="B221" s="79">
        <v>46156</v>
      </c>
      <c r="C221" s="80">
        <v>8</v>
      </c>
      <c r="D221" s="80"/>
      <c r="E221" s="81" t="str">
        <f ca="1">IFERROR(__xludf.DUMMYFUNCTION("IF(G221="""","""",FILTER(Especie!$A$2:$A$982,Especie!$H$2:$H$982=G221))"),"FPVA_009")</f>
        <v>FPVA_009</v>
      </c>
      <c r="F221" s="48" t="s">
        <v>124</v>
      </c>
      <c r="G221" s="90" t="s">
        <v>232</v>
      </c>
      <c r="H221" s="48" t="s">
        <v>233</v>
      </c>
      <c r="I221" s="48"/>
      <c r="J221" s="48" t="s">
        <v>234</v>
      </c>
      <c r="K221" s="88" t="s">
        <v>778</v>
      </c>
      <c r="L221" s="88" t="s">
        <v>779</v>
      </c>
      <c r="M221" s="50" t="s">
        <v>130</v>
      </c>
      <c r="N221" s="97" t="s">
        <v>147</v>
      </c>
      <c r="O221" s="97" t="s">
        <v>161</v>
      </c>
      <c r="P221" s="84" t="s">
        <v>237</v>
      </c>
      <c r="Q221" s="83">
        <v>30</v>
      </c>
      <c r="R221" s="83" t="s">
        <v>174</v>
      </c>
      <c r="S221" s="83"/>
      <c r="T221" s="84" t="s">
        <v>151</v>
      </c>
      <c r="U221" s="89"/>
      <c r="V221" s="89"/>
      <c r="W221" s="97"/>
      <c r="X221" s="84" t="s">
        <v>135</v>
      </c>
      <c r="Y221" s="89" t="s">
        <v>780</v>
      </c>
      <c r="Z221" s="89" t="s">
        <v>781</v>
      </c>
      <c r="AA221" s="89"/>
      <c r="AB221" s="89"/>
      <c r="AC221" s="102" t="s">
        <v>195</v>
      </c>
      <c r="AD221" s="89"/>
      <c r="AE221" s="83"/>
      <c r="AF221" s="92" t="s">
        <v>139</v>
      </c>
      <c r="AG221" s="115">
        <v>46167</v>
      </c>
      <c r="AH221" s="89" t="s">
        <v>348</v>
      </c>
      <c r="AI221" s="92" t="s">
        <v>140</v>
      </c>
      <c r="AJ221" s="89"/>
    </row>
    <row r="222" spans="1:36" ht="15.75" customHeight="1" x14ac:dyDescent="0.2">
      <c r="A222" s="78">
        <v>221</v>
      </c>
      <c r="B222" s="79">
        <v>46161</v>
      </c>
      <c r="C222" s="44">
        <v>1</v>
      </c>
      <c r="D222" s="80"/>
      <c r="E222" s="81" t="str">
        <f ca="1">IFERROR(__xludf.DUMMYFUNCTION("IF(G222="""","""",FILTER(Especie!$A$2:$A$982,Especie!$H$2:$H$982=G222))"),"FPVA_034")</f>
        <v>FPVA_034</v>
      </c>
      <c r="F222" s="59" t="s">
        <v>166</v>
      </c>
      <c r="G222" s="87" t="s">
        <v>416</v>
      </c>
      <c r="H222" s="88" t="s">
        <v>682</v>
      </c>
      <c r="J222" s="59" t="s">
        <v>169</v>
      </c>
      <c r="L222" s="88" t="s">
        <v>712</v>
      </c>
      <c r="M222" s="84" t="s">
        <v>171</v>
      </c>
      <c r="N222" s="84" t="s">
        <v>147</v>
      </c>
      <c r="O222" s="84" t="s">
        <v>172</v>
      </c>
      <c r="P222" s="84" t="s">
        <v>217</v>
      </c>
      <c r="Q222" s="89">
        <v>4</v>
      </c>
      <c r="R222" s="84" t="s">
        <v>295</v>
      </c>
      <c r="S222" s="89"/>
      <c r="T222" s="84" t="s">
        <v>163</v>
      </c>
      <c r="U222" s="89"/>
      <c r="V222" s="89"/>
      <c r="W222" s="84"/>
      <c r="X222" s="84" t="s">
        <v>176</v>
      </c>
      <c r="Y222" s="89" t="s">
        <v>680</v>
      </c>
      <c r="Z222" s="89" t="s">
        <v>738</v>
      </c>
      <c r="AA222" s="89"/>
      <c r="AB222" s="89"/>
      <c r="AC222" s="98" t="s">
        <v>138</v>
      </c>
      <c r="AD222" s="98"/>
      <c r="AE222" s="98"/>
      <c r="AF222" s="92" t="s">
        <v>139</v>
      </c>
      <c r="AG222" s="86">
        <v>46062</v>
      </c>
      <c r="AH222" s="84" t="s">
        <v>70</v>
      </c>
      <c r="AI222" s="92" t="s">
        <v>140</v>
      </c>
      <c r="AJ222" s="89"/>
    </row>
    <row r="223" spans="1:36" ht="15.75" customHeight="1" x14ac:dyDescent="0.2">
      <c r="A223" s="78">
        <v>222</v>
      </c>
      <c r="B223" s="79">
        <v>46163</v>
      </c>
      <c r="C223" s="44">
        <v>1</v>
      </c>
      <c r="D223" s="80"/>
      <c r="E223" s="81" t="str">
        <f ca="1">IFERROR(__xludf.DUMMYFUNCTION("IF(G223="""","""",FILTER(Especie!$A$2:$A$982,Especie!$H$2:$H$982=G223))"),"FPVA_008")</f>
        <v>FPVA_008</v>
      </c>
      <c r="F223" s="59" t="s">
        <v>124</v>
      </c>
      <c r="G223" s="87" t="s">
        <v>228</v>
      </c>
      <c r="H223" s="88" t="s">
        <v>746</v>
      </c>
      <c r="J223" s="59" t="s">
        <v>144</v>
      </c>
      <c r="L223" s="88" t="s">
        <v>733</v>
      </c>
      <c r="M223" s="84" t="s">
        <v>146</v>
      </c>
      <c r="N223" s="84" t="s">
        <v>147</v>
      </c>
      <c r="O223" s="84" t="s">
        <v>161</v>
      </c>
      <c r="P223" s="84" t="s">
        <v>149</v>
      </c>
      <c r="Q223" s="101" t="s">
        <v>207</v>
      </c>
      <c r="R223" s="116"/>
      <c r="S223" s="89"/>
      <c r="T223" s="84" t="s">
        <v>151</v>
      </c>
      <c r="U223" s="89"/>
      <c r="V223" s="89"/>
      <c r="W223" s="84"/>
      <c r="X223" s="84" t="s">
        <v>215</v>
      </c>
      <c r="Y223" s="89"/>
      <c r="Z223" s="89" t="s">
        <v>782</v>
      </c>
      <c r="AA223" s="89"/>
      <c r="AB223" s="89"/>
      <c r="AC223" s="98" t="s">
        <v>138</v>
      </c>
      <c r="AD223" s="98"/>
      <c r="AE223" s="98"/>
      <c r="AF223" s="92" t="s">
        <v>139</v>
      </c>
      <c r="AG223" s="86">
        <v>46062</v>
      </c>
      <c r="AH223" s="84" t="s">
        <v>70</v>
      </c>
      <c r="AI223" s="92" t="s">
        <v>140</v>
      </c>
      <c r="AJ223" s="89"/>
    </row>
    <row r="224" spans="1:36" ht="15.75" customHeight="1" x14ac:dyDescent="0.2">
      <c r="A224" s="78">
        <v>223</v>
      </c>
      <c r="B224" s="79">
        <v>46165</v>
      </c>
      <c r="C224" s="44">
        <v>1</v>
      </c>
      <c r="D224" s="80"/>
      <c r="E224" s="81" t="str">
        <f ca="1">IFERROR(__xludf.DUMMYFUNCTION("IF(G224="""","""",FILTER(Especie!$A$2:$A$982,Especie!$H$2:$H$982=G224))"),"FPVA_002")</f>
        <v>FPVA_002</v>
      </c>
      <c r="F224" s="59" t="s">
        <v>166</v>
      </c>
      <c r="G224" s="87" t="s">
        <v>167</v>
      </c>
      <c r="H224" s="88" t="s">
        <v>783</v>
      </c>
      <c r="J224" s="59" t="s">
        <v>169</v>
      </c>
      <c r="L224" s="88" t="s">
        <v>712</v>
      </c>
      <c r="M224" s="84" t="s">
        <v>171</v>
      </c>
      <c r="N224" s="84" t="s">
        <v>147</v>
      </c>
      <c r="O224" s="84" t="s">
        <v>172</v>
      </c>
      <c r="P224" s="84" t="s">
        <v>217</v>
      </c>
      <c r="Q224" s="89">
        <v>10</v>
      </c>
      <c r="R224" s="84" t="s">
        <v>295</v>
      </c>
      <c r="S224" s="89"/>
      <c r="T224" s="84" t="s">
        <v>151</v>
      </c>
      <c r="U224" s="89"/>
      <c r="V224" s="89"/>
      <c r="W224" s="84"/>
      <c r="X224" s="84" t="s">
        <v>176</v>
      </c>
      <c r="Y224" s="89" t="s">
        <v>784</v>
      </c>
      <c r="Z224" s="89" t="s">
        <v>738</v>
      </c>
      <c r="AA224" s="89"/>
      <c r="AB224" s="89"/>
      <c r="AC224" s="98" t="s">
        <v>138</v>
      </c>
      <c r="AD224" s="98"/>
      <c r="AE224" s="98"/>
      <c r="AF224" s="92" t="s">
        <v>139</v>
      </c>
      <c r="AG224" s="86">
        <v>46062</v>
      </c>
      <c r="AH224" s="84" t="s">
        <v>70</v>
      </c>
      <c r="AI224" s="92" t="s">
        <v>140</v>
      </c>
      <c r="AJ224" s="89"/>
    </row>
    <row r="225" spans="1:36" ht="15.75" customHeight="1" x14ac:dyDescent="0.2">
      <c r="A225" s="78">
        <v>224</v>
      </c>
      <c r="B225" s="129">
        <v>45886</v>
      </c>
      <c r="C225" s="80">
        <v>9</v>
      </c>
      <c r="D225" s="80"/>
      <c r="E225" s="81" t="str">
        <f ca="1">IFERROR(__xludf.DUMMYFUNCTION("IF(G225="""","""",FILTER(Especie!$A$2:$A$982,Especie!$H$2:$H$982=G225))"),"FPVA_008")</f>
        <v>FPVA_008</v>
      </c>
      <c r="F225" s="48" t="s">
        <v>124</v>
      </c>
      <c r="G225" s="104" t="s">
        <v>228</v>
      </c>
      <c r="H225" s="48" t="s">
        <v>746</v>
      </c>
      <c r="I225" s="48"/>
      <c r="J225" s="48" t="s">
        <v>144</v>
      </c>
      <c r="L225" s="59" t="s">
        <v>785</v>
      </c>
      <c r="M225" s="46" t="s">
        <v>146</v>
      </c>
      <c r="N225" s="97" t="s">
        <v>147</v>
      </c>
      <c r="O225" s="93" t="s">
        <v>161</v>
      </c>
      <c r="P225" s="93" t="s">
        <v>133</v>
      </c>
      <c r="Q225" s="83">
        <v>5</v>
      </c>
      <c r="R225" s="83" t="s">
        <v>218</v>
      </c>
      <c r="S225" s="83"/>
      <c r="T225" s="93" t="s">
        <v>151</v>
      </c>
      <c r="U225" s="93"/>
      <c r="V225" s="93"/>
      <c r="W225" s="93"/>
      <c r="X225" s="93" t="s">
        <v>215</v>
      </c>
      <c r="Y225" s="93" t="s">
        <v>193</v>
      </c>
      <c r="Z225" s="93" t="s">
        <v>786</v>
      </c>
      <c r="AA225" s="84" t="s">
        <v>787</v>
      </c>
      <c r="AB225" s="89"/>
      <c r="AC225" s="102" t="s">
        <v>165</v>
      </c>
      <c r="AD225" s="89"/>
      <c r="AE225" s="83"/>
      <c r="AF225" s="92" t="s">
        <v>139</v>
      </c>
      <c r="AG225" s="86">
        <v>46062</v>
      </c>
      <c r="AH225" s="84" t="s">
        <v>70</v>
      </c>
      <c r="AI225" s="92" t="s">
        <v>140</v>
      </c>
      <c r="AJ225" s="89"/>
    </row>
    <row r="226" spans="1:36" ht="15.75" customHeight="1" x14ac:dyDescent="0.2">
      <c r="A226" s="78">
        <v>225</v>
      </c>
      <c r="B226" s="79">
        <v>45891</v>
      </c>
      <c r="C226" s="44">
        <v>6</v>
      </c>
      <c r="D226" s="80"/>
      <c r="E226" s="81" t="str">
        <f ca="1">IFERROR(__xludf.DUMMYFUNCTION("IF(G226="""","""",FILTER(Especie!$A$2:$A$982,Especie!$H$2:$H$982=G226))"),"FPVA_008")</f>
        <v>FPVA_008</v>
      </c>
      <c r="F226" s="48" t="s">
        <v>124</v>
      </c>
      <c r="G226" s="82" t="s">
        <v>228</v>
      </c>
      <c r="H226" s="48" t="s">
        <v>229</v>
      </c>
      <c r="I226" s="48"/>
      <c r="J226" s="48" t="s">
        <v>144</v>
      </c>
      <c r="L226" s="85" t="s">
        <v>225</v>
      </c>
      <c r="M226" s="50" t="s">
        <v>146</v>
      </c>
      <c r="N226" s="97" t="s">
        <v>147</v>
      </c>
      <c r="O226" s="97" t="s">
        <v>148</v>
      </c>
      <c r="P226" s="97" t="s">
        <v>149</v>
      </c>
      <c r="Q226" s="83">
        <v>1</v>
      </c>
      <c r="R226" s="83" t="s">
        <v>191</v>
      </c>
      <c r="S226" s="83"/>
      <c r="T226" s="102" t="s">
        <v>226</v>
      </c>
      <c r="U226" s="89"/>
      <c r="V226" s="89"/>
      <c r="W226" s="97"/>
      <c r="X226" s="102" t="s">
        <v>230</v>
      </c>
      <c r="Y226" s="102" t="s">
        <v>193</v>
      </c>
      <c r="Z226" s="94" t="s">
        <v>194</v>
      </c>
      <c r="AA226" s="89"/>
      <c r="AB226" s="89"/>
      <c r="AC226" s="102" t="s">
        <v>195</v>
      </c>
      <c r="AD226" s="89"/>
      <c r="AE226" s="83"/>
      <c r="AF226" s="92" t="s">
        <v>139</v>
      </c>
      <c r="AG226" s="86">
        <v>46062</v>
      </c>
      <c r="AH226" s="84" t="s">
        <v>70</v>
      </c>
      <c r="AI226" s="92" t="s">
        <v>140</v>
      </c>
      <c r="AJ226" s="89"/>
    </row>
    <row r="227" spans="1:36" ht="15.75" customHeight="1" x14ac:dyDescent="0.2">
      <c r="A227" s="78">
        <v>226</v>
      </c>
      <c r="B227" s="79">
        <v>45891</v>
      </c>
      <c r="C227" s="44">
        <v>16</v>
      </c>
      <c r="D227" s="80"/>
      <c r="E227" s="81" t="str">
        <f ca="1">IFERROR(__xludf.DUMMYFUNCTION("IF(G227="""","""",FILTER(Especie!$A$2:$A$982,Especie!$H$2:$H$982=G227))"),"FPVA_010")</f>
        <v>FPVA_010</v>
      </c>
      <c r="F227" s="48" t="s">
        <v>124</v>
      </c>
      <c r="G227" s="104" t="s">
        <v>788</v>
      </c>
      <c r="H227" s="48" t="s">
        <v>789</v>
      </c>
      <c r="I227" s="48"/>
      <c r="J227" s="48" t="s">
        <v>127</v>
      </c>
      <c r="K227" s="145" t="s">
        <v>128</v>
      </c>
      <c r="L227" s="145" t="s">
        <v>128</v>
      </c>
      <c r="M227" s="50" t="s">
        <v>130</v>
      </c>
      <c r="N227" s="97" t="s">
        <v>270</v>
      </c>
      <c r="O227" s="97" t="s">
        <v>132</v>
      </c>
      <c r="P227" s="102" t="s">
        <v>133</v>
      </c>
      <c r="Q227" s="83">
        <v>100</v>
      </c>
      <c r="R227" s="83" t="s">
        <v>174</v>
      </c>
      <c r="S227" s="83"/>
      <c r="T227" s="84" t="s">
        <v>163</v>
      </c>
      <c r="U227" s="89"/>
      <c r="V227" s="89"/>
      <c r="W227" s="97"/>
      <c r="X227" s="84" t="s">
        <v>200</v>
      </c>
      <c r="Y227" s="84" t="s">
        <v>246</v>
      </c>
      <c r="Z227" s="94" t="s">
        <v>790</v>
      </c>
      <c r="AA227" s="89"/>
      <c r="AB227" s="89"/>
      <c r="AC227" s="84" t="s">
        <v>343</v>
      </c>
      <c r="AD227" s="89"/>
      <c r="AE227" s="83"/>
      <c r="AF227" s="92" t="s">
        <v>139</v>
      </c>
      <c r="AG227" s="86">
        <v>46062</v>
      </c>
      <c r="AH227" s="84" t="s">
        <v>70</v>
      </c>
      <c r="AI227" s="92" t="s">
        <v>140</v>
      </c>
      <c r="AJ227" s="89"/>
    </row>
    <row r="228" spans="1:36" ht="15.75" customHeight="1" x14ac:dyDescent="0.2">
      <c r="A228" s="78">
        <v>227</v>
      </c>
      <c r="B228" s="79">
        <v>45891</v>
      </c>
      <c r="C228" s="80">
        <v>9</v>
      </c>
      <c r="D228" s="80"/>
      <c r="E228" s="81" t="str">
        <f ca="1">IFERROR(__xludf.DUMMYFUNCTION("IF(G228="""","""",FILTER(Especie!$A$2:$A$982,Especie!$H$2:$H$982=G228))"),"FPVA_009")</f>
        <v>FPVA_009</v>
      </c>
      <c r="F228" s="48" t="s">
        <v>124</v>
      </c>
      <c r="G228" s="82" t="s">
        <v>232</v>
      </c>
      <c r="H228" s="48" t="s">
        <v>233</v>
      </c>
      <c r="I228" s="48"/>
      <c r="J228" s="48" t="s">
        <v>234</v>
      </c>
      <c r="K228" s="59" t="s">
        <v>235</v>
      </c>
      <c r="L228" s="59" t="s">
        <v>791</v>
      </c>
      <c r="M228" s="50" t="s">
        <v>130</v>
      </c>
      <c r="N228" s="97" t="s">
        <v>147</v>
      </c>
      <c r="O228" s="97" t="s">
        <v>132</v>
      </c>
      <c r="P228" s="97" t="s">
        <v>237</v>
      </c>
      <c r="Q228" s="83">
        <v>1</v>
      </c>
      <c r="R228" s="83" t="s">
        <v>238</v>
      </c>
      <c r="S228" s="83"/>
      <c r="T228" s="84" t="s">
        <v>151</v>
      </c>
      <c r="U228" s="89"/>
      <c r="V228" s="89"/>
      <c r="W228" s="97"/>
      <c r="X228" s="84" t="s">
        <v>152</v>
      </c>
      <c r="Y228" s="84" t="s">
        <v>792</v>
      </c>
      <c r="Z228" s="94" t="s">
        <v>793</v>
      </c>
      <c r="AA228" s="89"/>
      <c r="AB228" s="89"/>
      <c r="AC228" s="84" t="s">
        <v>165</v>
      </c>
      <c r="AD228" s="89"/>
      <c r="AE228" s="83"/>
      <c r="AF228" s="92" t="s">
        <v>139</v>
      </c>
      <c r="AG228" s="86">
        <v>46062</v>
      </c>
      <c r="AH228" s="84" t="s">
        <v>70</v>
      </c>
      <c r="AI228" s="92" t="s">
        <v>140</v>
      </c>
      <c r="AJ228" s="89"/>
    </row>
    <row r="229" spans="1:36" ht="15.75" customHeight="1" x14ac:dyDescent="0.2">
      <c r="F229" s="59"/>
      <c r="G229" s="59"/>
      <c r="J229" s="59"/>
      <c r="M229" s="84"/>
      <c r="N229" s="59"/>
      <c r="O229" s="59"/>
      <c r="P229" s="59"/>
      <c r="R229" s="59"/>
      <c r="T229" s="59"/>
      <c r="W229" s="59"/>
      <c r="X229" s="84"/>
    </row>
    <row r="230" spans="1:36" ht="15.75" customHeight="1" x14ac:dyDescent="0.2">
      <c r="F230" s="59"/>
      <c r="G230" s="59"/>
      <c r="J230" s="59"/>
      <c r="M230" s="84"/>
      <c r="N230" s="59"/>
      <c r="O230" s="59"/>
      <c r="P230" s="59"/>
      <c r="R230" s="59"/>
      <c r="T230" s="59"/>
      <c r="W230" s="59"/>
      <c r="X230" s="84"/>
    </row>
    <row r="231" spans="1:36" ht="15.75" customHeight="1" x14ac:dyDescent="0.2">
      <c r="F231" s="59"/>
      <c r="G231" s="59"/>
      <c r="J231" s="59"/>
      <c r="M231" s="84"/>
      <c r="N231" s="59"/>
      <c r="O231" s="59"/>
      <c r="P231" s="59"/>
      <c r="R231" s="59"/>
      <c r="T231" s="59"/>
      <c r="W231" s="59"/>
      <c r="X231" s="84"/>
    </row>
    <row r="232" spans="1:36" ht="15.75" customHeight="1" x14ac:dyDescent="0.2">
      <c r="F232" s="59"/>
      <c r="G232" s="59"/>
      <c r="J232" s="59"/>
      <c r="M232" s="84"/>
      <c r="N232" s="59"/>
      <c r="O232" s="59"/>
      <c r="P232" s="59"/>
      <c r="R232" s="59"/>
      <c r="T232" s="59"/>
      <c r="W232" s="59"/>
      <c r="X232" s="84"/>
    </row>
    <row r="233" spans="1:36" ht="15.75" customHeight="1" x14ac:dyDescent="0.2">
      <c r="F233" s="59"/>
      <c r="G233" s="59"/>
      <c r="J233" s="59"/>
      <c r="M233" s="84"/>
      <c r="N233" s="59"/>
      <c r="O233" s="59"/>
      <c r="P233" s="59"/>
      <c r="R233" s="59"/>
      <c r="T233" s="59"/>
      <c r="W233" s="59"/>
      <c r="X233" s="84"/>
    </row>
    <row r="234" spans="1:36" ht="15.75" customHeight="1" x14ac:dyDescent="0.2">
      <c r="F234" s="59"/>
      <c r="G234" s="59"/>
      <c r="J234" s="59"/>
      <c r="M234" s="84"/>
      <c r="N234" s="59"/>
      <c r="O234" s="59"/>
      <c r="P234" s="59"/>
      <c r="R234" s="59"/>
      <c r="T234" s="59"/>
      <c r="W234" s="59"/>
      <c r="X234" s="84"/>
    </row>
    <row r="235" spans="1:36" ht="15.75" customHeight="1" x14ac:dyDescent="0.2">
      <c r="F235" s="59"/>
      <c r="G235" s="59"/>
      <c r="J235" s="59"/>
      <c r="M235" s="84"/>
      <c r="N235" s="59"/>
      <c r="O235" s="59"/>
      <c r="P235" s="59"/>
      <c r="R235" s="59"/>
      <c r="T235" s="59"/>
      <c r="W235" s="59"/>
      <c r="X235" s="84"/>
    </row>
    <row r="236" spans="1:36" ht="15.75" customHeight="1" x14ac:dyDescent="0.2">
      <c r="F236" s="59"/>
      <c r="G236" s="59"/>
      <c r="J236" s="59"/>
      <c r="M236" s="84"/>
      <c r="N236" s="59"/>
      <c r="O236" s="59"/>
      <c r="P236" s="59"/>
      <c r="R236" s="59"/>
      <c r="T236" s="59"/>
      <c r="W236" s="59"/>
      <c r="X236" s="84"/>
    </row>
    <row r="237" spans="1:36" ht="15.75" customHeight="1" x14ac:dyDescent="0.2">
      <c r="F237" s="59"/>
      <c r="G237" s="59"/>
      <c r="J237" s="59"/>
      <c r="M237" s="84"/>
      <c r="N237" s="59"/>
      <c r="O237" s="59"/>
      <c r="P237" s="59"/>
      <c r="R237" s="59"/>
      <c r="T237" s="59"/>
      <c r="W237" s="59"/>
      <c r="X237" s="84"/>
    </row>
    <row r="238" spans="1:36" ht="15.75" customHeight="1" x14ac:dyDescent="0.2">
      <c r="F238" s="59"/>
      <c r="G238" s="59"/>
      <c r="J238" s="59"/>
      <c r="M238" s="84"/>
      <c r="N238" s="59"/>
      <c r="O238" s="59"/>
      <c r="P238" s="59"/>
      <c r="R238" s="59"/>
      <c r="T238" s="59"/>
      <c r="W238" s="59"/>
      <c r="X238" s="84"/>
    </row>
    <row r="239" spans="1:36" ht="15.75" customHeight="1" x14ac:dyDescent="0.2">
      <c r="F239" s="59"/>
      <c r="G239" s="59"/>
      <c r="J239" s="59"/>
      <c r="M239" s="84"/>
      <c r="N239" s="59"/>
      <c r="O239" s="59"/>
      <c r="P239" s="59"/>
      <c r="R239" s="59"/>
      <c r="T239" s="59"/>
      <c r="W239" s="59"/>
      <c r="X239" s="84"/>
    </row>
    <row r="240" spans="1:36" ht="15.75" customHeight="1" x14ac:dyDescent="0.2">
      <c r="F240" s="59"/>
      <c r="G240" s="59"/>
      <c r="J240" s="59"/>
      <c r="M240" s="84"/>
      <c r="N240" s="59"/>
      <c r="O240" s="59"/>
      <c r="P240" s="59"/>
      <c r="R240" s="59"/>
      <c r="T240" s="59"/>
      <c r="W240" s="59"/>
      <c r="X240" s="84"/>
    </row>
    <row r="241" spans="6:24" ht="15.75" customHeight="1" x14ac:dyDescent="0.2">
      <c r="F241" s="59"/>
      <c r="G241" s="59"/>
      <c r="J241" s="59"/>
      <c r="M241" s="84"/>
      <c r="N241" s="59"/>
      <c r="O241" s="59"/>
      <c r="P241" s="59"/>
      <c r="R241" s="59"/>
      <c r="T241" s="59"/>
      <c r="W241" s="59"/>
      <c r="X241" s="84"/>
    </row>
    <row r="242" spans="6:24" ht="15.75" customHeight="1" x14ac:dyDescent="0.2">
      <c r="F242" s="59"/>
      <c r="G242" s="59"/>
      <c r="J242" s="59"/>
      <c r="M242" s="84"/>
      <c r="N242" s="59"/>
      <c r="O242" s="59"/>
      <c r="P242" s="59"/>
      <c r="R242" s="59"/>
      <c r="T242" s="59"/>
      <c r="W242" s="59"/>
      <c r="X242" s="84"/>
    </row>
    <row r="243" spans="6:24" ht="15.75" customHeight="1" x14ac:dyDescent="0.2">
      <c r="F243" s="59"/>
      <c r="G243" s="59"/>
      <c r="J243" s="59"/>
      <c r="M243" s="84"/>
      <c r="N243" s="59"/>
      <c r="O243" s="59"/>
      <c r="P243" s="59"/>
      <c r="R243" s="59"/>
      <c r="T243" s="59"/>
      <c r="W243" s="59"/>
      <c r="X243" s="84"/>
    </row>
    <row r="244" spans="6:24" ht="15.75" customHeight="1" x14ac:dyDescent="0.2">
      <c r="F244" s="59"/>
      <c r="G244" s="59"/>
      <c r="J244" s="59"/>
      <c r="M244" s="84"/>
      <c r="N244" s="59"/>
      <c r="O244" s="59"/>
      <c r="P244" s="59"/>
      <c r="R244" s="59"/>
      <c r="T244" s="59"/>
      <c r="W244" s="59"/>
      <c r="X244" s="84"/>
    </row>
    <row r="245" spans="6:24" ht="15.75" customHeight="1" x14ac:dyDescent="0.2">
      <c r="F245" s="59"/>
      <c r="G245" s="59"/>
      <c r="J245" s="59"/>
      <c r="M245" s="84"/>
      <c r="N245" s="59"/>
      <c r="O245" s="59"/>
      <c r="P245" s="59"/>
      <c r="R245" s="59"/>
      <c r="T245" s="59"/>
      <c r="W245" s="59"/>
      <c r="X245" s="84"/>
    </row>
    <row r="246" spans="6:24" ht="15.75" customHeight="1" x14ac:dyDescent="0.2">
      <c r="F246" s="59"/>
      <c r="G246" s="59"/>
      <c r="J246" s="59"/>
      <c r="M246" s="84"/>
      <c r="N246" s="59"/>
      <c r="O246" s="59"/>
      <c r="P246" s="59"/>
      <c r="R246" s="59"/>
      <c r="T246" s="59"/>
      <c r="W246" s="59"/>
      <c r="X246" s="84"/>
    </row>
    <row r="247" spans="6:24" ht="15.75" customHeight="1" x14ac:dyDescent="0.2">
      <c r="F247" s="59"/>
      <c r="G247" s="59"/>
      <c r="J247" s="59"/>
      <c r="M247" s="84"/>
      <c r="N247" s="59"/>
      <c r="O247" s="59"/>
      <c r="P247" s="59"/>
      <c r="R247" s="59"/>
      <c r="T247" s="59"/>
      <c r="W247" s="59"/>
      <c r="X247" s="84"/>
    </row>
    <row r="248" spans="6:24" ht="15.75" customHeight="1" x14ac:dyDescent="0.2">
      <c r="F248" s="59"/>
      <c r="G248" s="59"/>
      <c r="J248" s="59"/>
      <c r="M248" s="84"/>
      <c r="N248" s="59"/>
      <c r="O248" s="59"/>
      <c r="P248" s="59"/>
      <c r="R248" s="59"/>
      <c r="T248" s="59"/>
      <c r="W248" s="59"/>
      <c r="X248" s="84"/>
    </row>
    <row r="249" spans="6:24" ht="15.75" customHeight="1" x14ac:dyDescent="0.2">
      <c r="F249" s="59"/>
      <c r="G249" s="59"/>
      <c r="J249" s="59"/>
      <c r="M249" s="84"/>
      <c r="N249" s="59"/>
      <c r="O249" s="59"/>
      <c r="P249" s="59"/>
      <c r="R249" s="59"/>
      <c r="T249" s="59"/>
      <c r="W249" s="59"/>
      <c r="X249" s="84"/>
    </row>
    <row r="250" spans="6:24" ht="15.75" customHeight="1" x14ac:dyDescent="0.2">
      <c r="F250" s="59"/>
      <c r="G250" s="59"/>
      <c r="J250" s="59"/>
      <c r="M250" s="84"/>
      <c r="N250" s="59"/>
      <c r="O250" s="59"/>
      <c r="P250" s="59"/>
      <c r="R250" s="59"/>
      <c r="T250" s="59"/>
      <c r="W250" s="59"/>
      <c r="X250" s="84"/>
    </row>
    <row r="251" spans="6:24" ht="15.75" customHeight="1" x14ac:dyDescent="0.2">
      <c r="F251" s="59"/>
      <c r="G251" s="59"/>
      <c r="J251" s="59"/>
      <c r="M251" s="84"/>
      <c r="N251" s="59"/>
      <c r="O251" s="59"/>
      <c r="P251" s="59"/>
      <c r="R251" s="59"/>
      <c r="T251" s="59"/>
      <c r="W251" s="59"/>
      <c r="X251" s="84"/>
    </row>
    <row r="252" spans="6:24" ht="15.75" customHeight="1" x14ac:dyDescent="0.2">
      <c r="F252" s="59"/>
      <c r="G252" s="59"/>
      <c r="J252" s="59"/>
      <c r="M252" s="84"/>
      <c r="N252" s="59"/>
      <c r="O252" s="59"/>
      <c r="P252" s="59"/>
      <c r="R252" s="59"/>
      <c r="T252" s="59"/>
      <c r="W252" s="59"/>
      <c r="X252" s="84"/>
    </row>
    <row r="253" spans="6:24" ht="15.75" customHeight="1" x14ac:dyDescent="0.2">
      <c r="F253" s="59"/>
      <c r="G253" s="59"/>
      <c r="J253" s="59"/>
      <c r="M253" s="84"/>
      <c r="N253" s="59"/>
      <c r="O253" s="59"/>
      <c r="P253" s="59"/>
      <c r="R253" s="59"/>
      <c r="T253" s="59"/>
      <c r="W253" s="59"/>
      <c r="X253" s="84"/>
    </row>
    <row r="254" spans="6:24" ht="15.75" customHeight="1" x14ac:dyDescent="0.2">
      <c r="F254" s="59"/>
      <c r="G254" s="59"/>
      <c r="J254" s="59"/>
      <c r="M254" s="84"/>
      <c r="N254" s="59"/>
      <c r="O254" s="59"/>
      <c r="P254" s="59"/>
      <c r="R254" s="59"/>
      <c r="T254" s="59"/>
      <c r="W254" s="59"/>
      <c r="X254" s="84"/>
    </row>
    <row r="255" spans="6:24" ht="15.75" customHeight="1" x14ac:dyDescent="0.2">
      <c r="F255" s="59"/>
      <c r="G255" s="59"/>
      <c r="J255" s="59"/>
      <c r="M255" s="84"/>
      <c r="N255" s="59"/>
      <c r="O255" s="59"/>
      <c r="P255" s="59"/>
      <c r="R255" s="59"/>
      <c r="T255" s="59"/>
      <c r="W255" s="59"/>
      <c r="X255" s="84"/>
    </row>
    <row r="256" spans="6:24" ht="15.75" customHeight="1" x14ac:dyDescent="0.2">
      <c r="F256" s="59"/>
      <c r="G256" s="59"/>
      <c r="J256" s="59"/>
      <c r="M256" s="84"/>
      <c r="N256" s="59"/>
      <c r="O256" s="59"/>
      <c r="P256" s="59"/>
      <c r="R256" s="59"/>
      <c r="T256" s="59"/>
      <c r="W256" s="59"/>
      <c r="X256" s="84"/>
    </row>
    <row r="257" spans="6:24" ht="15.75" customHeight="1" x14ac:dyDescent="0.2">
      <c r="F257" s="59"/>
      <c r="G257" s="59"/>
      <c r="J257" s="59"/>
      <c r="M257" s="84"/>
      <c r="N257" s="59"/>
      <c r="O257" s="59"/>
      <c r="P257" s="59"/>
      <c r="R257" s="59"/>
      <c r="T257" s="59"/>
      <c r="W257" s="59"/>
      <c r="X257" s="84"/>
    </row>
    <row r="258" spans="6:24" ht="15.75" customHeight="1" x14ac:dyDescent="0.2">
      <c r="F258" s="59"/>
      <c r="G258" s="59"/>
      <c r="J258" s="59"/>
      <c r="M258" s="84"/>
      <c r="N258" s="59"/>
      <c r="O258" s="59"/>
      <c r="P258" s="59"/>
      <c r="R258" s="59"/>
      <c r="T258" s="59"/>
      <c r="W258" s="59"/>
      <c r="X258" s="84"/>
    </row>
    <row r="259" spans="6:24" ht="15.75" customHeight="1" x14ac:dyDescent="0.2">
      <c r="F259" s="59"/>
      <c r="G259" s="59"/>
      <c r="J259" s="59"/>
      <c r="M259" s="84"/>
      <c r="N259" s="59"/>
      <c r="O259" s="59"/>
      <c r="P259" s="59"/>
      <c r="R259" s="59"/>
      <c r="T259" s="59"/>
      <c r="W259" s="59"/>
      <c r="X259" s="84"/>
    </row>
    <row r="260" spans="6:24" ht="15.75" customHeight="1" x14ac:dyDescent="0.2">
      <c r="F260" s="59"/>
      <c r="G260" s="59"/>
      <c r="J260" s="59"/>
      <c r="M260" s="84"/>
      <c r="N260" s="59"/>
      <c r="O260" s="59"/>
      <c r="P260" s="59"/>
      <c r="R260" s="59"/>
      <c r="T260" s="59"/>
      <c r="W260" s="59"/>
      <c r="X260" s="84"/>
    </row>
    <row r="261" spans="6:24" ht="15.75" customHeight="1" x14ac:dyDescent="0.2">
      <c r="F261" s="59"/>
      <c r="G261" s="59"/>
      <c r="J261" s="59"/>
      <c r="M261" s="84"/>
      <c r="N261" s="59"/>
      <c r="O261" s="59"/>
      <c r="P261" s="59"/>
      <c r="R261" s="59"/>
      <c r="T261" s="59"/>
      <c r="W261" s="59"/>
      <c r="X261" s="84"/>
    </row>
    <row r="262" spans="6:24" ht="15.75" customHeight="1" x14ac:dyDescent="0.2">
      <c r="F262" s="59"/>
      <c r="G262" s="59"/>
      <c r="J262" s="59"/>
      <c r="M262" s="84"/>
      <c r="N262" s="59"/>
      <c r="O262" s="59"/>
      <c r="P262" s="59"/>
      <c r="R262" s="59"/>
      <c r="T262" s="59"/>
      <c r="W262" s="59"/>
      <c r="X262" s="84"/>
    </row>
    <row r="263" spans="6:24" ht="15.75" customHeight="1" x14ac:dyDescent="0.2">
      <c r="F263" s="59"/>
      <c r="G263" s="59"/>
      <c r="J263" s="59"/>
      <c r="M263" s="84"/>
      <c r="N263" s="59"/>
      <c r="O263" s="59"/>
      <c r="P263" s="59"/>
      <c r="R263" s="59"/>
      <c r="T263" s="59"/>
      <c r="W263" s="59"/>
      <c r="X263" s="84"/>
    </row>
    <row r="264" spans="6:24" ht="15.75" customHeight="1" x14ac:dyDescent="0.2">
      <c r="F264" s="59"/>
      <c r="G264" s="59"/>
      <c r="J264" s="59"/>
      <c r="M264" s="84"/>
      <c r="N264" s="59"/>
      <c r="O264" s="59"/>
      <c r="P264" s="59"/>
      <c r="R264" s="59"/>
      <c r="T264" s="59"/>
      <c r="W264" s="59"/>
      <c r="X264" s="84"/>
    </row>
    <row r="265" spans="6:24" ht="15.75" customHeight="1" x14ac:dyDescent="0.2">
      <c r="F265" s="59"/>
      <c r="G265" s="59"/>
      <c r="J265" s="59"/>
      <c r="M265" s="84"/>
      <c r="N265" s="59"/>
      <c r="O265" s="59"/>
      <c r="P265" s="59"/>
      <c r="R265" s="59"/>
      <c r="T265" s="59"/>
      <c r="W265" s="59"/>
      <c r="X265" s="84"/>
    </row>
    <row r="266" spans="6:24" ht="15.75" customHeight="1" x14ac:dyDescent="0.2">
      <c r="F266" s="59"/>
      <c r="G266" s="59"/>
      <c r="J266" s="59"/>
      <c r="M266" s="84"/>
      <c r="N266" s="59"/>
      <c r="O266" s="59"/>
      <c r="P266" s="59"/>
      <c r="R266" s="59"/>
      <c r="T266" s="59"/>
      <c r="W266" s="59"/>
      <c r="X266" s="84"/>
    </row>
    <row r="267" spans="6:24" ht="15.75" customHeight="1" x14ac:dyDescent="0.2">
      <c r="F267" s="59"/>
      <c r="G267" s="59"/>
      <c r="J267" s="59"/>
      <c r="M267" s="84"/>
      <c r="N267" s="59"/>
      <c r="O267" s="59"/>
      <c r="P267" s="59"/>
      <c r="R267" s="59"/>
      <c r="T267" s="59"/>
      <c r="W267" s="59"/>
      <c r="X267" s="84"/>
    </row>
    <row r="268" spans="6:24" ht="15.75" customHeight="1" x14ac:dyDescent="0.2">
      <c r="F268" s="59"/>
      <c r="G268" s="59"/>
      <c r="J268" s="59"/>
      <c r="M268" s="84"/>
      <c r="N268" s="59"/>
      <c r="O268" s="59"/>
      <c r="P268" s="59"/>
      <c r="R268" s="59"/>
      <c r="T268" s="59"/>
      <c r="W268" s="59"/>
      <c r="X268" s="84"/>
    </row>
    <row r="269" spans="6:24" ht="15.75" customHeight="1" x14ac:dyDescent="0.2">
      <c r="F269" s="59"/>
      <c r="G269" s="59"/>
      <c r="J269" s="59"/>
      <c r="M269" s="84"/>
      <c r="N269" s="59"/>
      <c r="O269" s="59"/>
      <c r="P269" s="59"/>
      <c r="R269" s="59"/>
      <c r="T269" s="59"/>
      <c r="W269" s="59"/>
      <c r="X269" s="84"/>
    </row>
    <row r="270" spans="6:24" ht="15.75" customHeight="1" x14ac:dyDescent="0.2">
      <c r="F270" s="59"/>
      <c r="G270" s="59"/>
      <c r="J270" s="59"/>
      <c r="M270" s="84"/>
      <c r="N270" s="59"/>
      <c r="O270" s="59"/>
      <c r="P270" s="59"/>
      <c r="R270" s="59"/>
      <c r="T270" s="59"/>
      <c r="W270" s="59"/>
      <c r="X270" s="84"/>
    </row>
    <row r="271" spans="6:24" ht="15.75" customHeight="1" x14ac:dyDescent="0.2">
      <c r="F271" s="59"/>
      <c r="G271" s="59"/>
      <c r="J271" s="59"/>
      <c r="M271" s="84"/>
      <c r="N271" s="59"/>
      <c r="O271" s="59"/>
      <c r="P271" s="59"/>
      <c r="R271" s="59"/>
      <c r="T271" s="59"/>
      <c r="W271" s="59"/>
      <c r="X271" s="84"/>
    </row>
    <row r="272" spans="6:24" ht="15.75" customHeight="1" x14ac:dyDescent="0.2">
      <c r="F272" s="59"/>
      <c r="G272" s="59"/>
      <c r="J272" s="59"/>
      <c r="M272" s="84"/>
      <c r="N272" s="59"/>
      <c r="O272" s="59"/>
      <c r="P272" s="59"/>
      <c r="R272" s="59"/>
      <c r="T272" s="59"/>
      <c r="W272" s="59"/>
      <c r="X272" s="84"/>
    </row>
    <row r="273" spans="6:24" ht="15.75" customHeight="1" x14ac:dyDescent="0.2">
      <c r="F273" s="59"/>
      <c r="G273" s="59"/>
      <c r="J273" s="59"/>
      <c r="M273" s="84"/>
      <c r="N273" s="59"/>
      <c r="O273" s="59"/>
      <c r="P273" s="59"/>
      <c r="R273" s="59"/>
      <c r="T273" s="59"/>
      <c r="W273" s="59"/>
      <c r="X273" s="84"/>
    </row>
    <row r="274" spans="6:24" ht="15.75" customHeight="1" x14ac:dyDescent="0.2">
      <c r="F274" s="59"/>
      <c r="G274" s="59"/>
      <c r="J274" s="59"/>
      <c r="M274" s="84"/>
      <c r="N274" s="59"/>
      <c r="O274" s="59"/>
      <c r="P274" s="59"/>
      <c r="R274" s="59"/>
      <c r="T274" s="59"/>
      <c r="W274" s="59"/>
      <c r="X274" s="84"/>
    </row>
    <row r="275" spans="6:24" ht="15.75" customHeight="1" x14ac:dyDescent="0.2">
      <c r="F275" s="59"/>
      <c r="G275" s="59"/>
      <c r="J275" s="59"/>
      <c r="M275" s="84"/>
      <c r="N275" s="59"/>
      <c r="O275" s="59"/>
      <c r="P275" s="59"/>
      <c r="R275" s="59"/>
      <c r="T275" s="59"/>
      <c r="W275" s="59"/>
      <c r="X275" s="84"/>
    </row>
    <row r="276" spans="6:24" ht="15.75" customHeight="1" x14ac:dyDescent="0.2">
      <c r="F276" s="59"/>
      <c r="G276" s="59"/>
      <c r="J276" s="59"/>
      <c r="M276" s="84"/>
      <c r="N276" s="59"/>
      <c r="O276" s="59"/>
      <c r="P276" s="59"/>
      <c r="R276" s="59"/>
      <c r="T276" s="59"/>
      <c r="W276" s="59"/>
      <c r="X276" s="84"/>
    </row>
    <row r="277" spans="6:24" ht="15.75" customHeight="1" x14ac:dyDescent="0.2">
      <c r="F277" s="59"/>
      <c r="G277" s="59"/>
      <c r="J277" s="59"/>
      <c r="M277" s="84"/>
      <c r="N277" s="59"/>
      <c r="O277" s="59"/>
      <c r="P277" s="59"/>
      <c r="R277" s="59"/>
      <c r="T277" s="59"/>
      <c r="W277" s="59"/>
      <c r="X277" s="84"/>
    </row>
    <row r="278" spans="6:24" ht="15.75" customHeight="1" x14ac:dyDescent="0.2">
      <c r="F278" s="59"/>
      <c r="G278" s="59"/>
      <c r="J278" s="59"/>
      <c r="M278" s="84"/>
      <c r="N278" s="59"/>
      <c r="O278" s="59"/>
      <c r="P278" s="59"/>
      <c r="R278" s="59"/>
      <c r="T278" s="59"/>
      <c r="W278" s="59"/>
      <c r="X278" s="84"/>
    </row>
    <row r="279" spans="6:24" ht="15.75" customHeight="1" x14ac:dyDescent="0.2">
      <c r="F279" s="59"/>
      <c r="G279" s="59"/>
      <c r="J279" s="59"/>
      <c r="M279" s="84"/>
      <c r="N279" s="59"/>
      <c r="O279" s="59"/>
      <c r="P279" s="59"/>
      <c r="R279" s="59"/>
      <c r="T279" s="59"/>
      <c r="W279" s="59"/>
      <c r="X279" s="84"/>
    </row>
    <row r="280" spans="6:24" ht="15.75" customHeight="1" x14ac:dyDescent="0.2">
      <c r="F280" s="59"/>
      <c r="G280" s="59"/>
      <c r="J280" s="59"/>
      <c r="M280" s="84"/>
      <c r="N280" s="59"/>
      <c r="O280" s="59"/>
      <c r="P280" s="59"/>
      <c r="R280" s="59"/>
      <c r="T280" s="59"/>
      <c r="W280" s="59"/>
      <c r="X280" s="84"/>
    </row>
    <row r="281" spans="6:24" ht="15.75" customHeight="1" x14ac:dyDescent="0.2">
      <c r="F281" s="59"/>
      <c r="G281" s="59"/>
      <c r="J281" s="59"/>
      <c r="M281" s="84"/>
      <c r="N281" s="59"/>
      <c r="O281" s="59"/>
      <c r="P281" s="59"/>
      <c r="R281" s="59"/>
      <c r="T281" s="59"/>
      <c r="W281" s="59"/>
      <c r="X281" s="84"/>
    </row>
    <row r="282" spans="6:24" ht="15.75" customHeight="1" x14ac:dyDescent="0.2">
      <c r="F282" s="59"/>
      <c r="G282" s="59"/>
      <c r="J282" s="59"/>
      <c r="M282" s="84"/>
      <c r="N282" s="59"/>
      <c r="O282" s="59"/>
      <c r="P282" s="59"/>
      <c r="R282" s="59"/>
      <c r="T282" s="59"/>
      <c r="W282" s="59"/>
      <c r="X282" s="84"/>
    </row>
    <row r="283" spans="6:24" ht="15.75" customHeight="1" x14ac:dyDescent="0.2">
      <c r="F283" s="59"/>
      <c r="G283" s="59"/>
      <c r="J283" s="59"/>
      <c r="M283" s="84"/>
      <c r="N283" s="59"/>
      <c r="O283" s="59"/>
      <c r="P283" s="59"/>
      <c r="R283" s="59"/>
      <c r="T283" s="59"/>
      <c r="W283" s="59"/>
      <c r="X283" s="84"/>
    </row>
    <row r="284" spans="6:24" ht="15.75" customHeight="1" x14ac:dyDescent="0.2">
      <c r="F284" s="59"/>
      <c r="G284" s="59"/>
      <c r="J284" s="59"/>
      <c r="M284" s="84"/>
      <c r="N284" s="59"/>
      <c r="O284" s="59"/>
      <c r="P284" s="59"/>
      <c r="R284" s="59"/>
      <c r="T284" s="59"/>
      <c r="W284" s="59"/>
      <c r="X284" s="84"/>
    </row>
    <row r="285" spans="6:24" ht="15.75" customHeight="1" x14ac:dyDescent="0.2">
      <c r="F285" s="59"/>
      <c r="G285" s="59"/>
      <c r="J285" s="59"/>
      <c r="M285" s="84"/>
      <c r="N285" s="59"/>
      <c r="O285" s="59"/>
      <c r="P285" s="59"/>
      <c r="R285" s="59"/>
      <c r="T285" s="59"/>
      <c r="W285" s="59"/>
      <c r="X285" s="84"/>
    </row>
    <row r="286" spans="6:24" ht="15.75" customHeight="1" x14ac:dyDescent="0.2">
      <c r="F286" s="59"/>
      <c r="G286" s="59"/>
      <c r="J286" s="59"/>
      <c r="M286" s="84"/>
      <c r="N286" s="59"/>
      <c r="O286" s="59"/>
      <c r="P286" s="59"/>
      <c r="R286" s="59"/>
      <c r="T286" s="59"/>
      <c r="W286" s="59"/>
      <c r="X286" s="84"/>
    </row>
    <row r="287" spans="6:24" ht="15.75" customHeight="1" x14ac:dyDescent="0.2">
      <c r="F287" s="59"/>
      <c r="G287" s="59"/>
      <c r="J287" s="59"/>
      <c r="M287" s="84"/>
      <c r="N287" s="59"/>
      <c r="O287" s="59"/>
      <c r="P287" s="59"/>
      <c r="R287" s="59"/>
      <c r="T287" s="59"/>
      <c r="W287" s="59"/>
      <c r="X287" s="84"/>
    </row>
    <row r="288" spans="6:24" ht="15.75" customHeight="1" x14ac:dyDescent="0.2">
      <c r="F288" s="59"/>
      <c r="G288" s="59"/>
      <c r="J288" s="59"/>
      <c r="M288" s="84"/>
      <c r="N288" s="59"/>
      <c r="O288" s="59"/>
      <c r="P288" s="59"/>
      <c r="R288" s="59"/>
      <c r="T288" s="59"/>
      <c r="W288" s="59"/>
      <c r="X288" s="84"/>
    </row>
    <row r="289" spans="6:24" ht="15.75" customHeight="1" x14ac:dyDescent="0.2">
      <c r="F289" s="59"/>
      <c r="G289" s="59"/>
      <c r="J289" s="59"/>
      <c r="M289" s="84"/>
      <c r="N289" s="59"/>
      <c r="O289" s="59"/>
      <c r="P289" s="59"/>
      <c r="R289" s="59"/>
      <c r="T289" s="59"/>
      <c r="W289" s="59"/>
      <c r="X289" s="84"/>
    </row>
    <row r="290" spans="6:24" ht="15.75" customHeight="1" x14ac:dyDescent="0.2">
      <c r="F290" s="59"/>
      <c r="G290" s="59"/>
      <c r="J290" s="59"/>
      <c r="M290" s="84"/>
      <c r="N290" s="59"/>
      <c r="O290" s="59"/>
      <c r="P290" s="59"/>
      <c r="R290" s="59"/>
      <c r="T290" s="59"/>
      <c r="W290" s="59"/>
      <c r="X290" s="84"/>
    </row>
    <row r="291" spans="6:24" ht="15.75" customHeight="1" x14ac:dyDescent="0.2">
      <c r="F291" s="59"/>
      <c r="G291" s="59"/>
      <c r="J291" s="59"/>
      <c r="M291" s="84"/>
      <c r="N291" s="59"/>
      <c r="O291" s="59"/>
      <c r="P291" s="59"/>
      <c r="R291" s="59"/>
      <c r="T291" s="59"/>
      <c r="W291" s="59"/>
      <c r="X291" s="84"/>
    </row>
    <row r="292" spans="6:24" ht="15.75" customHeight="1" x14ac:dyDescent="0.2">
      <c r="F292" s="59"/>
      <c r="G292" s="59"/>
      <c r="J292" s="59"/>
      <c r="M292" s="84"/>
      <c r="N292" s="59"/>
      <c r="O292" s="59"/>
      <c r="P292" s="59"/>
      <c r="R292" s="59"/>
      <c r="T292" s="59"/>
      <c r="W292" s="59"/>
      <c r="X292" s="84"/>
    </row>
    <row r="293" spans="6:24" ht="15.75" customHeight="1" x14ac:dyDescent="0.2">
      <c r="F293" s="59"/>
      <c r="G293" s="59"/>
      <c r="J293" s="59"/>
      <c r="M293" s="84"/>
      <c r="N293" s="59"/>
      <c r="O293" s="59"/>
      <c r="P293" s="59"/>
      <c r="R293" s="59"/>
      <c r="T293" s="59"/>
      <c r="W293" s="59"/>
      <c r="X293" s="84"/>
    </row>
    <row r="294" spans="6:24" ht="15.75" customHeight="1" x14ac:dyDescent="0.2">
      <c r="F294" s="59"/>
      <c r="G294" s="59"/>
      <c r="J294" s="59"/>
      <c r="M294" s="84"/>
      <c r="N294" s="59"/>
      <c r="O294" s="59"/>
      <c r="P294" s="59"/>
      <c r="R294" s="59"/>
      <c r="T294" s="59"/>
      <c r="W294" s="59"/>
      <c r="X294" s="84"/>
    </row>
    <row r="295" spans="6:24" ht="15.75" customHeight="1" x14ac:dyDescent="0.2">
      <c r="F295" s="59"/>
      <c r="G295" s="59"/>
      <c r="J295" s="59"/>
      <c r="M295" s="84"/>
      <c r="N295" s="59"/>
      <c r="O295" s="59"/>
      <c r="P295" s="59"/>
      <c r="R295" s="59"/>
      <c r="T295" s="59"/>
      <c r="W295" s="59"/>
      <c r="X295" s="84"/>
    </row>
    <row r="296" spans="6:24" ht="15.75" customHeight="1" x14ac:dyDescent="0.2">
      <c r="F296" s="59"/>
      <c r="G296" s="59"/>
      <c r="J296" s="59"/>
      <c r="M296" s="84"/>
      <c r="N296" s="59"/>
      <c r="O296" s="59"/>
      <c r="P296" s="59"/>
      <c r="R296" s="59"/>
      <c r="T296" s="59"/>
      <c r="W296" s="59"/>
      <c r="X296" s="84"/>
    </row>
    <row r="297" spans="6:24" ht="15.75" customHeight="1" x14ac:dyDescent="0.2">
      <c r="F297" s="59"/>
      <c r="G297" s="59"/>
      <c r="J297" s="59"/>
      <c r="M297" s="84"/>
      <c r="N297" s="59"/>
      <c r="O297" s="59"/>
      <c r="P297" s="59"/>
      <c r="R297" s="59"/>
      <c r="T297" s="59"/>
      <c r="W297" s="59"/>
      <c r="X297" s="84"/>
    </row>
    <row r="298" spans="6:24" ht="15.75" customHeight="1" x14ac:dyDescent="0.2">
      <c r="F298" s="59"/>
      <c r="G298" s="59"/>
      <c r="J298" s="59"/>
      <c r="M298" s="84"/>
      <c r="N298" s="59"/>
      <c r="O298" s="59"/>
      <c r="P298" s="59"/>
      <c r="R298" s="59"/>
      <c r="T298" s="59"/>
      <c r="W298" s="59"/>
      <c r="X298" s="84"/>
    </row>
    <row r="299" spans="6:24" ht="15.75" customHeight="1" x14ac:dyDescent="0.2">
      <c r="F299" s="59"/>
      <c r="G299" s="59"/>
      <c r="J299" s="59"/>
      <c r="M299" s="84"/>
      <c r="N299" s="59"/>
      <c r="O299" s="59"/>
      <c r="P299" s="59"/>
      <c r="R299" s="59"/>
      <c r="T299" s="59"/>
      <c r="W299" s="59"/>
      <c r="X299" s="84"/>
    </row>
    <row r="300" spans="6:24" ht="15.75" customHeight="1" x14ac:dyDescent="0.2">
      <c r="F300" s="59"/>
      <c r="G300" s="59"/>
      <c r="J300" s="59"/>
      <c r="M300" s="84"/>
      <c r="N300" s="59"/>
      <c r="O300" s="59"/>
      <c r="P300" s="59"/>
      <c r="R300" s="59"/>
      <c r="T300" s="59"/>
      <c r="W300" s="59"/>
      <c r="X300" s="84"/>
    </row>
    <row r="301" spans="6:24" ht="15.75" customHeight="1" x14ac:dyDescent="0.2">
      <c r="F301" s="59"/>
      <c r="G301" s="59"/>
      <c r="J301" s="59"/>
      <c r="M301" s="84"/>
      <c r="N301" s="59"/>
      <c r="O301" s="59"/>
      <c r="P301" s="59"/>
      <c r="R301" s="59"/>
      <c r="T301" s="59"/>
      <c r="W301" s="59"/>
      <c r="X301" s="84"/>
    </row>
    <row r="302" spans="6:24" ht="15.75" customHeight="1" x14ac:dyDescent="0.2">
      <c r="F302" s="59"/>
      <c r="G302" s="59"/>
      <c r="J302" s="59"/>
      <c r="M302" s="84"/>
      <c r="N302" s="59"/>
      <c r="O302" s="59"/>
      <c r="P302" s="59"/>
      <c r="R302" s="59"/>
      <c r="T302" s="59"/>
      <c r="W302" s="59"/>
      <c r="X302" s="84"/>
    </row>
    <row r="303" spans="6:24" ht="15.75" customHeight="1" x14ac:dyDescent="0.2">
      <c r="F303" s="59"/>
      <c r="G303" s="59"/>
      <c r="J303" s="59"/>
      <c r="M303" s="84"/>
      <c r="N303" s="59"/>
      <c r="O303" s="59"/>
      <c r="P303" s="59"/>
      <c r="R303" s="59"/>
      <c r="T303" s="59"/>
      <c r="W303" s="59"/>
      <c r="X303" s="84"/>
    </row>
    <row r="304" spans="6:24" ht="15.75" customHeight="1" x14ac:dyDescent="0.2">
      <c r="F304" s="59"/>
      <c r="G304" s="59"/>
      <c r="J304" s="59"/>
      <c r="M304" s="84"/>
      <c r="N304" s="59"/>
      <c r="O304" s="59"/>
      <c r="P304" s="59"/>
      <c r="R304" s="59"/>
      <c r="T304" s="59"/>
      <c r="W304" s="59"/>
      <c r="X304" s="84"/>
    </row>
    <row r="305" spans="6:24" ht="15.75" customHeight="1" x14ac:dyDescent="0.2">
      <c r="F305" s="59"/>
      <c r="G305" s="59"/>
      <c r="J305" s="59"/>
      <c r="M305" s="84"/>
      <c r="N305" s="59"/>
      <c r="O305" s="59"/>
      <c r="P305" s="59"/>
      <c r="R305" s="59"/>
      <c r="T305" s="59"/>
      <c r="W305" s="59"/>
      <c r="X305" s="84"/>
    </row>
    <row r="306" spans="6:24" ht="15.75" customHeight="1" x14ac:dyDescent="0.2">
      <c r="F306" s="59"/>
      <c r="G306" s="59"/>
      <c r="J306" s="59"/>
      <c r="M306" s="84"/>
      <c r="N306" s="59"/>
      <c r="O306" s="59"/>
      <c r="P306" s="59"/>
      <c r="R306" s="59"/>
      <c r="T306" s="59"/>
      <c r="W306" s="59"/>
      <c r="X306" s="84"/>
    </row>
    <row r="307" spans="6:24" ht="15.75" customHeight="1" x14ac:dyDescent="0.2">
      <c r="F307" s="59"/>
      <c r="G307" s="59"/>
      <c r="J307" s="59"/>
      <c r="M307" s="84"/>
      <c r="N307" s="59"/>
      <c r="O307" s="59"/>
      <c r="P307" s="59"/>
      <c r="R307" s="59"/>
      <c r="T307" s="59"/>
      <c r="W307" s="59"/>
      <c r="X307" s="84"/>
    </row>
    <row r="308" spans="6:24" ht="15.75" customHeight="1" x14ac:dyDescent="0.2">
      <c r="F308" s="59"/>
      <c r="G308" s="59"/>
      <c r="J308" s="59"/>
      <c r="M308" s="84"/>
      <c r="N308" s="59"/>
      <c r="O308" s="59"/>
      <c r="P308" s="59"/>
      <c r="R308" s="59"/>
      <c r="T308" s="59"/>
      <c r="W308" s="59"/>
      <c r="X308" s="84"/>
    </row>
    <row r="309" spans="6:24" ht="15.75" customHeight="1" x14ac:dyDescent="0.2">
      <c r="F309" s="59"/>
      <c r="G309" s="59"/>
      <c r="J309" s="59"/>
      <c r="M309" s="84"/>
      <c r="N309" s="59"/>
      <c r="O309" s="59"/>
      <c r="P309" s="59"/>
      <c r="R309" s="59"/>
      <c r="T309" s="59"/>
      <c r="W309" s="59"/>
      <c r="X309" s="84"/>
    </row>
    <row r="310" spans="6:24" ht="15.75" customHeight="1" x14ac:dyDescent="0.2">
      <c r="F310" s="59"/>
      <c r="G310" s="59"/>
      <c r="J310" s="59"/>
      <c r="M310" s="84"/>
      <c r="N310" s="59"/>
      <c r="O310" s="59"/>
      <c r="P310" s="59"/>
      <c r="R310" s="59"/>
      <c r="T310" s="59"/>
      <c r="W310" s="59"/>
      <c r="X310" s="84"/>
    </row>
    <row r="311" spans="6:24" ht="15.75" customHeight="1" x14ac:dyDescent="0.2">
      <c r="F311" s="59"/>
      <c r="G311" s="59"/>
      <c r="J311" s="59"/>
      <c r="M311" s="84"/>
      <c r="N311" s="59"/>
      <c r="O311" s="59"/>
      <c r="P311" s="59"/>
      <c r="R311" s="59"/>
      <c r="T311" s="59"/>
      <c r="W311" s="59"/>
      <c r="X311" s="84"/>
    </row>
    <row r="312" spans="6:24" ht="15.75" customHeight="1" x14ac:dyDescent="0.2">
      <c r="F312" s="59"/>
      <c r="G312" s="59"/>
      <c r="J312" s="59"/>
      <c r="M312" s="84"/>
      <c r="N312" s="59"/>
      <c r="O312" s="59"/>
      <c r="P312" s="59"/>
      <c r="R312" s="59"/>
      <c r="T312" s="59"/>
      <c r="W312" s="59"/>
      <c r="X312" s="84"/>
    </row>
    <row r="313" spans="6:24" ht="15.75" customHeight="1" x14ac:dyDescent="0.2">
      <c r="F313" s="59"/>
      <c r="G313" s="59"/>
      <c r="J313" s="59"/>
      <c r="M313" s="84"/>
      <c r="N313" s="59"/>
      <c r="O313" s="59"/>
      <c r="P313" s="59"/>
      <c r="R313" s="59"/>
      <c r="T313" s="59"/>
      <c r="W313" s="59"/>
      <c r="X313" s="84"/>
    </row>
    <row r="314" spans="6:24" ht="15.75" customHeight="1" x14ac:dyDescent="0.2">
      <c r="F314" s="59"/>
      <c r="G314" s="59"/>
      <c r="J314" s="59"/>
      <c r="M314" s="84"/>
      <c r="N314" s="59"/>
      <c r="O314" s="59"/>
      <c r="P314" s="59"/>
      <c r="R314" s="59"/>
      <c r="T314" s="59"/>
      <c r="W314" s="59"/>
      <c r="X314" s="84"/>
    </row>
    <row r="315" spans="6:24" ht="15.75" customHeight="1" x14ac:dyDescent="0.2">
      <c r="F315" s="59"/>
      <c r="G315" s="59"/>
      <c r="J315" s="59"/>
      <c r="M315" s="84"/>
      <c r="N315" s="59"/>
      <c r="O315" s="59"/>
      <c r="P315" s="59"/>
      <c r="R315" s="59"/>
      <c r="T315" s="59"/>
      <c r="W315" s="59"/>
      <c r="X315" s="84"/>
    </row>
    <row r="316" spans="6:24" ht="15.75" customHeight="1" x14ac:dyDescent="0.2">
      <c r="F316" s="59"/>
      <c r="G316" s="59"/>
      <c r="J316" s="59"/>
      <c r="M316" s="84"/>
      <c r="N316" s="59"/>
      <c r="O316" s="59"/>
      <c r="P316" s="59"/>
      <c r="R316" s="59"/>
      <c r="T316" s="59"/>
      <c r="W316" s="59"/>
      <c r="X316" s="84"/>
    </row>
    <row r="317" spans="6:24" ht="15.75" customHeight="1" x14ac:dyDescent="0.2">
      <c r="F317" s="59"/>
      <c r="G317" s="59"/>
      <c r="J317" s="59"/>
      <c r="M317" s="84"/>
      <c r="N317" s="59"/>
      <c r="O317" s="59"/>
      <c r="P317" s="59"/>
      <c r="R317" s="59"/>
      <c r="T317" s="59"/>
      <c r="W317" s="59"/>
      <c r="X317" s="84"/>
    </row>
    <row r="318" spans="6:24" ht="15.75" customHeight="1" x14ac:dyDescent="0.2">
      <c r="F318" s="59"/>
      <c r="G318" s="59"/>
      <c r="J318" s="59"/>
      <c r="M318" s="84"/>
      <c r="N318" s="59"/>
      <c r="O318" s="59"/>
      <c r="P318" s="59"/>
      <c r="R318" s="59"/>
      <c r="T318" s="59"/>
      <c r="W318" s="59"/>
      <c r="X318" s="84"/>
    </row>
    <row r="319" spans="6:24" ht="15.75" customHeight="1" x14ac:dyDescent="0.2">
      <c r="F319" s="59"/>
      <c r="G319" s="59"/>
      <c r="J319" s="59"/>
      <c r="M319" s="84"/>
      <c r="N319" s="59"/>
      <c r="O319" s="59"/>
      <c r="P319" s="59"/>
      <c r="R319" s="59"/>
      <c r="T319" s="59"/>
      <c r="W319" s="59"/>
      <c r="X319" s="84"/>
    </row>
    <row r="320" spans="6:24" ht="15.75" customHeight="1" x14ac:dyDescent="0.2">
      <c r="F320" s="59"/>
      <c r="G320" s="59"/>
      <c r="J320" s="59"/>
      <c r="M320" s="84"/>
      <c r="N320" s="59"/>
      <c r="O320" s="59"/>
      <c r="P320" s="59"/>
      <c r="R320" s="59"/>
      <c r="T320" s="59"/>
      <c r="W320" s="59"/>
      <c r="X320" s="84"/>
    </row>
    <row r="321" spans="6:24" ht="15.75" customHeight="1" x14ac:dyDescent="0.2">
      <c r="F321" s="59"/>
      <c r="G321" s="59"/>
      <c r="J321" s="59"/>
      <c r="M321" s="84"/>
      <c r="N321" s="59"/>
      <c r="O321" s="59"/>
      <c r="P321" s="59"/>
      <c r="R321" s="59"/>
      <c r="T321" s="59"/>
      <c r="W321" s="59"/>
      <c r="X321" s="84"/>
    </row>
    <row r="322" spans="6:24" ht="15.75" customHeight="1" x14ac:dyDescent="0.2">
      <c r="F322" s="59"/>
      <c r="G322" s="59"/>
      <c r="J322" s="59"/>
      <c r="M322" s="84"/>
      <c r="N322" s="59"/>
      <c r="O322" s="59"/>
      <c r="P322" s="59"/>
      <c r="R322" s="59"/>
      <c r="T322" s="59"/>
      <c r="W322" s="59"/>
      <c r="X322" s="84"/>
    </row>
    <row r="323" spans="6:24" ht="15.75" customHeight="1" x14ac:dyDescent="0.2">
      <c r="F323" s="59"/>
      <c r="G323" s="59"/>
      <c r="J323" s="59"/>
      <c r="M323" s="84"/>
      <c r="N323" s="59"/>
      <c r="O323" s="59"/>
      <c r="P323" s="59"/>
      <c r="R323" s="59"/>
      <c r="T323" s="59"/>
      <c r="W323" s="59"/>
      <c r="X323" s="84"/>
    </row>
    <row r="324" spans="6:24" ht="15.75" customHeight="1" x14ac:dyDescent="0.2">
      <c r="F324" s="59"/>
      <c r="G324" s="59"/>
      <c r="J324" s="59"/>
      <c r="M324" s="84"/>
      <c r="N324" s="59"/>
      <c r="O324" s="59"/>
      <c r="P324" s="59"/>
      <c r="R324" s="59"/>
      <c r="T324" s="59"/>
      <c r="W324" s="59"/>
      <c r="X324" s="84"/>
    </row>
    <row r="325" spans="6:24" ht="15.75" customHeight="1" x14ac:dyDescent="0.2">
      <c r="F325" s="59"/>
      <c r="G325" s="59"/>
      <c r="J325" s="59"/>
      <c r="M325" s="84"/>
      <c r="N325" s="59"/>
      <c r="O325" s="59"/>
      <c r="P325" s="59"/>
      <c r="R325" s="59"/>
      <c r="T325" s="59"/>
      <c r="W325" s="59"/>
      <c r="X325" s="84"/>
    </row>
    <row r="326" spans="6:24" ht="15.75" customHeight="1" x14ac:dyDescent="0.2">
      <c r="F326" s="59"/>
      <c r="G326" s="59"/>
      <c r="J326" s="59"/>
      <c r="M326" s="84"/>
      <c r="N326" s="59"/>
      <c r="O326" s="59"/>
      <c r="P326" s="59"/>
      <c r="R326" s="59"/>
      <c r="T326" s="59"/>
      <c r="W326" s="59"/>
      <c r="X326" s="84"/>
    </row>
    <row r="327" spans="6:24" ht="15.75" customHeight="1" x14ac:dyDescent="0.2">
      <c r="F327" s="59"/>
      <c r="G327" s="59"/>
      <c r="J327" s="59"/>
      <c r="M327" s="84"/>
      <c r="N327" s="59"/>
      <c r="O327" s="59"/>
      <c r="P327" s="59"/>
      <c r="R327" s="59"/>
      <c r="T327" s="59"/>
      <c r="W327" s="59"/>
      <c r="X327" s="84"/>
    </row>
    <row r="328" spans="6:24" ht="15.75" customHeight="1" x14ac:dyDescent="0.2">
      <c r="F328" s="59"/>
      <c r="G328" s="59"/>
      <c r="J328" s="59"/>
      <c r="M328" s="84"/>
      <c r="N328" s="59"/>
      <c r="O328" s="59"/>
      <c r="P328" s="59"/>
      <c r="R328" s="59"/>
      <c r="T328" s="59"/>
      <c r="W328" s="59"/>
      <c r="X328" s="84"/>
    </row>
    <row r="329" spans="6:24" ht="15.75" customHeight="1" x14ac:dyDescent="0.2">
      <c r="F329" s="59"/>
      <c r="G329" s="59"/>
      <c r="J329" s="59"/>
      <c r="M329" s="84"/>
      <c r="N329" s="59"/>
      <c r="O329" s="59"/>
      <c r="P329" s="59"/>
      <c r="R329" s="59"/>
      <c r="T329" s="59"/>
      <c r="W329" s="59"/>
      <c r="X329" s="84"/>
    </row>
    <row r="330" spans="6:24" ht="15.75" customHeight="1" x14ac:dyDescent="0.2">
      <c r="F330" s="59"/>
      <c r="G330" s="59"/>
      <c r="J330" s="59"/>
      <c r="M330" s="84"/>
      <c r="N330" s="59"/>
      <c r="O330" s="59"/>
      <c r="P330" s="59"/>
      <c r="R330" s="59"/>
      <c r="T330" s="59"/>
      <c r="W330" s="59"/>
      <c r="X330" s="84"/>
    </row>
    <row r="331" spans="6:24" ht="15.75" customHeight="1" x14ac:dyDescent="0.2">
      <c r="F331" s="59"/>
      <c r="G331" s="59"/>
      <c r="J331" s="59"/>
      <c r="M331" s="84"/>
      <c r="N331" s="59"/>
      <c r="O331" s="59"/>
      <c r="P331" s="59"/>
      <c r="R331" s="59"/>
      <c r="T331" s="59"/>
      <c r="W331" s="59"/>
      <c r="X331" s="84"/>
    </row>
    <row r="332" spans="6:24" ht="15.75" customHeight="1" x14ac:dyDescent="0.2">
      <c r="F332" s="59"/>
      <c r="G332" s="59"/>
      <c r="J332" s="59"/>
      <c r="M332" s="84"/>
      <c r="N332" s="59"/>
      <c r="O332" s="59"/>
      <c r="P332" s="59"/>
      <c r="R332" s="59"/>
      <c r="T332" s="59"/>
      <c r="W332" s="59"/>
      <c r="X332" s="84"/>
    </row>
    <row r="333" spans="6:24" ht="15.75" customHeight="1" x14ac:dyDescent="0.2">
      <c r="F333" s="59"/>
      <c r="G333" s="59"/>
      <c r="J333" s="59"/>
      <c r="M333" s="84"/>
      <c r="N333" s="59"/>
      <c r="O333" s="59"/>
      <c r="P333" s="59"/>
      <c r="R333" s="59"/>
      <c r="T333" s="59"/>
      <c r="W333" s="59"/>
      <c r="X333" s="84"/>
    </row>
    <row r="334" spans="6:24" ht="15.75" customHeight="1" x14ac:dyDescent="0.2">
      <c r="F334" s="59"/>
      <c r="G334" s="59"/>
      <c r="J334" s="59"/>
      <c r="M334" s="84"/>
      <c r="N334" s="59"/>
      <c r="O334" s="59"/>
      <c r="P334" s="59"/>
      <c r="R334" s="59"/>
      <c r="T334" s="59"/>
      <c r="W334" s="59"/>
      <c r="X334" s="84"/>
    </row>
    <row r="335" spans="6:24" ht="15.75" customHeight="1" x14ac:dyDescent="0.2">
      <c r="F335" s="59"/>
      <c r="G335" s="59"/>
      <c r="J335" s="59"/>
      <c r="M335" s="84"/>
      <c r="N335" s="59"/>
      <c r="O335" s="59"/>
      <c r="P335" s="59"/>
      <c r="R335" s="59"/>
      <c r="T335" s="59"/>
      <c r="W335" s="59"/>
      <c r="X335" s="84"/>
    </row>
    <row r="336" spans="6:24" ht="15.75" customHeight="1" x14ac:dyDescent="0.2">
      <c r="F336" s="59"/>
      <c r="G336" s="59"/>
      <c r="J336" s="59"/>
      <c r="M336" s="84"/>
      <c r="N336" s="59"/>
      <c r="O336" s="59"/>
      <c r="P336" s="59"/>
      <c r="R336" s="59"/>
      <c r="T336" s="59"/>
      <c r="W336" s="59"/>
      <c r="X336" s="84"/>
    </row>
    <row r="337" spans="6:24" ht="15.75" customHeight="1" x14ac:dyDescent="0.2">
      <c r="F337" s="59"/>
      <c r="G337" s="59"/>
      <c r="J337" s="59"/>
      <c r="M337" s="84"/>
      <c r="N337" s="59"/>
      <c r="O337" s="59"/>
      <c r="P337" s="59"/>
      <c r="R337" s="59"/>
      <c r="T337" s="59"/>
      <c r="W337" s="59"/>
      <c r="X337" s="84"/>
    </row>
    <row r="338" spans="6:24" ht="15.75" customHeight="1" x14ac:dyDescent="0.2">
      <c r="F338" s="59"/>
      <c r="G338" s="59"/>
      <c r="J338" s="59"/>
      <c r="M338" s="84"/>
      <c r="N338" s="59"/>
      <c r="O338" s="59"/>
      <c r="P338" s="59"/>
      <c r="R338" s="59"/>
      <c r="T338" s="59"/>
      <c r="W338" s="59"/>
      <c r="X338" s="84"/>
    </row>
    <row r="339" spans="6:24" ht="15.75" customHeight="1" x14ac:dyDescent="0.2">
      <c r="F339" s="59"/>
      <c r="G339" s="59"/>
      <c r="J339" s="59"/>
      <c r="M339" s="84"/>
      <c r="N339" s="59"/>
      <c r="O339" s="59"/>
      <c r="P339" s="59"/>
      <c r="R339" s="59"/>
      <c r="T339" s="59"/>
      <c r="W339" s="59"/>
      <c r="X339" s="84"/>
    </row>
    <row r="340" spans="6:24" ht="15.75" customHeight="1" x14ac:dyDescent="0.2">
      <c r="F340" s="59"/>
      <c r="G340" s="59"/>
      <c r="J340" s="59"/>
      <c r="M340" s="84"/>
      <c r="N340" s="59"/>
      <c r="O340" s="59"/>
      <c r="P340" s="59"/>
      <c r="R340" s="59"/>
      <c r="T340" s="59"/>
      <c r="W340" s="59"/>
      <c r="X340" s="84"/>
    </row>
    <row r="341" spans="6:24" ht="15.75" customHeight="1" x14ac:dyDescent="0.2">
      <c r="F341" s="59"/>
      <c r="G341" s="59"/>
      <c r="J341" s="59"/>
      <c r="M341" s="84"/>
      <c r="N341" s="59"/>
      <c r="O341" s="59"/>
      <c r="P341" s="59"/>
      <c r="R341" s="59"/>
      <c r="T341" s="59"/>
      <c r="W341" s="59"/>
      <c r="X341" s="84"/>
    </row>
    <row r="342" spans="6:24" ht="15.75" customHeight="1" x14ac:dyDescent="0.2">
      <c r="F342" s="59"/>
      <c r="G342" s="59"/>
      <c r="J342" s="59"/>
      <c r="M342" s="84"/>
      <c r="N342" s="59"/>
      <c r="O342" s="59"/>
      <c r="P342" s="59"/>
      <c r="R342" s="59"/>
      <c r="T342" s="59"/>
      <c r="W342" s="59"/>
      <c r="X342" s="84"/>
    </row>
    <row r="343" spans="6:24" ht="15.75" customHeight="1" x14ac:dyDescent="0.2">
      <c r="F343" s="59"/>
      <c r="G343" s="59"/>
      <c r="J343" s="59"/>
      <c r="M343" s="84"/>
      <c r="N343" s="59"/>
      <c r="O343" s="59"/>
      <c r="P343" s="59"/>
      <c r="R343" s="59"/>
      <c r="T343" s="59"/>
      <c r="W343" s="59"/>
      <c r="X343" s="84"/>
    </row>
    <row r="344" spans="6:24" ht="15.75" customHeight="1" x14ac:dyDescent="0.2">
      <c r="F344" s="59"/>
      <c r="G344" s="59"/>
      <c r="J344" s="59"/>
      <c r="M344" s="84"/>
      <c r="N344" s="59"/>
      <c r="O344" s="59"/>
      <c r="P344" s="59"/>
      <c r="R344" s="59"/>
      <c r="T344" s="59"/>
      <c r="W344" s="59"/>
      <c r="X344" s="84"/>
    </row>
    <row r="345" spans="6:24" ht="15.75" customHeight="1" x14ac:dyDescent="0.2">
      <c r="F345" s="59"/>
      <c r="G345" s="59"/>
      <c r="J345" s="59"/>
      <c r="M345" s="84"/>
      <c r="N345" s="59"/>
      <c r="O345" s="59"/>
      <c r="P345" s="59"/>
      <c r="R345" s="59"/>
      <c r="T345" s="59"/>
      <c r="W345" s="59"/>
      <c r="X345" s="84"/>
    </row>
    <row r="346" spans="6:24" ht="15.75" customHeight="1" x14ac:dyDescent="0.2">
      <c r="F346" s="59"/>
      <c r="G346" s="59"/>
      <c r="J346" s="59"/>
      <c r="M346" s="84"/>
      <c r="N346" s="59"/>
      <c r="O346" s="59"/>
      <c r="P346" s="59"/>
      <c r="R346" s="59"/>
      <c r="T346" s="59"/>
      <c r="W346" s="59"/>
      <c r="X346" s="84"/>
    </row>
    <row r="347" spans="6:24" ht="15.75" customHeight="1" x14ac:dyDescent="0.2">
      <c r="F347" s="59"/>
      <c r="G347" s="59"/>
      <c r="J347" s="59"/>
      <c r="M347" s="84"/>
      <c r="N347" s="59"/>
      <c r="O347" s="59"/>
      <c r="P347" s="59"/>
      <c r="R347" s="59"/>
      <c r="T347" s="59"/>
      <c r="W347" s="59"/>
      <c r="X347" s="84"/>
    </row>
    <row r="348" spans="6:24" ht="15.75" customHeight="1" x14ac:dyDescent="0.2">
      <c r="F348" s="59"/>
      <c r="G348" s="59"/>
      <c r="J348" s="59"/>
      <c r="M348" s="84"/>
      <c r="N348" s="59"/>
      <c r="O348" s="59"/>
      <c r="P348" s="59"/>
      <c r="R348" s="59"/>
      <c r="T348" s="59"/>
      <c r="W348" s="59"/>
      <c r="X348" s="84"/>
    </row>
    <row r="349" spans="6:24" ht="15.75" customHeight="1" x14ac:dyDescent="0.2">
      <c r="F349" s="59"/>
      <c r="G349" s="59"/>
      <c r="J349" s="59"/>
      <c r="M349" s="84"/>
      <c r="N349" s="59"/>
      <c r="O349" s="59"/>
      <c r="P349" s="59"/>
      <c r="R349" s="59"/>
      <c r="T349" s="59"/>
      <c r="W349" s="59"/>
      <c r="X349" s="84"/>
    </row>
    <row r="350" spans="6:24" ht="15.75" customHeight="1" x14ac:dyDescent="0.2">
      <c r="F350" s="59"/>
      <c r="G350" s="59"/>
      <c r="J350" s="59"/>
      <c r="M350" s="84"/>
      <c r="N350" s="59"/>
      <c r="O350" s="59"/>
      <c r="P350" s="59"/>
      <c r="R350" s="59"/>
      <c r="T350" s="59"/>
      <c r="W350" s="59"/>
      <c r="X350" s="84"/>
    </row>
    <row r="351" spans="6:24" ht="15.75" customHeight="1" x14ac:dyDescent="0.2">
      <c r="F351" s="59"/>
      <c r="G351" s="59"/>
      <c r="J351" s="59"/>
      <c r="M351" s="84"/>
      <c r="N351" s="59"/>
      <c r="O351" s="59"/>
      <c r="P351" s="59"/>
      <c r="R351" s="59"/>
      <c r="T351" s="59"/>
      <c r="W351" s="59"/>
      <c r="X351" s="84"/>
    </row>
    <row r="352" spans="6:24" ht="15.75" customHeight="1" x14ac:dyDescent="0.2">
      <c r="F352" s="59"/>
      <c r="G352" s="59"/>
      <c r="J352" s="59"/>
      <c r="M352" s="84"/>
      <c r="N352" s="59"/>
      <c r="O352" s="59"/>
      <c r="P352" s="59"/>
      <c r="R352" s="59"/>
      <c r="T352" s="59"/>
      <c r="W352" s="59"/>
      <c r="X352" s="84"/>
    </row>
    <row r="353" spans="6:24" ht="15.75" customHeight="1" x14ac:dyDescent="0.2">
      <c r="F353" s="59"/>
      <c r="G353" s="59"/>
      <c r="J353" s="59"/>
      <c r="M353" s="84"/>
      <c r="N353" s="59"/>
      <c r="O353" s="59"/>
      <c r="P353" s="59"/>
      <c r="R353" s="59"/>
      <c r="T353" s="59"/>
      <c r="W353" s="59"/>
      <c r="X353" s="84"/>
    </row>
    <row r="354" spans="6:24" ht="15.75" customHeight="1" x14ac:dyDescent="0.2">
      <c r="F354" s="59"/>
      <c r="G354" s="59"/>
      <c r="J354" s="59"/>
      <c r="M354" s="84"/>
      <c r="N354" s="59"/>
      <c r="O354" s="59"/>
      <c r="P354" s="59"/>
      <c r="R354" s="59"/>
      <c r="T354" s="59"/>
      <c r="W354" s="59"/>
      <c r="X354" s="84"/>
    </row>
    <row r="355" spans="6:24" ht="15.75" customHeight="1" x14ac:dyDescent="0.2">
      <c r="F355" s="59"/>
      <c r="G355" s="59"/>
      <c r="J355" s="59"/>
      <c r="M355" s="84"/>
      <c r="N355" s="59"/>
      <c r="O355" s="59"/>
      <c r="P355" s="59"/>
      <c r="R355" s="59"/>
      <c r="T355" s="59"/>
      <c r="W355" s="59"/>
      <c r="X355" s="84"/>
    </row>
    <row r="356" spans="6:24" ht="15.75" customHeight="1" x14ac:dyDescent="0.2">
      <c r="F356" s="59"/>
      <c r="G356" s="59"/>
      <c r="J356" s="59"/>
      <c r="M356" s="84"/>
      <c r="N356" s="59"/>
      <c r="O356" s="59"/>
      <c r="P356" s="59"/>
      <c r="R356" s="59"/>
      <c r="T356" s="59"/>
      <c r="W356" s="59"/>
      <c r="X356" s="84"/>
    </row>
    <row r="357" spans="6:24" ht="15.75" customHeight="1" x14ac:dyDescent="0.2">
      <c r="F357" s="59"/>
      <c r="G357" s="59"/>
      <c r="J357" s="59"/>
      <c r="M357" s="84"/>
      <c r="N357" s="59"/>
      <c r="O357" s="59"/>
      <c r="P357" s="59"/>
      <c r="R357" s="59"/>
      <c r="T357" s="59"/>
      <c r="W357" s="59"/>
      <c r="X357" s="84"/>
    </row>
    <row r="358" spans="6:24" ht="15.75" customHeight="1" x14ac:dyDescent="0.2">
      <c r="F358" s="59"/>
      <c r="G358" s="59"/>
      <c r="J358" s="59"/>
      <c r="M358" s="84"/>
      <c r="N358" s="59"/>
      <c r="O358" s="59"/>
      <c r="P358" s="59"/>
      <c r="R358" s="59"/>
      <c r="T358" s="59"/>
      <c r="W358" s="59"/>
      <c r="X358" s="84"/>
    </row>
    <row r="359" spans="6:24" ht="15.75" customHeight="1" x14ac:dyDescent="0.2">
      <c r="F359" s="59"/>
      <c r="G359" s="59"/>
      <c r="J359" s="59"/>
      <c r="M359" s="84"/>
      <c r="N359" s="59"/>
      <c r="O359" s="59"/>
      <c r="P359" s="59"/>
      <c r="R359" s="59"/>
      <c r="T359" s="59"/>
      <c r="W359" s="59"/>
      <c r="X359" s="84"/>
    </row>
    <row r="360" spans="6:24" ht="15.75" customHeight="1" x14ac:dyDescent="0.2">
      <c r="F360" s="59"/>
      <c r="G360" s="59"/>
      <c r="J360" s="59"/>
      <c r="M360" s="84"/>
      <c r="N360" s="59"/>
      <c r="O360" s="59"/>
      <c r="P360" s="59"/>
      <c r="R360" s="59"/>
      <c r="T360" s="59"/>
      <c r="W360" s="59"/>
      <c r="X360" s="84"/>
    </row>
    <row r="361" spans="6:24" ht="15.75" customHeight="1" x14ac:dyDescent="0.2">
      <c r="F361" s="59"/>
      <c r="G361" s="59"/>
      <c r="J361" s="59"/>
      <c r="M361" s="84"/>
      <c r="N361" s="59"/>
      <c r="O361" s="59"/>
      <c r="P361" s="59"/>
      <c r="R361" s="59"/>
      <c r="T361" s="59"/>
      <c r="W361" s="59"/>
      <c r="X361" s="84"/>
    </row>
    <row r="362" spans="6:24" ht="15.75" customHeight="1" x14ac:dyDescent="0.2">
      <c r="F362" s="59"/>
      <c r="G362" s="59"/>
      <c r="J362" s="59"/>
      <c r="M362" s="84"/>
      <c r="N362" s="59"/>
      <c r="O362" s="59"/>
      <c r="P362" s="59"/>
      <c r="R362" s="59"/>
      <c r="T362" s="59"/>
      <c r="W362" s="59"/>
      <c r="X362" s="84"/>
    </row>
    <row r="363" spans="6:24" ht="15.75" customHeight="1" x14ac:dyDescent="0.2">
      <c r="F363" s="59"/>
      <c r="G363" s="59"/>
      <c r="J363" s="59"/>
      <c r="M363" s="84"/>
      <c r="N363" s="59"/>
      <c r="O363" s="59"/>
      <c r="P363" s="59"/>
      <c r="R363" s="59"/>
      <c r="T363" s="59"/>
      <c r="W363" s="59"/>
      <c r="X363" s="84"/>
    </row>
    <row r="364" spans="6:24" ht="15.75" customHeight="1" x14ac:dyDescent="0.2">
      <c r="F364" s="59"/>
      <c r="G364" s="59"/>
      <c r="J364" s="59"/>
      <c r="M364" s="84"/>
      <c r="N364" s="59"/>
      <c r="O364" s="59"/>
      <c r="P364" s="59"/>
      <c r="R364" s="59"/>
      <c r="T364" s="59"/>
      <c r="W364" s="59"/>
      <c r="X364" s="84"/>
    </row>
    <row r="365" spans="6:24" ht="15.75" customHeight="1" x14ac:dyDescent="0.2">
      <c r="F365" s="59"/>
      <c r="G365" s="59"/>
      <c r="J365" s="59"/>
      <c r="M365" s="84"/>
      <c r="N365" s="59"/>
      <c r="O365" s="59"/>
      <c r="P365" s="59"/>
      <c r="R365" s="59"/>
      <c r="T365" s="59"/>
      <c r="W365" s="59"/>
      <c r="X365" s="84"/>
    </row>
    <row r="366" spans="6:24" ht="15.75" customHeight="1" x14ac:dyDescent="0.2">
      <c r="F366" s="59"/>
      <c r="G366" s="59"/>
      <c r="J366" s="59"/>
      <c r="M366" s="84"/>
      <c r="N366" s="59"/>
      <c r="O366" s="59"/>
      <c r="P366" s="59"/>
      <c r="R366" s="59"/>
      <c r="T366" s="59"/>
      <c r="W366" s="59"/>
      <c r="X366" s="84"/>
    </row>
    <row r="367" spans="6:24" ht="15.75" customHeight="1" x14ac:dyDescent="0.2">
      <c r="F367" s="59"/>
      <c r="G367" s="59"/>
      <c r="J367" s="59"/>
      <c r="M367" s="84"/>
      <c r="N367" s="59"/>
      <c r="O367" s="59"/>
      <c r="P367" s="59"/>
      <c r="R367" s="59"/>
      <c r="T367" s="59"/>
      <c r="W367" s="59"/>
      <c r="X367" s="84"/>
    </row>
    <row r="368" spans="6:24" ht="15.75" customHeight="1" x14ac:dyDescent="0.2">
      <c r="F368" s="59"/>
      <c r="G368" s="59"/>
      <c r="J368" s="59"/>
      <c r="M368" s="84"/>
      <c r="N368" s="59"/>
      <c r="O368" s="59"/>
      <c r="P368" s="59"/>
      <c r="R368" s="59"/>
      <c r="T368" s="59"/>
      <c r="W368" s="59"/>
      <c r="X368" s="84"/>
    </row>
    <row r="369" spans="6:24" ht="15.75" customHeight="1" x14ac:dyDescent="0.2">
      <c r="F369" s="59"/>
      <c r="G369" s="59"/>
      <c r="J369" s="59"/>
      <c r="M369" s="84"/>
      <c r="N369" s="59"/>
      <c r="O369" s="59"/>
      <c r="P369" s="59"/>
      <c r="R369" s="59"/>
      <c r="T369" s="59"/>
      <c r="W369" s="59"/>
      <c r="X369" s="84"/>
    </row>
    <row r="370" spans="6:24" ht="15.75" customHeight="1" x14ac:dyDescent="0.2">
      <c r="F370" s="59"/>
      <c r="G370" s="59"/>
      <c r="J370" s="59"/>
      <c r="M370" s="84"/>
      <c r="N370" s="59"/>
      <c r="O370" s="59"/>
      <c r="P370" s="59"/>
      <c r="R370" s="59"/>
      <c r="T370" s="59"/>
      <c r="W370" s="59"/>
      <c r="X370" s="84"/>
    </row>
    <row r="371" spans="6:24" ht="15.75" customHeight="1" x14ac:dyDescent="0.2">
      <c r="F371" s="59"/>
      <c r="G371" s="59"/>
      <c r="J371" s="59"/>
      <c r="M371" s="84"/>
      <c r="N371" s="59"/>
      <c r="O371" s="59"/>
      <c r="P371" s="59"/>
      <c r="R371" s="59"/>
      <c r="T371" s="59"/>
      <c r="W371" s="59"/>
      <c r="X371" s="84"/>
    </row>
    <row r="372" spans="6:24" ht="15.75" customHeight="1" x14ac:dyDescent="0.2">
      <c r="F372" s="59"/>
      <c r="G372" s="59"/>
      <c r="J372" s="59"/>
      <c r="M372" s="84"/>
      <c r="N372" s="59"/>
      <c r="O372" s="59"/>
      <c r="P372" s="59"/>
      <c r="R372" s="59"/>
      <c r="T372" s="59"/>
      <c r="W372" s="59"/>
      <c r="X372" s="84"/>
    </row>
    <row r="373" spans="6:24" ht="15.75" customHeight="1" x14ac:dyDescent="0.2">
      <c r="F373" s="59"/>
      <c r="G373" s="59"/>
      <c r="J373" s="59"/>
      <c r="M373" s="84"/>
      <c r="N373" s="59"/>
      <c r="O373" s="59"/>
      <c r="P373" s="59"/>
      <c r="R373" s="59"/>
      <c r="T373" s="59"/>
      <c r="W373" s="59"/>
      <c r="X373" s="84"/>
    </row>
    <row r="374" spans="6:24" ht="15.75" customHeight="1" x14ac:dyDescent="0.2">
      <c r="F374" s="59"/>
      <c r="G374" s="59"/>
      <c r="J374" s="59"/>
      <c r="M374" s="84"/>
      <c r="N374" s="59"/>
      <c r="O374" s="59"/>
      <c r="P374" s="59"/>
      <c r="R374" s="59"/>
      <c r="T374" s="59"/>
      <c r="W374" s="59"/>
      <c r="X374" s="84"/>
    </row>
    <row r="375" spans="6:24" ht="15.75" customHeight="1" x14ac:dyDescent="0.2">
      <c r="F375" s="59"/>
      <c r="G375" s="59"/>
      <c r="J375" s="59"/>
      <c r="M375" s="84"/>
      <c r="N375" s="59"/>
      <c r="O375" s="59"/>
      <c r="P375" s="59"/>
      <c r="R375" s="59"/>
      <c r="T375" s="59"/>
      <c r="W375" s="59"/>
      <c r="X375" s="84"/>
    </row>
    <row r="376" spans="6:24" ht="15.75" customHeight="1" x14ac:dyDescent="0.2">
      <c r="F376" s="59"/>
      <c r="G376" s="59"/>
      <c r="J376" s="59"/>
      <c r="M376" s="84"/>
      <c r="N376" s="59"/>
      <c r="O376" s="59"/>
      <c r="P376" s="59"/>
      <c r="R376" s="59"/>
      <c r="T376" s="59"/>
      <c r="W376" s="59"/>
      <c r="X376" s="84"/>
    </row>
    <row r="377" spans="6:24" ht="15.75" customHeight="1" x14ac:dyDescent="0.2">
      <c r="F377" s="59"/>
      <c r="G377" s="59"/>
      <c r="J377" s="59"/>
      <c r="M377" s="84"/>
      <c r="N377" s="59"/>
      <c r="O377" s="59"/>
      <c r="P377" s="59"/>
      <c r="R377" s="59"/>
      <c r="T377" s="59"/>
      <c r="W377" s="59"/>
      <c r="X377" s="84"/>
    </row>
    <row r="378" spans="6:24" ht="15.75" customHeight="1" x14ac:dyDescent="0.2">
      <c r="F378" s="59"/>
      <c r="G378" s="59"/>
      <c r="J378" s="59"/>
      <c r="M378" s="84"/>
      <c r="N378" s="59"/>
      <c r="O378" s="59"/>
      <c r="P378" s="59"/>
      <c r="R378" s="59"/>
      <c r="T378" s="59"/>
      <c r="W378" s="59"/>
      <c r="X378" s="84"/>
    </row>
    <row r="379" spans="6:24" ht="15.75" customHeight="1" x14ac:dyDescent="0.2">
      <c r="F379" s="59"/>
      <c r="G379" s="59"/>
      <c r="J379" s="59"/>
      <c r="M379" s="84"/>
      <c r="N379" s="59"/>
      <c r="O379" s="59"/>
      <c r="P379" s="59"/>
      <c r="R379" s="59"/>
      <c r="T379" s="59"/>
      <c r="W379" s="59"/>
      <c r="X379" s="84"/>
    </row>
    <row r="380" spans="6:24" ht="15.75" customHeight="1" x14ac:dyDescent="0.2">
      <c r="F380" s="59"/>
      <c r="G380" s="59"/>
      <c r="J380" s="59"/>
      <c r="M380" s="84"/>
      <c r="N380" s="59"/>
      <c r="O380" s="59"/>
      <c r="P380" s="59"/>
      <c r="R380" s="59"/>
      <c r="T380" s="59"/>
      <c r="W380" s="59"/>
      <c r="X380" s="84"/>
    </row>
    <row r="381" spans="6:24" ht="15.75" customHeight="1" x14ac:dyDescent="0.2">
      <c r="F381" s="59"/>
      <c r="G381" s="59"/>
      <c r="J381" s="59"/>
      <c r="M381" s="84"/>
      <c r="N381" s="59"/>
      <c r="O381" s="59"/>
      <c r="P381" s="59"/>
      <c r="R381" s="59"/>
      <c r="T381" s="59"/>
      <c r="W381" s="59"/>
      <c r="X381" s="84"/>
    </row>
    <row r="382" spans="6:24" ht="15.75" customHeight="1" x14ac:dyDescent="0.2">
      <c r="F382" s="59"/>
      <c r="G382" s="59"/>
      <c r="J382" s="59"/>
      <c r="M382" s="84"/>
      <c r="N382" s="59"/>
      <c r="O382" s="59"/>
      <c r="P382" s="59"/>
      <c r="R382" s="59"/>
      <c r="T382" s="59"/>
      <c r="W382" s="59"/>
      <c r="X382" s="84"/>
    </row>
    <row r="383" spans="6:24" ht="15.75" customHeight="1" x14ac:dyDescent="0.2">
      <c r="F383" s="59"/>
      <c r="G383" s="59"/>
      <c r="J383" s="59"/>
      <c r="M383" s="84"/>
      <c r="N383" s="59"/>
      <c r="O383" s="59"/>
      <c r="P383" s="59"/>
      <c r="R383" s="59"/>
      <c r="T383" s="59"/>
      <c r="W383" s="59"/>
      <c r="X383" s="84"/>
    </row>
    <row r="384" spans="6:24" ht="15.75" customHeight="1" x14ac:dyDescent="0.2">
      <c r="F384" s="59"/>
      <c r="G384" s="59"/>
      <c r="J384" s="59"/>
      <c r="M384" s="84"/>
      <c r="N384" s="59"/>
      <c r="O384" s="59"/>
      <c r="P384" s="59"/>
      <c r="R384" s="59"/>
      <c r="T384" s="59"/>
      <c r="W384" s="59"/>
      <c r="X384" s="84"/>
    </row>
    <row r="385" spans="6:24" ht="15.75" customHeight="1" x14ac:dyDescent="0.2">
      <c r="F385" s="59"/>
      <c r="G385" s="59"/>
      <c r="J385" s="59"/>
      <c r="M385" s="84"/>
      <c r="N385" s="59"/>
      <c r="O385" s="59"/>
      <c r="P385" s="59"/>
      <c r="R385" s="59"/>
      <c r="T385" s="59"/>
      <c r="W385" s="59"/>
      <c r="X385" s="84"/>
    </row>
    <row r="386" spans="6:24" ht="15.75" customHeight="1" x14ac:dyDescent="0.2">
      <c r="F386" s="59"/>
      <c r="G386" s="59"/>
      <c r="J386" s="59"/>
      <c r="M386" s="84"/>
      <c r="N386" s="59"/>
      <c r="O386" s="59"/>
      <c r="P386" s="59"/>
      <c r="R386" s="59"/>
      <c r="T386" s="59"/>
      <c r="W386" s="59"/>
      <c r="X386" s="84"/>
    </row>
    <row r="387" spans="6:24" ht="15.75" customHeight="1" x14ac:dyDescent="0.2">
      <c r="F387" s="59"/>
      <c r="G387" s="59"/>
      <c r="J387" s="59"/>
      <c r="M387" s="84"/>
      <c r="N387" s="59"/>
      <c r="O387" s="59"/>
      <c r="P387" s="59"/>
      <c r="R387" s="59"/>
      <c r="T387" s="59"/>
      <c r="W387" s="59"/>
      <c r="X387" s="84"/>
    </row>
    <row r="388" spans="6:24" ht="15.75" customHeight="1" x14ac:dyDescent="0.2">
      <c r="F388" s="59"/>
      <c r="G388" s="59"/>
      <c r="J388" s="59"/>
      <c r="M388" s="84"/>
      <c r="N388" s="59"/>
      <c r="O388" s="59"/>
      <c r="P388" s="59"/>
      <c r="R388" s="59"/>
      <c r="T388" s="59"/>
      <c r="W388" s="59"/>
      <c r="X388" s="84"/>
    </row>
    <row r="389" spans="6:24" ht="15.75" customHeight="1" x14ac:dyDescent="0.2">
      <c r="F389" s="59"/>
      <c r="G389" s="59"/>
      <c r="J389" s="59"/>
      <c r="M389" s="84"/>
      <c r="N389" s="59"/>
      <c r="O389" s="59"/>
      <c r="P389" s="59"/>
      <c r="R389" s="59"/>
      <c r="T389" s="59"/>
      <c r="W389" s="59"/>
      <c r="X389" s="84"/>
    </row>
    <row r="390" spans="6:24" ht="15.75" customHeight="1" x14ac:dyDescent="0.2">
      <c r="F390" s="59"/>
      <c r="G390" s="59"/>
      <c r="J390" s="59"/>
      <c r="M390" s="84"/>
      <c r="N390" s="59"/>
      <c r="O390" s="59"/>
      <c r="P390" s="59"/>
      <c r="R390" s="59"/>
      <c r="T390" s="59"/>
      <c r="W390" s="59"/>
      <c r="X390" s="84"/>
    </row>
    <row r="391" spans="6:24" ht="15.75" customHeight="1" x14ac:dyDescent="0.2">
      <c r="F391" s="59"/>
      <c r="G391" s="59"/>
      <c r="J391" s="59"/>
      <c r="M391" s="84"/>
      <c r="N391" s="59"/>
      <c r="O391" s="59"/>
      <c r="P391" s="59"/>
      <c r="R391" s="59"/>
      <c r="T391" s="59"/>
      <c r="W391" s="59"/>
      <c r="X391" s="84"/>
    </row>
    <row r="392" spans="6:24" ht="15.75" customHeight="1" x14ac:dyDescent="0.2">
      <c r="F392" s="59"/>
      <c r="G392" s="59"/>
      <c r="J392" s="59"/>
      <c r="M392" s="84"/>
      <c r="N392" s="59"/>
      <c r="O392" s="59"/>
      <c r="P392" s="59"/>
      <c r="R392" s="59"/>
      <c r="T392" s="59"/>
      <c r="W392" s="59"/>
      <c r="X392" s="84"/>
    </row>
    <row r="393" spans="6:24" ht="15.75" customHeight="1" x14ac:dyDescent="0.2">
      <c r="F393" s="59"/>
      <c r="G393" s="59"/>
      <c r="J393" s="59"/>
      <c r="M393" s="84"/>
      <c r="N393" s="59"/>
      <c r="O393" s="59"/>
      <c r="P393" s="59"/>
      <c r="R393" s="59"/>
      <c r="T393" s="59"/>
      <c r="W393" s="59"/>
      <c r="X393" s="84"/>
    </row>
    <row r="394" spans="6:24" ht="15.75" customHeight="1" x14ac:dyDescent="0.2">
      <c r="F394" s="59"/>
      <c r="G394" s="59"/>
      <c r="J394" s="59"/>
      <c r="M394" s="84"/>
      <c r="N394" s="59"/>
      <c r="O394" s="59"/>
      <c r="P394" s="59"/>
      <c r="R394" s="59"/>
      <c r="T394" s="59"/>
      <c r="W394" s="59"/>
      <c r="X394" s="84"/>
    </row>
    <row r="395" spans="6:24" ht="15.75" customHeight="1" x14ac:dyDescent="0.2">
      <c r="F395" s="59"/>
      <c r="G395" s="59"/>
      <c r="J395" s="59"/>
      <c r="M395" s="84"/>
      <c r="N395" s="59"/>
      <c r="O395" s="59"/>
      <c r="P395" s="59"/>
      <c r="R395" s="59"/>
      <c r="T395" s="59"/>
      <c r="W395" s="59"/>
      <c r="X395" s="84"/>
    </row>
    <row r="396" spans="6:24" ht="15.75" customHeight="1" x14ac:dyDescent="0.2">
      <c r="F396" s="59"/>
      <c r="G396" s="59"/>
      <c r="J396" s="59"/>
      <c r="M396" s="84"/>
      <c r="N396" s="59"/>
      <c r="O396" s="59"/>
      <c r="P396" s="59"/>
      <c r="R396" s="59"/>
      <c r="T396" s="59"/>
      <c r="W396" s="59"/>
      <c r="X396" s="84"/>
    </row>
    <row r="397" spans="6:24" ht="15.75" customHeight="1" x14ac:dyDescent="0.2">
      <c r="F397" s="59"/>
      <c r="G397" s="59"/>
      <c r="J397" s="59"/>
      <c r="M397" s="84"/>
      <c r="N397" s="59"/>
      <c r="O397" s="59"/>
      <c r="P397" s="59"/>
      <c r="R397" s="59"/>
      <c r="T397" s="59"/>
      <c r="W397" s="59"/>
      <c r="X397" s="84"/>
    </row>
    <row r="398" spans="6:24" ht="15.75" customHeight="1" x14ac:dyDescent="0.2">
      <c r="F398" s="59"/>
      <c r="G398" s="59"/>
      <c r="J398" s="59"/>
      <c r="M398" s="84"/>
      <c r="N398" s="59"/>
      <c r="O398" s="59"/>
      <c r="P398" s="59"/>
      <c r="R398" s="59"/>
      <c r="T398" s="59"/>
      <c r="W398" s="59"/>
      <c r="X398" s="84"/>
    </row>
    <row r="399" spans="6:24" ht="15.75" customHeight="1" x14ac:dyDescent="0.2">
      <c r="F399" s="59"/>
      <c r="G399" s="59"/>
      <c r="J399" s="59"/>
      <c r="M399" s="84"/>
      <c r="N399" s="59"/>
      <c r="O399" s="59"/>
      <c r="P399" s="59"/>
      <c r="R399" s="59"/>
      <c r="T399" s="59"/>
      <c r="W399" s="59"/>
      <c r="X399" s="84"/>
    </row>
    <row r="400" spans="6:24" ht="15.75" customHeight="1" x14ac:dyDescent="0.2">
      <c r="F400" s="59"/>
      <c r="G400" s="59"/>
      <c r="J400" s="59"/>
      <c r="M400" s="84"/>
      <c r="N400" s="59"/>
      <c r="O400" s="59"/>
      <c r="P400" s="59"/>
      <c r="R400" s="59"/>
      <c r="T400" s="59"/>
      <c r="W400" s="59"/>
      <c r="X400" s="84"/>
    </row>
    <row r="401" spans="6:24" ht="15.75" customHeight="1" x14ac:dyDescent="0.2">
      <c r="F401" s="59"/>
      <c r="G401" s="59"/>
      <c r="J401" s="59"/>
      <c r="M401" s="84"/>
      <c r="N401" s="59"/>
      <c r="O401" s="59"/>
      <c r="P401" s="59"/>
      <c r="R401" s="59"/>
      <c r="T401" s="59"/>
      <c r="W401" s="59"/>
      <c r="X401" s="84"/>
    </row>
    <row r="402" spans="6:24" ht="15.75" customHeight="1" x14ac:dyDescent="0.2">
      <c r="F402" s="59"/>
      <c r="G402" s="59"/>
      <c r="J402" s="59"/>
      <c r="M402" s="84"/>
      <c r="N402" s="59"/>
      <c r="O402" s="59"/>
      <c r="P402" s="59"/>
      <c r="R402" s="59"/>
      <c r="T402" s="59"/>
      <c r="W402" s="59"/>
      <c r="X402" s="84"/>
    </row>
    <row r="403" spans="6:24" ht="15.75" customHeight="1" x14ac:dyDescent="0.2">
      <c r="F403" s="59"/>
      <c r="G403" s="59"/>
      <c r="J403" s="59"/>
      <c r="M403" s="84"/>
      <c r="N403" s="59"/>
      <c r="O403" s="59"/>
      <c r="P403" s="59"/>
      <c r="R403" s="59"/>
      <c r="T403" s="59"/>
      <c r="W403" s="59"/>
      <c r="X403" s="84"/>
    </row>
    <row r="404" spans="6:24" ht="15.75" customHeight="1" x14ac:dyDescent="0.2">
      <c r="F404" s="59"/>
      <c r="G404" s="59"/>
      <c r="J404" s="59"/>
      <c r="M404" s="84"/>
      <c r="N404" s="59"/>
      <c r="O404" s="59"/>
      <c r="P404" s="59"/>
      <c r="R404" s="59"/>
      <c r="T404" s="59"/>
      <c r="W404" s="59"/>
      <c r="X404" s="84"/>
    </row>
    <row r="405" spans="6:24" ht="15.75" customHeight="1" x14ac:dyDescent="0.2">
      <c r="F405" s="59"/>
      <c r="G405" s="59"/>
      <c r="J405" s="59"/>
      <c r="M405" s="84"/>
      <c r="N405" s="59"/>
      <c r="O405" s="59"/>
      <c r="P405" s="59"/>
      <c r="R405" s="59"/>
      <c r="T405" s="59"/>
      <c r="W405" s="59"/>
      <c r="X405" s="84"/>
    </row>
    <row r="406" spans="6:24" ht="15.75" customHeight="1" x14ac:dyDescent="0.2">
      <c r="F406" s="59"/>
      <c r="G406" s="59"/>
      <c r="J406" s="59"/>
      <c r="M406" s="84"/>
      <c r="N406" s="59"/>
      <c r="O406" s="59"/>
      <c r="P406" s="59"/>
      <c r="R406" s="59"/>
      <c r="T406" s="59"/>
      <c r="W406" s="59"/>
      <c r="X406" s="84"/>
    </row>
    <row r="407" spans="6:24" ht="15.75" customHeight="1" x14ac:dyDescent="0.2">
      <c r="F407" s="59"/>
      <c r="G407" s="59"/>
      <c r="J407" s="59"/>
      <c r="M407" s="84"/>
      <c r="N407" s="59"/>
      <c r="O407" s="59"/>
      <c r="P407" s="59"/>
      <c r="R407" s="59"/>
      <c r="T407" s="59"/>
      <c r="W407" s="59"/>
      <c r="X407" s="84"/>
    </row>
    <row r="408" spans="6:24" ht="15.75" customHeight="1" x14ac:dyDescent="0.2">
      <c r="F408" s="59"/>
      <c r="G408" s="59"/>
      <c r="J408" s="59"/>
      <c r="M408" s="84"/>
      <c r="N408" s="59"/>
      <c r="O408" s="59"/>
      <c r="P408" s="59"/>
      <c r="R408" s="59"/>
      <c r="T408" s="59"/>
      <c r="W408" s="59"/>
      <c r="X408" s="84"/>
    </row>
    <row r="409" spans="6:24" ht="15.75" customHeight="1" x14ac:dyDescent="0.2">
      <c r="F409" s="59"/>
      <c r="G409" s="59"/>
      <c r="J409" s="59"/>
      <c r="M409" s="84"/>
      <c r="N409" s="59"/>
      <c r="O409" s="59"/>
      <c r="P409" s="59"/>
      <c r="R409" s="59"/>
      <c r="T409" s="59"/>
      <c r="W409" s="59"/>
      <c r="X409" s="84"/>
    </row>
    <row r="410" spans="6:24" ht="15.75" customHeight="1" x14ac:dyDescent="0.2">
      <c r="F410" s="59"/>
      <c r="G410" s="59"/>
      <c r="J410" s="59"/>
      <c r="M410" s="84"/>
      <c r="N410" s="59"/>
      <c r="O410" s="59"/>
      <c r="P410" s="59"/>
      <c r="R410" s="59"/>
      <c r="T410" s="59"/>
      <c r="W410" s="59"/>
      <c r="X410" s="84"/>
    </row>
    <row r="411" spans="6:24" ht="15.75" customHeight="1" x14ac:dyDescent="0.2">
      <c r="F411" s="59"/>
      <c r="G411" s="59"/>
      <c r="J411" s="59"/>
      <c r="M411" s="84"/>
      <c r="N411" s="59"/>
      <c r="O411" s="59"/>
      <c r="P411" s="59"/>
      <c r="R411" s="59"/>
      <c r="T411" s="59"/>
      <c r="W411" s="59"/>
      <c r="X411" s="84"/>
    </row>
    <row r="412" spans="6:24" ht="15.75" customHeight="1" x14ac:dyDescent="0.2">
      <c r="F412" s="59"/>
      <c r="G412" s="59"/>
      <c r="J412" s="59"/>
      <c r="M412" s="84"/>
      <c r="N412" s="59"/>
      <c r="O412" s="59"/>
      <c r="P412" s="59"/>
      <c r="R412" s="59"/>
      <c r="T412" s="59"/>
      <c r="W412" s="59"/>
      <c r="X412" s="84"/>
    </row>
    <row r="413" spans="6:24" ht="15.75" customHeight="1" x14ac:dyDescent="0.2">
      <c r="F413" s="59"/>
      <c r="G413" s="59"/>
      <c r="J413" s="59"/>
      <c r="M413" s="84"/>
      <c r="N413" s="59"/>
      <c r="O413" s="59"/>
      <c r="P413" s="59"/>
      <c r="R413" s="59"/>
      <c r="T413" s="59"/>
      <c r="W413" s="59"/>
      <c r="X413" s="84"/>
    </row>
    <row r="414" spans="6:24" ht="15.75" customHeight="1" x14ac:dyDescent="0.2">
      <c r="F414" s="59"/>
      <c r="G414" s="59"/>
      <c r="J414" s="59"/>
      <c r="M414" s="84"/>
      <c r="N414" s="59"/>
      <c r="O414" s="59"/>
      <c r="P414" s="59"/>
      <c r="R414" s="59"/>
      <c r="T414" s="59"/>
      <c r="W414" s="59"/>
      <c r="X414" s="84"/>
    </row>
    <row r="415" spans="6:24" ht="15.75" customHeight="1" x14ac:dyDescent="0.2">
      <c r="F415" s="59"/>
      <c r="G415" s="59"/>
      <c r="J415" s="59"/>
      <c r="M415" s="84"/>
      <c r="N415" s="59"/>
      <c r="O415" s="59"/>
      <c r="P415" s="59"/>
      <c r="R415" s="59"/>
      <c r="T415" s="59"/>
      <c r="W415" s="59"/>
      <c r="X415" s="84"/>
    </row>
    <row r="416" spans="6:24" ht="15.75" customHeight="1" x14ac:dyDescent="0.2">
      <c r="F416" s="59"/>
      <c r="G416" s="59"/>
      <c r="J416" s="59"/>
      <c r="M416" s="84"/>
      <c r="N416" s="59"/>
      <c r="O416" s="59"/>
      <c r="P416" s="59"/>
      <c r="R416" s="59"/>
      <c r="T416" s="59"/>
      <c r="W416" s="59"/>
      <c r="X416" s="84"/>
    </row>
    <row r="417" spans="6:24" ht="15.75" customHeight="1" x14ac:dyDescent="0.2">
      <c r="F417" s="59"/>
      <c r="G417" s="59"/>
      <c r="J417" s="59"/>
      <c r="M417" s="84"/>
      <c r="N417" s="59"/>
      <c r="O417" s="59"/>
      <c r="P417" s="59"/>
      <c r="R417" s="59"/>
      <c r="T417" s="59"/>
      <c r="W417" s="59"/>
      <c r="X417" s="84"/>
    </row>
    <row r="418" spans="6:24" ht="15.75" customHeight="1" x14ac:dyDescent="0.2">
      <c r="F418" s="59"/>
      <c r="G418" s="59"/>
      <c r="J418" s="59"/>
      <c r="M418" s="84"/>
      <c r="N418" s="59"/>
      <c r="O418" s="59"/>
      <c r="P418" s="59"/>
      <c r="R418" s="59"/>
      <c r="T418" s="59"/>
      <c r="W418" s="59"/>
      <c r="X418" s="84"/>
    </row>
    <row r="419" spans="6:24" ht="15.75" customHeight="1" x14ac:dyDescent="0.2">
      <c r="F419" s="59"/>
      <c r="G419" s="59"/>
      <c r="J419" s="59"/>
      <c r="M419" s="84"/>
      <c r="N419" s="59"/>
      <c r="O419" s="59"/>
      <c r="P419" s="59"/>
      <c r="R419" s="59"/>
      <c r="T419" s="59"/>
      <c r="W419" s="59"/>
      <c r="X419" s="84"/>
    </row>
    <row r="420" spans="6:24" ht="15.75" customHeight="1" x14ac:dyDescent="0.2">
      <c r="F420" s="59"/>
      <c r="G420" s="59"/>
      <c r="J420" s="59"/>
      <c r="M420" s="84"/>
      <c r="N420" s="59"/>
      <c r="O420" s="59"/>
      <c r="P420" s="59"/>
      <c r="R420" s="59"/>
      <c r="T420" s="59"/>
      <c r="W420" s="59"/>
      <c r="X420" s="84"/>
    </row>
    <row r="421" spans="6:24" ht="15.75" customHeight="1" x14ac:dyDescent="0.2">
      <c r="F421" s="59"/>
      <c r="G421" s="59"/>
      <c r="J421" s="59"/>
      <c r="M421" s="84"/>
      <c r="N421" s="59"/>
      <c r="O421" s="59"/>
      <c r="P421" s="59"/>
      <c r="R421" s="59"/>
      <c r="T421" s="59"/>
      <c r="W421" s="59"/>
      <c r="X421" s="84"/>
    </row>
    <row r="422" spans="6:24" ht="15.75" customHeight="1" x14ac:dyDescent="0.2">
      <c r="F422" s="59"/>
      <c r="G422" s="59"/>
      <c r="J422" s="59"/>
      <c r="M422" s="84"/>
      <c r="N422" s="59"/>
      <c r="O422" s="59"/>
      <c r="P422" s="59"/>
      <c r="R422" s="59"/>
      <c r="T422" s="59"/>
      <c r="W422" s="59"/>
      <c r="X422" s="84"/>
    </row>
    <row r="423" spans="6:24" ht="15.75" customHeight="1" x14ac:dyDescent="0.2">
      <c r="F423" s="59"/>
      <c r="G423" s="59"/>
      <c r="J423" s="59"/>
      <c r="M423" s="84"/>
      <c r="N423" s="59"/>
      <c r="O423" s="59"/>
      <c r="P423" s="59"/>
      <c r="R423" s="59"/>
      <c r="T423" s="59"/>
      <c r="W423" s="59"/>
      <c r="X423" s="84"/>
    </row>
    <row r="424" spans="6:24" ht="15.75" customHeight="1" x14ac:dyDescent="0.2">
      <c r="F424" s="59"/>
      <c r="G424" s="59"/>
      <c r="J424" s="59"/>
      <c r="M424" s="84"/>
      <c r="N424" s="59"/>
      <c r="O424" s="59"/>
      <c r="P424" s="59"/>
      <c r="R424" s="59"/>
      <c r="T424" s="59"/>
      <c r="W424" s="59"/>
      <c r="X424" s="84"/>
    </row>
    <row r="425" spans="6:24" ht="15.75" customHeight="1" x14ac:dyDescent="0.2">
      <c r="F425" s="59"/>
      <c r="G425" s="59"/>
      <c r="J425" s="59"/>
      <c r="M425" s="84"/>
      <c r="N425" s="59"/>
      <c r="O425" s="59"/>
      <c r="P425" s="59"/>
      <c r="R425" s="59"/>
      <c r="T425" s="59"/>
      <c r="W425" s="59"/>
      <c r="X425" s="84"/>
    </row>
    <row r="426" spans="6:24" ht="15.75" customHeight="1" x14ac:dyDescent="0.2">
      <c r="F426" s="59"/>
      <c r="G426" s="59"/>
      <c r="J426" s="59"/>
      <c r="M426" s="84"/>
      <c r="N426" s="59"/>
      <c r="O426" s="59"/>
      <c r="P426" s="59"/>
      <c r="R426" s="59"/>
      <c r="T426" s="59"/>
      <c r="W426" s="59"/>
      <c r="X426" s="84"/>
    </row>
    <row r="427" spans="6:24" ht="15.75" customHeight="1" x14ac:dyDescent="0.2">
      <c r="F427" s="59"/>
      <c r="G427" s="59"/>
      <c r="J427" s="59"/>
      <c r="M427" s="84"/>
      <c r="N427" s="59"/>
      <c r="O427" s="59"/>
      <c r="P427" s="59"/>
      <c r="R427" s="59"/>
      <c r="T427" s="59"/>
      <c r="W427" s="59"/>
      <c r="X427" s="84"/>
    </row>
    <row r="428" spans="6:24" ht="15.75" customHeight="1" x14ac:dyDescent="0.2">
      <c r="F428" s="59"/>
      <c r="G428" s="59"/>
      <c r="J428" s="59"/>
      <c r="M428" s="84"/>
      <c r="N428" s="59"/>
      <c r="O428" s="59"/>
      <c r="P428" s="59"/>
      <c r="R428" s="59"/>
      <c r="T428" s="59"/>
      <c r="W428" s="59"/>
      <c r="X428" s="84"/>
    </row>
    <row r="429" spans="6:24" ht="15.75" customHeight="1" x14ac:dyDescent="0.2">
      <c r="F429" s="59"/>
      <c r="G429" s="59"/>
      <c r="J429" s="59"/>
      <c r="M429" s="84"/>
      <c r="N429" s="59"/>
      <c r="O429" s="59"/>
      <c r="P429" s="59"/>
      <c r="R429" s="59"/>
      <c r="T429" s="59"/>
      <c r="W429" s="59"/>
      <c r="X429" s="84"/>
    </row>
    <row r="430" spans="6:24" ht="15.75" customHeight="1" x14ac:dyDescent="0.2">
      <c r="F430" s="59"/>
      <c r="G430" s="59"/>
      <c r="J430" s="59"/>
      <c r="M430" s="84"/>
      <c r="N430" s="59"/>
      <c r="O430" s="59"/>
      <c r="P430" s="59"/>
      <c r="R430" s="59"/>
      <c r="T430" s="59"/>
      <c r="W430" s="59"/>
      <c r="X430" s="84"/>
    </row>
    <row r="431" spans="6:24" ht="15.75" customHeight="1" x14ac:dyDescent="0.2">
      <c r="F431" s="59"/>
      <c r="G431" s="59"/>
      <c r="J431" s="59"/>
      <c r="M431" s="84"/>
      <c r="N431" s="59"/>
      <c r="O431" s="59"/>
      <c r="P431" s="59"/>
      <c r="R431" s="59"/>
      <c r="T431" s="59"/>
      <c r="W431" s="59"/>
      <c r="X431" s="84"/>
    </row>
    <row r="432" spans="6:24" ht="15.75" customHeight="1" x14ac:dyDescent="0.2">
      <c r="F432" s="59"/>
      <c r="G432" s="59"/>
      <c r="J432" s="59"/>
      <c r="M432" s="84"/>
      <c r="N432" s="59"/>
      <c r="O432" s="59"/>
      <c r="P432" s="59"/>
      <c r="R432" s="59"/>
      <c r="T432" s="59"/>
      <c r="W432" s="59"/>
      <c r="X432" s="84"/>
    </row>
    <row r="433" spans="6:24" ht="15.75" customHeight="1" x14ac:dyDescent="0.2">
      <c r="F433" s="59"/>
      <c r="G433" s="59"/>
      <c r="J433" s="59"/>
      <c r="M433" s="84"/>
      <c r="N433" s="59"/>
      <c r="O433" s="59"/>
      <c r="P433" s="59"/>
      <c r="R433" s="59"/>
      <c r="T433" s="59"/>
      <c r="W433" s="59"/>
      <c r="X433" s="84"/>
    </row>
    <row r="434" spans="6:24" ht="15.75" customHeight="1" x14ac:dyDescent="0.2">
      <c r="F434" s="59"/>
      <c r="G434" s="59"/>
      <c r="J434" s="59"/>
      <c r="M434" s="84"/>
      <c r="N434" s="59"/>
      <c r="O434" s="59"/>
      <c r="P434" s="59"/>
      <c r="R434" s="59"/>
      <c r="T434" s="59"/>
      <c r="W434" s="59"/>
      <c r="X434" s="84"/>
    </row>
    <row r="435" spans="6:24" ht="15.75" customHeight="1" x14ac:dyDescent="0.2">
      <c r="F435" s="59"/>
      <c r="G435" s="59"/>
      <c r="J435" s="59"/>
      <c r="M435" s="84"/>
      <c r="N435" s="59"/>
      <c r="O435" s="59"/>
      <c r="P435" s="59"/>
      <c r="R435" s="59"/>
      <c r="T435" s="59"/>
      <c r="W435" s="59"/>
      <c r="X435" s="84"/>
    </row>
    <row r="436" spans="6:24" ht="15.75" customHeight="1" x14ac:dyDescent="0.2">
      <c r="F436" s="59"/>
      <c r="G436" s="59"/>
      <c r="J436" s="59"/>
      <c r="M436" s="84"/>
      <c r="N436" s="59"/>
      <c r="O436" s="59"/>
      <c r="P436" s="59"/>
      <c r="R436" s="59"/>
      <c r="T436" s="59"/>
      <c r="W436" s="59"/>
      <c r="X436" s="84"/>
    </row>
    <row r="437" spans="6:24" ht="15.75" customHeight="1" x14ac:dyDescent="0.2">
      <c r="F437" s="59"/>
      <c r="G437" s="59"/>
      <c r="J437" s="59"/>
      <c r="M437" s="84"/>
      <c r="N437" s="59"/>
      <c r="O437" s="59"/>
      <c r="P437" s="59"/>
      <c r="R437" s="59"/>
      <c r="T437" s="59"/>
      <c r="W437" s="59"/>
      <c r="X437" s="84"/>
    </row>
    <row r="438" spans="6:24" ht="15.75" customHeight="1" x14ac:dyDescent="0.2">
      <c r="F438" s="59"/>
      <c r="G438" s="59"/>
      <c r="J438" s="59"/>
      <c r="M438" s="84"/>
      <c r="N438" s="59"/>
      <c r="O438" s="59"/>
      <c r="P438" s="59"/>
      <c r="R438" s="59"/>
      <c r="T438" s="59"/>
      <c r="W438" s="59"/>
      <c r="X438" s="84"/>
    </row>
    <row r="439" spans="6:24" ht="15.75" customHeight="1" x14ac:dyDescent="0.2">
      <c r="F439" s="59"/>
      <c r="G439" s="59"/>
      <c r="J439" s="59"/>
      <c r="M439" s="84"/>
      <c r="N439" s="59"/>
      <c r="O439" s="59"/>
      <c r="P439" s="59"/>
      <c r="R439" s="59"/>
      <c r="T439" s="59"/>
      <c r="W439" s="59"/>
      <c r="X439" s="84"/>
    </row>
    <row r="440" spans="6:24" ht="15.75" customHeight="1" x14ac:dyDescent="0.2">
      <c r="F440" s="59"/>
      <c r="G440" s="59"/>
      <c r="J440" s="59"/>
      <c r="M440" s="84"/>
      <c r="N440" s="59"/>
      <c r="O440" s="59"/>
      <c r="P440" s="59"/>
      <c r="R440" s="59"/>
      <c r="T440" s="59"/>
      <c r="W440" s="59"/>
      <c r="X440" s="84"/>
    </row>
    <row r="441" spans="6:24" ht="15.75" customHeight="1" x14ac:dyDescent="0.2">
      <c r="F441" s="59"/>
      <c r="G441" s="59"/>
      <c r="J441" s="59"/>
      <c r="M441" s="84"/>
      <c r="N441" s="59"/>
      <c r="O441" s="59"/>
      <c r="P441" s="59"/>
      <c r="R441" s="59"/>
      <c r="T441" s="59"/>
      <c r="W441" s="59"/>
      <c r="X441" s="84"/>
    </row>
    <row r="442" spans="6:24" ht="15.75" customHeight="1" x14ac:dyDescent="0.2">
      <c r="F442" s="59"/>
      <c r="G442" s="59"/>
      <c r="J442" s="59"/>
      <c r="M442" s="84"/>
      <c r="N442" s="59"/>
      <c r="O442" s="59"/>
      <c r="P442" s="59"/>
      <c r="R442" s="59"/>
      <c r="T442" s="59"/>
      <c r="W442" s="59"/>
      <c r="X442" s="84"/>
    </row>
    <row r="443" spans="6:24" ht="15.75" customHeight="1" x14ac:dyDescent="0.2">
      <c r="F443" s="59"/>
      <c r="G443" s="59"/>
      <c r="J443" s="59"/>
      <c r="M443" s="84"/>
      <c r="N443" s="59"/>
      <c r="O443" s="59"/>
      <c r="P443" s="59"/>
      <c r="R443" s="59"/>
      <c r="T443" s="59"/>
      <c r="W443" s="59"/>
      <c r="X443" s="84"/>
    </row>
    <row r="444" spans="6:24" ht="15.75" customHeight="1" x14ac:dyDescent="0.2">
      <c r="F444" s="59"/>
      <c r="G444" s="59"/>
      <c r="J444" s="59"/>
      <c r="M444" s="84"/>
      <c r="N444" s="59"/>
      <c r="O444" s="59"/>
      <c r="P444" s="59"/>
      <c r="R444" s="59"/>
      <c r="T444" s="59"/>
      <c r="W444" s="59"/>
      <c r="X444" s="84"/>
    </row>
    <row r="445" spans="6:24" ht="15.75" customHeight="1" x14ac:dyDescent="0.2">
      <c r="F445" s="59"/>
      <c r="G445" s="59"/>
      <c r="J445" s="59"/>
      <c r="M445" s="84"/>
      <c r="N445" s="59"/>
      <c r="O445" s="59"/>
      <c r="P445" s="59"/>
      <c r="R445" s="59"/>
      <c r="T445" s="59"/>
      <c r="W445" s="59"/>
      <c r="X445" s="84"/>
    </row>
    <row r="446" spans="6:24" ht="15.75" customHeight="1" x14ac:dyDescent="0.2">
      <c r="F446" s="59"/>
      <c r="G446" s="59"/>
      <c r="J446" s="59"/>
      <c r="M446" s="84"/>
      <c r="N446" s="59"/>
      <c r="O446" s="59"/>
      <c r="P446" s="59"/>
      <c r="R446" s="59"/>
      <c r="T446" s="59"/>
      <c r="W446" s="59"/>
      <c r="X446" s="84"/>
    </row>
    <row r="447" spans="6:24" ht="15.75" customHeight="1" x14ac:dyDescent="0.2">
      <c r="F447" s="59"/>
      <c r="G447" s="59"/>
      <c r="J447" s="59"/>
      <c r="M447" s="84"/>
      <c r="N447" s="59"/>
      <c r="O447" s="59"/>
      <c r="P447" s="59"/>
      <c r="R447" s="59"/>
      <c r="T447" s="59"/>
      <c r="W447" s="59"/>
      <c r="X447" s="84"/>
    </row>
    <row r="448" spans="6:24" ht="15.75" customHeight="1" x14ac:dyDescent="0.2">
      <c r="F448" s="59"/>
      <c r="G448" s="59"/>
      <c r="J448" s="59"/>
      <c r="M448" s="84"/>
      <c r="N448" s="59"/>
      <c r="O448" s="59"/>
      <c r="P448" s="59"/>
      <c r="R448" s="59"/>
      <c r="T448" s="59"/>
      <c r="W448" s="59"/>
      <c r="X448" s="84"/>
    </row>
    <row r="449" spans="6:24" ht="15.75" customHeight="1" x14ac:dyDescent="0.2">
      <c r="F449" s="59"/>
      <c r="G449" s="59"/>
      <c r="J449" s="59"/>
      <c r="M449" s="84"/>
      <c r="N449" s="59"/>
      <c r="O449" s="59"/>
      <c r="P449" s="59"/>
      <c r="R449" s="59"/>
      <c r="T449" s="59"/>
      <c r="W449" s="59"/>
      <c r="X449" s="84"/>
    </row>
    <row r="450" spans="6:24" ht="15.75" customHeight="1" x14ac:dyDescent="0.2">
      <c r="F450" s="59"/>
      <c r="G450" s="59"/>
      <c r="J450" s="59"/>
      <c r="M450" s="84"/>
      <c r="N450" s="59"/>
      <c r="O450" s="59"/>
      <c r="P450" s="59"/>
      <c r="R450" s="59"/>
      <c r="T450" s="59"/>
      <c r="W450" s="59"/>
      <c r="X450" s="84"/>
    </row>
    <row r="451" spans="6:24" ht="15.75" customHeight="1" x14ac:dyDescent="0.2">
      <c r="F451" s="59"/>
      <c r="G451" s="59"/>
      <c r="J451" s="59"/>
      <c r="M451" s="84"/>
      <c r="N451" s="59"/>
      <c r="O451" s="59"/>
      <c r="P451" s="59"/>
      <c r="R451" s="59"/>
      <c r="T451" s="59"/>
      <c r="W451" s="59"/>
      <c r="X451" s="84"/>
    </row>
    <row r="452" spans="6:24" ht="15.75" customHeight="1" x14ac:dyDescent="0.2">
      <c r="F452" s="59"/>
      <c r="G452" s="59"/>
      <c r="J452" s="59"/>
      <c r="M452" s="84"/>
      <c r="N452" s="59"/>
      <c r="O452" s="59"/>
      <c r="P452" s="59"/>
      <c r="R452" s="59"/>
      <c r="T452" s="59"/>
      <c r="W452" s="59"/>
      <c r="X452" s="84"/>
    </row>
    <row r="453" spans="6:24" ht="15.75" customHeight="1" x14ac:dyDescent="0.2">
      <c r="F453" s="59"/>
      <c r="G453" s="59"/>
      <c r="J453" s="59"/>
      <c r="M453" s="84"/>
      <c r="N453" s="59"/>
      <c r="O453" s="59"/>
      <c r="P453" s="59"/>
      <c r="R453" s="59"/>
      <c r="T453" s="59"/>
      <c r="W453" s="59"/>
      <c r="X453" s="84"/>
    </row>
    <row r="454" spans="6:24" ht="15.75" customHeight="1" x14ac:dyDescent="0.2">
      <c r="F454" s="59"/>
      <c r="G454" s="59"/>
      <c r="J454" s="59"/>
      <c r="M454" s="84"/>
      <c r="N454" s="59"/>
      <c r="O454" s="59"/>
      <c r="P454" s="59"/>
      <c r="R454" s="59"/>
      <c r="T454" s="59"/>
      <c r="W454" s="59"/>
      <c r="X454" s="84"/>
    </row>
    <row r="455" spans="6:24" ht="15.75" customHeight="1" x14ac:dyDescent="0.2">
      <c r="F455" s="59"/>
      <c r="G455" s="59"/>
      <c r="J455" s="59"/>
      <c r="M455" s="84"/>
      <c r="N455" s="59"/>
      <c r="O455" s="59"/>
      <c r="P455" s="59"/>
      <c r="R455" s="59"/>
      <c r="T455" s="59"/>
      <c r="W455" s="59"/>
      <c r="X455" s="84"/>
    </row>
    <row r="456" spans="6:24" ht="15.75" customHeight="1" x14ac:dyDescent="0.2">
      <c r="F456" s="59"/>
      <c r="G456" s="59"/>
      <c r="J456" s="59"/>
      <c r="M456" s="84"/>
      <c r="N456" s="59"/>
      <c r="O456" s="59"/>
      <c r="P456" s="59"/>
      <c r="R456" s="59"/>
      <c r="T456" s="59"/>
      <c r="W456" s="59"/>
      <c r="X456" s="84"/>
    </row>
    <row r="457" spans="6:24" ht="15.75" customHeight="1" x14ac:dyDescent="0.2">
      <c r="F457" s="59"/>
      <c r="G457" s="59"/>
      <c r="J457" s="59"/>
      <c r="M457" s="84"/>
      <c r="N457" s="59"/>
      <c r="O457" s="59"/>
      <c r="P457" s="59"/>
      <c r="R457" s="59"/>
      <c r="T457" s="59"/>
      <c r="W457" s="59"/>
      <c r="X457" s="84"/>
    </row>
    <row r="458" spans="6:24" ht="15.75" customHeight="1" x14ac:dyDescent="0.2">
      <c r="F458" s="59"/>
      <c r="G458" s="59"/>
      <c r="J458" s="59"/>
      <c r="M458" s="84"/>
      <c r="N458" s="59"/>
      <c r="O458" s="59"/>
      <c r="P458" s="59"/>
      <c r="R458" s="59"/>
      <c r="T458" s="59"/>
      <c r="W458" s="59"/>
      <c r="X458" s="84"/>
    </row>
    <row r="459" spans="6:24" ht="15.75" customHeight="1" x14ac:dyDescent="0.2">
      <c r="F459" s="59"/>
      <c r="G459" s="59"/>
      <c r="J459" s="59"/>
      <c r="M459" s="84"/>
      <c r="N459" s="59"/>
      <c r="O459" s="59"/>
      <c r="P459" s="59"/>
      <c r="R459" s="59"/>
      <c r="T459" s="59"/>
      <c r="W459" s="59"/>
      <c r="X459" s="84"/>
    </row>
    <row r="460" spans="6:24" ht="15.75" customHeight="1" x14ac:dyDescent="0.2">
      <c r="F460" s="59"/>
      <c r="G460" s="59"/>
      <c r="J460" s="59"/>
      <c r="M460" s="84"/>
      <c r="N460" s="59"/>
      <c r="O460" s="59"/>
      <c r="P460" s="59"/>
      <c r="R460" s="59"/>
      <c r="T460" s="59"/>
      <c r="W460" s="59"/>
      <c r="X460" s="84"/>
    </row>
    <row r="461" spans="6:24" ht="15.75" customHeight="1" x14ac:dyDescent="0.2">
      <c r="F461" s="59"/>
      <c r="G461" s="59"/>
      <c r="J461" s="59"/>
      <c r="M461" s="84"/>
      <c r="N461" s="59"/>
      <c r="O461" s="59"/>
      <c r="P461" s="59"/>
      <c r="R461" s="59"/>
      <c r="T461" s="59"/>
      <c r="W461" s="59"/>
      <c r="X461" s="84"/>
    </row>
    <row r="462" spans="6:24" ht="15.75" customHeight="1" x14ac:dyDescent="0.2">
      <c r="F462" s="59"/>
      <c r="G462" s="59"/>
      <c r="J462" s="59"/>
      <c r="M462" s="84"/>
      <c r="N462" s="59"/>
      <c r="O462" s="59"/>
      <c r="P462" s="59"/>
      <c r="R462" s="59"/>
      <c r="T462" s="59"/>
      <c r="W462" s="59"/>
      <c r="X462" s="84"/>
    </row>
    <row r="463" spans="6:24" ht="15.75" customHeight="1" x14ac:dyDescent="0.2">
      <c r="F463" s="59"/>
      <c r="G463" s="59"/>
      <c r="J463" s="59"/>
      <c r="M463" s="84"/>
      <c r="N463" s="59"/>
      <c r="O463" s="59"/>
      <c r="P463" s="59"/>
      <c r="R463" s="59"/>
      <c r="T463" s="59"/>
      <c r="W463" s="59"/>
      <c r="X463" s="84"/>
    </row>
    <row r="464" spans="6:24" ht="15.75" customHeight="1" x14ac:dyDescent="0.2">
      <c r="F464" s="59"/>
      <c r="G464" s="59"/>
      <c r="J464" s="59"/>
      <c r="M464" s="84"/>
      <c r="N464" s="59"/>
      <c r="O464" s="59"/>
      <c r="P464" s="59"/>
      <c r="R464" s="59"/>
      <c r="T464" s="59"/>
      <c r="W464" s="59"/>
      <c r="X464" s="84"/>
    </row>
    <row r="465" spans="6:24" ht="15.75" customHeight="1" x14ac:dyDescent="0.2">
      <c r="F465" s="59"/>
      <c r="G465" s="59"/>
      <c r="J465" s="59"/>
      <c r="M465" s="84"/>
      <c r="N465" s="59"/>
      <c r="O465" s="59"/>
      <c r="P465" s="59"/>
      <c r="R465" s="59"/>
      <c r="T465" s="59"/>
      <c r="W465" s="59"/>
      <c r="X465" s="84"/>
    </row>
    <row r="466" spans="6:24" ht="15.75" customHeight="1" x14ac:dyDescent="0.2">
      <c r="F466" s="59"/>
      <c r="G466" s="59"/>
      <c r="J466" s="59"/>
      <c r="M466" s="84"/>
      <c r="N466" s="59"/>
      <c r="O466" s="59"/>
      <c r="P466" s="59"/>
      <c r="R466" s="59"/>
      <c r="T466" s="59"/>
      <c r="W466" s="59"/>
      <c r="X466" s="84"/>
    </row>
    <row r="467" spans="6:24" ht="15.75" customHeight="1" x14ac:dyDescent="0.2">
      <c r="F467" s="59"/>
      <c r="G467" s="59"/>
      <c r="J467" s="59"/>
      <c r="M467" s="84"/>
      <c r="N467" s="59"/>
      <c r="O467" s="59"/>
      <c r="P467" s="59"/>
      <c r="R467" s="59"/>
      <c r="T467" s="59"/>
      <c r="W467" s="59"/>
      <c r="X467" s="84"/>
    </row>
    <row r="468" spans="6:24" ht="15.75" customHeight="1" x14ac:dyDescent="0.2">
      <c r="F468" s="59"/>
      <c r="G468" s="59"/>
      <c r="J468" s="59"/>
      <c r="M468" s="84"/>
      <c r="N468" s="59"/>
      <c r="O468" s="59"/>
      <c r="P468" s="59"/>
      <c r="R468" s="59"/>
      <c r="T468" s="59"/>
      <c r="W468" s="59"/>
      <c r="X468" s="84"/>
    </row>
    <row r="469" spans="6:24" ht="15.75" customHeight="1" x14ac:dyDescent="0.2">
      <c r="F469" s="59"/>
      <c r="G469" s="59"/>
      <c r="J469" s="59"/>
      <c r="M469" s="84"/>
      <c r="N469" s="59"/>
      <c r="O469" s="59"/>
      <c r="P469" s="59"/>
      <c r="R469" s="59"/>
      <c r="T469" s="59"/>
      <c r="W469" s="59"/>
      <c r="X469" s="84"/>
    </row>
    <row r="470" spans="6:24" ht="15.75" customHeight="1" x14ac:dyDescent="0.2">
      <c r="F470" s="59"/>
      <c r="G470" s="59"/>
      <c r="J470" s="59"/>
      <c r="M470" s="84"/>
      <c r="N470" s="59"/>
      <c r="O470" s="59"/>
      <c r="P470" s="59"/>
      <c r="R470" s="59"/>
      <c r="T470" s="59"/>
      <c r="W470" s="59"/>
      <c r="X470" s="84"/>
    </row>
    <row r="471" spans="6:24" ht="15.75" customHeight="1" x14ac:dyDescent="0.2">
      <c r="F471" s="59"/>
      <c r="G471" s="59"/>
      <c r="J471" s="59"/>
      <c r="M471" s="84"/>
      <c r="N471" s="59"/>
      <c r="O471" s="59"/>
      <c r="P471" s="59"/>
      <c r="R471" s="59"/>
      <c r="T471" s="59"/>
      <c r="W471" s="59"/>
      <c r="X471" s="84"/>
    </row>
    <row r="472" spans="6:24" ht="15.75" customHeight="1" x14ac:dyDescent="0.2">
      <c r="F472" s="59"/>
      <c r="G472" s="59"/>
      <c r="J472" s="59"/>
      <c r="M472" s="84"/>
      <c r="N472" s="59"/>
      <c r="O472" s="59"/>
      <c r="P472" s="59"/>
      <c r="R472" s="59"/>
      <c r="T472" s="59"/>
      <c r="W472" s="59"/>
      <c r="X472" s="84"/>
    </row>
    <row r="473" spans="6:24" ht="15.75" customHeight="1" x14ac:dyDescent="0.2">
      <c r="F473" s="59"/>
      <c r="G473" s="59"/>
      <c r="J473" s="59"/>
      <c r="M473" s="84"/>
      <c r="N473" s="59"/>
      <c r="O473" s="59"/>
      <c r="P473" s="59"/>
      <c r="R473" s="59"/>
      <c r="T473" s="59"/>
      <c r="W473" s="59"/>
      <c r="X473" s="84"/>
    </row>
    <row r="474" spans="6:24" ht="15.75" customHeight="1" x14ac:dyDescent="0.2">
      <c r="F474" s="59"/>
      <c r="G474" s="59"/>
      <c r="J474" s="59"/>
      <c r="M474" s="84"/>
      <c r="N474" s="59"/>
      <c r="O474" s="59"/>
      <c r="P474" s="59"/>
      <c r="R474" s="59"/>
      <c r="T474" s="59"/>
      <c r="W474" s="59"/>
      <c r="X474" s="84"/>
    </row>
    <row r="475" spans="6:24" ht="15.75" customHeight="1" x14ac:dyDescent="0.2">
      <c r="F475" s="59"/>
      <c r="G475" s="59"/>
      <c r="J475" s="59"/>
      <c r="M475" s="84"/>
      <c r="N475" s="59"/>
      <c r="O475" s="59"/>
      <c r="P475" s="59"/>
      <c r="R475" s="59"/>
      <c r="T475" s="59"/>
      <c r="W475" s="59"/>
      <c r="X475" s="84"/>
    </row>
    <row r="476" spans="6:24" ht="15.75" customHeight="1" x14ac:dyDescent="0.2">
      <c r="F476" s="59"/>
      <c r="G476" s="59"/>
      <c r="J476" s="59"/>
      <c r="M476" s="84"/>
      <c r="N476" s="59"/>
      <c r="O476" s="59"/>
      <c r="P476" s="59"/>
      <c r="R476" s="59"/>
      <c r="T476" s="59"/>
      <c r="W476" s="59"/>
      <c r="X476" s="84"/>
    </row>
    <row r="477" spans="6:24" ht="15.75" customHeight="1" x14ac:dyDescent="0.2">
      <c r="F477" s="59"/>
      <c r="G477" s="59"/>
      <c r="J477" s="59"/>
      <c r="M477" s="84"/>
      <c r="N477" s="59"/>
      <c r="O477" s="59"/>
      <c r="P477" s="59"/>
      <c r="R477" s="59"/>
      <c r="T477" s="59"/>
      <c r="W477" s="59"/>
      <c r="X477" s="84"/>
    </row>
    <row r="478" spans="6:24" ht="15.75" customHeight="1" x14ac:dyDescent="0.2">
      <c r="F478" s="59"/>
      <c r="G478" s="59"/>
      <c r="J478" s="59"/>
      <c r="M478" s="84"/>
      <c r="N478" s="59"/>
      <c r="O478" s="59"/>
      <c r="P478" s="59"/>
      <c r="R478" s="59"/>
      <c r="T478" s="59"/>
      <c r="W478" s="59"/>
      <c r="X478" s="84"/>
    </row>
    <row r="479" spans="6:24" ht="15.75" customHeight="1" x14ac:dyDescent="0.2">
      <c r="F479" s="59"/>
      <c r="G479" s="59"/>
      <c r="J479" s="59"/>
      <c r="M479" s="84"/>
      <c r="N479" s="59"/>
      <c r="O479" s="59"/>
      <c r="P479" s="59"/>
      <c r="R479" s="59"/>
      <c r="T479" s="59"/>
      <c r="W479" s="59"/>
      <c r="X479" s="84"/>
    </row>
    <row r="480" spans="6:24" ht="15.75" customHeight="1" x14ac:dyDescent="0.2">
      <c r="F480" s="59"/>
      <c r="G480" s="59"/>
      <c r="J480" s="59"/>
      <c r="M480" s="84"/>
      <c r="N480" s="59"/>
      <c r="O480" s="59"/>
      <c r="P480" s="59"/>
      <c r="R480" s="59"/>
      <c r="T480" s="59"/>
      <c r="W480" s="59"/>
      <c r="X480" s="84"/>
    </row>
    <row r="481" spans="6:24" ht="15.75" customHeight="1" x14ac:dyDescent="0.2">
      <c r="F481" s="59"/>
      <c r="G481" s="59"/>
      <c r="J481" s="59"/>
      <c r="M481" s="84"/>
      <c r="N481" s="59"/>
      <c r="O481" s="59"/>
      <c r="P481" s="59"/>
      <c r="R481" s="59"/>
      <c r="T481" s="59"/>
      <c r="W481" s="59"/>
      <c r="X481" s="84"/>
    </row>
    <row r="482" spans="6:24" ht="15.75" customHeight="1" x14ac:dyDescent="0.2">
      <c r="F482" s="59"/>
      <c r="G482" s="59"/>
      <c r="J482" s="59"/>
      <c r="M482" s="84"/>
      <c r="N482" s="59"/>
      <c r="O482" s="59"/>
      <c r="P482" s="59"/>
      <c r="R482" s="59"/>
      <c r="T482" s="59"/>
      <c r="W482" s="59"/>
      <c r="X482" s="84"/>
    </row>
    <row r="483" spans="6:24" ht="15.75" customHeight="1" x14ac:dyDescent="0.2">
      <c r="F483" s="59"/>
      <c r="G483" s="59"/>
      <c r="J483" s="59"/>
      <c r="M483" s="84"/>
      <c r="N483" s="59"/>
      <c r="O483" s="59"/>
      <c r="P483" s="59"/>
      <c r="R483" s="59"/>
      <c r="T483" s="59"/>
      <c r="W483" s="59"/>
      <c r="X483" s="84"/>
    </row>
    <row r="484" spans="6:24" ht="15.75" customHeight="1" x14ac:dyDescent="0.2">
      <c r="F484" s="59"/>
      <c r="G484" s="59"/>
      <c r="J484" s="59"/>
      <c r="M484" s="84"/>
      <c r="N484" s="59"/>
      <c r="O484" s="59"/>
      <c r="P484" s="59"/>
      <c r="R484" s="59"/>
      <c r="T484" s="59"/>
      <c r="W484" s="59"/>
      <c r="X484" s="84"/>
    </row>
    <row r="485" spans="6:24" ht="15.75" customHeight="1" x14ac:dyDescent="0.2">
      <c r="F485" s="59"/>
      <c r="G485" s="59"/>
      <c r="J485" s="59"/>
      <c r="M485" s="84"/>
      <c r="N485" s="59"/>
      <c r="O485" s="59"/>
      <c r="P485" s="59"/>
      <c r="R485" s="59"/>
      <c r="T485" s="59"/>
      <c r="W485" s="59"/>
      <c r="X485" s="84"/>
    </row>
    <row r="486" spans="6:24" ht="15.75" customHeight="1" x14ac:dyDescent="0.2">
      <c r="F486" s="59"/>
      <c r="G486" s="59"/>
      <c r="J486" s="59"/>
      <c r="M486" s="84"/>
      <c r="N486" s="59"/>
      <c r="O486" s="59"/>
      <c r="P486" s="59"/>
      <c r="R486" s="59"/>
      <c r="T486" s="59"/>
      <c r="W486" s="59"/>
      <c r="X486" s="84"/>
    </row>
    <row r="487" spans="6:24" ht="15.75" customHeight="1" x14ac:dyDescent="0.2">
      <c r="F487" s="59"/>
      <c r="G487" s="59"/>
      <c r="J487" s="59"/>
      <c r="M487" s="84"/>
      <c r="N487" s="59"/>
      <c r="O487" s="59"/>
      <c r="P487" s="59"/>
      <c r="R487" s="59"/>
      <c r="T487" s="59"/>
      <c r="W487" s="59"/>
      <c r="X487" s="84"/>
    </row>
    <row r="488" spans="6:24" ht="15.75" customHeight="1" x14ac:dyDescent="0.2">
      <c r="F488" s="59"/>
      <c r="G488" s="59"/>
      <c r="J488" s="59"/>
      <c r="M488" s="84"/>
      <c r="N488" s="59"/>
      <c r="O488" s="59"/>
      <c r="P488" s="59"/>
      <c r="R488" s="59"/>
      <c r="T488" s="59"/>
      <c r="W488" s="59"/>
      <c r="X488" s="84"/>
    </row>
    <row r="489" spans="6:24" ht="15.75" customHeight="1" x14ac:dyDescent="0.2">
      <c r="F489" s="59"/>
      <c r="G489" s="59"/>
      <c r="J489" s="59"/>
      <c r="M489" s="84"/>
      <c r="N489" s="59"/>
      <c r="O489" s="59"/>
      <c r="P489" s="59"/>
      <c r="R489" s="59"/>
      <c r="T489" s="59"/>
      <c r="W489" s="59"/>
      <c r="X489" s="84"/>
    </row>
    <row r="490" spans="6:24" ht="15.75" customHeight="1" x14ac:dyDescent="0.2">
      <c r="F490" s="59"/>
      <c r="G490" s="59"/>
      <c r="J490" s="59"/>
      <c r="M490" s="84"/>
      <c r="N490" s="59"/>
      <c r="O490" s="59"/>
      <c r="P490" s="59"/>
      <c r="R490" s="59"/>
      <c r="T490" s="59"/>
      <c r="W490" s="59"/>
      <c r="X490" s="84"/>
    </row>
    <row r="491" spans="6:24" ht="15.75" customHeight="1" x14ac:dyDescent="0.2">
      <c r="F491" s="59"/>
      <c r="G491" s="59"/>
      <c r="J491" s="59"/>
      <c r="M491" s="84"/>
      <c r="N491" s="59"/>
      <c r="O491" s="59"/>
      <c r="P491" s="59"/>
      <c r="R491" s="59"/>
      <c r="T491" s="59"/>
      <c r="W491" s="59"/>
      <c r="X491" s="84"/>
    </row>
    <row r="492" spans="6:24" ht="15.75" customHeight="1" x14ac:dyDescent="0.2">
      <c r="F492" s="59"/>
      <c r="G492" s="59"/>
      <c r="J492" s="59"/>
      <c r="M492" s="84"/>
      <c r="N492" s="59"/>
      <c r="O492" s="59"/>
      <c r="P492" s="59"/>
      <c r="R492" s="59"/>
      <c r="T492" s="59"/>
      <c r="W492" s="59"/>
      <c r="X492" s="84"/>
    </row>
    <row r="493" spans="6:24" ht="15.75" customHeight="1" x14ac:dyDescent="0.2">
      <c r="F493" s="59"/>
      <c r="G493" s="59"/>
      <c r="J493" s="59"/>
      <c r="M493" s="84"/>
      <c r="N493" s="59"/>
      <c r="O493" s="59"/>
      <c r="P493" s="59"/>
      <c r="R493" s="59"/>
      <c r="T493" s="59"/>
      <c r="W493" s="59"/>
      <c r="X493" s="84"/>
    </row>
    <row r="494" spans="6:24" ht="15.75" customHeight="1" x14ac:dyDescent="0.2">
      <c r="F494" s="59"/>
      <c r="G494" s="59"/>
      <c r="J494" s="59"/>
      <c r="M494" s="84"/>
      <c r="N494" s="59"/>
      <c r="O494" s="59"/>
      <c r="P494" s="59"/>
      <c r="R494" s="59"/>
      <c r="T494" s="59"/>
      <c r="W494" s="59"/>
      <c r="X494" s="84"/>
    </row>
    <row r="495" spans="6:24" ht="15.75" customHeight="1" x14ac:dyDescent="0.2">
      <c r="F495" s="59"/>
      <c r="G495" s="59"/>
      <c r="J495" s="59"/>
      <c r="M495" s="84"/>
      <c r="N495" s="59"/>
      <c r="O495" s="59"/>
      <c r="P495" s="59"/>
      <c r="R495" s="59"/>
      <c r="T495" s="59"/>
      <c r="W495" s="59"/>
      <c r="X495" s="84"/>
    </row>
    <row r="496" spans="6:24" ht="15.75" customHeight="1" x14ac:dyDescent="0.2">
      <c r="F496" s="59"/>
      <c r="G496" s="59"/>
      <c r="J496" s="59"/>
      <c r="M496" s="84"/>
      <c r="N496" s="59"/>
      <c r="O496" s="59"/>
      <c r="P496" s="59"/>
      <c r="R496" s="59"/>
      <c r="T496" s="59"/>
      <c r="W496" s="59"/>
      <c r="X496" s="84"/>
    </row>
    <row r="497" spans="6:24" ht="15.75" customHeight="1" x14ac:dyDescent="0.2">
      <c r="F497" s="59"/>
      <c r="G497" s="59"/>
      <c r="J497" s="59"/>
      <c r="M497" s="84"/>
      <c r="N497" s="59"/>
      <c r="O497" s="59"/>
      <c r="P497" s="59"/>
      <c r="R497" s="59"/>
      <c r="T497" s="59"/>
      <c r="W497" s="59"/>
      <c r="X497" s="84"/>
    </row>
    <row r="498" spans="6:24" ht="15.75" customHeight="1" x14ac:dyDescent="0.2">
      <c r="F498" s="59"/>
      <c r="G498" s="59"/>
      <c r="J498" s="59"/>
      <c r="M498" s="84"/>
      <c r="N498" s="59"/>
      <c r="O498" s="59"/>
      <c r="P498" s="59"/>
      <c r="R498" s="59"/>
      <c r="T498" s="59"/>
      <c r="W498" s="59"/>
      <c r="X498" s="84"/>
    </row>
    <row r="499" spans="6:24" ht="15.75" customHeight="1" x14ac:dyDescent="0.2">
      <c r="F499" s="59"/>
      <c r="G499" s="59"/>
      <c r="J499" s="59"/>
      <c r="M499" s="84"/>
      <c r="N499" s="59"/>
      <c r="O499" s="59"/>
      <c r="P499" s="59"/>
      <c r="R499" s="59"/>
      <c r="T499" s="59"/>
      <c r="W499" s="59"/>
      <c r="X499" s="84"/>
    </row>
    <row r="500" spans="6:24" ht="15.75" customHeight="1" x14ac:dyDescent="0.2">
      <c r="F500" s="59"/>
      <c r="G500" s="59"/>
      <c r="J500" s="59"/>
      <c r="M500" s="84"/>
      <c r="N500" s="59"/>
      <c r="O500" s="59"/>
      <c r="P500" s="59"/>
      <c r="R500" s="59"/>
      <c r="T500" s="59"/>
      <c r="W500" s="59"/>
      <c r="X500" s="84"/>
    </row>
    <row r="501" spans="6:24" ht="15.75" customHeight="1" x14ac:dyDescent="0.2">
      <c r="F501" s="59"/>
      <c r="G501" s="59"/>
      <c r="J501" s="59"/>
      <c r="M501" s="84"/>
      <c r="N501" s="59"/>
      <c r="O501" s="59"/>
      <c r="P501" s="59"/>
      <c r="R501" s="59"/>
      <c r="T501" s="59"/>
      <c r="W501" s="59"/>
      <c r="X501" s="84"/>
    </row>
    <row r="502" spans="6:24" ht="15.75" customHeight="1" x14ac:dyDescent="0.2">
      <c r="F502" s="59"/>
      <c r="G502" s="59"/>
      <c r="J502" s="59"/>
      <c r="M502" s="84"/>
      <c r="N502" s="59"/>
      <c r="O502" s="59"/>
      <c r="P502" s="59"/>
      <c r="R502" s="59"/>
      <c r="T502" s="59"/>
      <c r="W502" s="59"/>
      <c r="X502" s="84"/>
    </row>
    <row r="503" spans="6:24" ht="15.75" customHeight="1" x14ac:dyDescent="0.2">
      <c r="F503" s="59"/>
      <c r="G503" s="59"/>
      <c r="J503" s="59"/>
      <c r="M503" s="84"/>
      <c r="N503" s="59"/>
      <c r="O503" s="59"/>
      <c r="P503" s="59"/>
      <c r="R503" s="59"/>
      <c r="T503" s="59"/>
      <c r="W503" s="59"/>
      <c r="X503" s="84"/>
    </row>
    <row r="504" spans="6:24" ht="15.75" customHeight="1" x14ac:dyDescent="0.2">
      <c r="F504" s="59"/>
      <c r="G504" s="59"/>
      <c r="J504" s="59"/>
      <c r="M504" s="84"/>
      <c r="N504" s="59"/>
      <c r="O504" s="59"/>
      <c r="P504" s="59"/>
      <c r="R504" s="59"/>
      <c r="T504" s="59"/>
      <c r="W504" s="59"/>
      <c r="X504" s="84"/>
    </row>
    <row r="505" spans="6:24" ht="15.75" customHeight="1" x14ac:dyDescent="0.2">
      <c r="F505" s="59"/>
      <c r="G505" s="59"/>
      <c r="J505" s="59"/>
      <c r="M505" s="84"/>
      <c r="N505" s="59"/>
      <c r="O505" s="59"/>
      <c r="P505" s="59"/>
      <c r="R505" s="59"/>
      <c r="T505" s="59"/>
      <c r="W505" s="59"/>
      <c r="X505" s="84"/>
    </row>
    <row r="506" spans="6:24" ht="15.75" customHeight="1" x14ac:dyDescent="0.2">
      <c r="F506" s="59"/>
      <c r="G506" s="59"/>
      <c r="J506" s="59"/>
      <c r="M506" s="84"/>
      <c r="N506" s="59"/>
      <c r="O506" s="59"/>
      <c r="P506" s="59"/>
      <c r="R506" s="59"/>
      <c r="T506" s="59"/>
      <c r="W506" s="59"/>
      <c r="X506" s="84"/>
    </row>
    <row r="507" spans="6:24" ht="15.75" customHeight="1" x14ac:dyDescent="0.2">
      <c r="F507" s="59"/>
      <c r="G507" s="59"/>
      <c r="J507" s="59"/>
      <c r="M507" s="84"/>
      <c r="N507" s="59"/>
      <c r="O507" s="59"/>
      <c r="P507" s="59"/>
      <c r="R507" s="59"/>
      <c r="T507" s="59"/>
      <c r="W507" s="59"/>
      <c r="X507" s="84"/>
    </row>
    <row r="508" spans="6:24" ht="15.75" customHeight="1" x14ac:dyDescent="0.2">
      <c r="F508" s="59"/>
      <c r="G508" s="59"/>
      <c r="J508" s="59"/>
      <c r="M508" s="84"/>
      <c r="N508" s="59"/>
      <c r="O508" s="59"/>
      <c r="P508" s="59"/>
      <c r="R508" s="59"/>
      <c r="T508" s="59"/>
      <c r="W508" s="59"/>
      <c r="X508" s="84"/>
    </row>
    <row r="509" spans="6:24" ht="15.75" customHeight="1" x14ac:dyDescent="0.2">
      <c r="F509" s="59"/>
      <c r="G509" s="59"/>
      <c r="J509" s="59"/>
      <c r="M509" s="84"/>
      <c r="N509" s="59"/>
      <c r="O509" s="59"/>
      <c r="P509" s="59"/>
      <c r="R509" s="59"/>
      <c r="T509" s="59"/>
      <c r="W509" s="59"/>
      <c r="X509" s="84"/>
    </row>
    <row r="510" spans="6:24" ht="15.75" customHeight="1" x14ac:dyDescent="0.2">
      <c r="F510" s="59"/>
      <c r="G510" s="59"/>
      <c r="J510" s="59"/>
      <c r="M510" s="84"/>
      <c r="N510" s="59"/>
      <c r="O510" s="59"/>
      <c r="P510" s="59"/>
      <c r="R510" s="59"/>
      <c r="T510" s="59"/>
      <c r="W510" s="59"/>
      <c r="X510" s="84"/>
    </row>
    <row r="511" spans="6:24" ht="15.75" customHeight="1" x14ac:dyDescent="0.2">
      <c r="F511" s="59"/>
      <c r="G511" s="59"/>
      <c r="J511" s="59"/>
      <c r="M511" s="84"/>
      <c r="N511" s="59"/>
      <c r="O511" s="59"/>
      <c r="P511" s="59"/>
      <c r="R511" s="59"/>
      <c r="T511" s="59"/>
      <c r="W511" s="59"/>
      <c r="X511" s="84"/>
    </row>
    <row r="512" spans="6:24" ht="15.75" customHeight="1" x14ac:dyDescent="0.2">
      <c r="F512" s="59"/>
      <c r="G512" s="59"/>
      <c r="J512" s="59"/>
      <c r="M512" s="84"/>
      <c r="N512" s="59"/>
      <c r="O512" s="59"/>
      <c r="P512" s="59"/>
      <c r="R512" s="59"/>
      <c r="T512" s="59"/>
      <c r="W512" s="59"/>
      <c r="X512" s="84"/>
    </row>
    <row r="513" spans="6:24" ht="15.75" customHeight="1" x14ac:dyDescent="0.2">
      <c r="F513" s="59"/>
      <c r="G513" s="59"/>
      <c r="J513" s="59"/>
      <c r="M513" s="84"/>
      <c r="N513" s="59"/>
      <c r="O513" s="59"/>
      <c r="P513" s="59"/>
      <c r="R513" s="59"/>
      <c r="T513" s="59"/>
      <c r="W513" s="59"/>
      <c r="X513" s="84"/>
    </row>
    <row r="514" spans="6:24" ht="15.75" customHeight="1" x14ac:dyDescent="0.2">
      <c r="F514" s="59"/>
      <c r="G514" s="59"/>
      <c r="J514" s="59"/>
      <c r="M514" s="84"/>
      <c r="N514" s="59"/>
      <c r="O514" s="59"/>
      <c r="P514" s="59"/>
      <c r="R514" s="59"/>
      <c r="T514" s="59"/>
      <c r="W514" s="59"/>
      <c r="X514" s="84"/>
    </row>
    <row r="515" spans="6:24" ht="15.75" customHeight="1" x14ac:dyDescent="0.2">
      <c r="F515" s="59"/>
      <c r="G515" s="59"/>
      <c r="J515" s="59"/>
      <c r="M515" s="84"/>
      <c r="N515" s="59"/>
      <c r="O515" s="59"/>
      <c r="P515" s="59"/>
      <c r="R515" s="59"/>
      <c r="T515" s="59"/>
      <c r="W515" s="59"/>
      <c r="X515" s="84"/>
    </row>
    <row r="516" spans="6:24" ht="15.75" customHeight="1" x14ac:dyDescent="0.2">
      <c r="F516" s="59"/>
      <c r="G516" s="59"/>
      <c r="J516" s="59"/>
      <c r="M516" s="84"/>
      <c r="N516" s="59"/>
      <c r="O516" s="59"/>
      <c r="P516" s="59"/>
      <c r="R516" s="59"/>
      <c r="T516" s="59"/>
      <c r="W516" s="59"/>
      <c r="X516" s="84"/>
    </row>
    <row r="517" spans="6:24" ht="15.75" customHeight="1" x14ac:dyDescent="0.2">
      <c r="F517" s="59"/>
      <c r="G517" s="59"/>
      <c r="J517" s="59"/>
      <c r="M517" s="84"/>
      <c r="N517" s="59"/>
      <c r="O517" s="59"/>
      <c r="P517" s="59"/>
      <c r="R517" s="59"/>
      <c r="T517" s="59"/>
      <c r="W517" s="59"/>
      <c r="X517" s="84"/>
    </row>
    <row r="518" spans="6:24" ht="15.75" customHeight="1" x14ac:dyDescent="0.2">
      <c r="F518" s="59"/>
      <c r="G518" s="59"/>
      <c r="J518" s="59"/>
      <c r="M518" s="84"/>
      <c r="N518" s="59"/>
      <c r="O518" s="59"/>
      <c r="P518" s="59"/>
      <c r="R518" s="59"/>
      <c r="T518" s="59"/>
      <c r="W518" s="59"/>
      <c r="X518" s="84"/>
    </row>
    <row r="519" spans="6:24" ht="15.75" customHeight="1" x14ac:dyDescent="0.2">
      <c r="F519" s="59"/>
      <c r="G519" s="59"/>
      <c r="J519" s="59"/>
      <c r="M519" s="84"/>
      <c r="N519" s="59"/>
      <c r="O519" s="59"/>
      <c r="P519" s="59"/>
      <c r="R519" s="59"/>
      <c r="T519" s="59"/>
      <c r="W519" s="59"/>
      <c r="X519" s="84"/>
    </row>
    <row r="520" spans="6:24" ht="15.75" customHeight="1" x14ac:dyDescent="0.2">
      <c r="F520" s="59"/>
      <c r="G520" s="59"/>
      <c r="J520" s="59"/>
      <c r="M520" s="84"/>
      <c r="N520" s="59"/>
      <c r="O520" s="59"/>
      <c r="P520" s="59"/>
      <c r="R520" s="59"/>
      <c r="T520" s="59"/>
      <c r="W520" s="59"/>
      <c r="X520" s="84"/>
    </row>
    <row r="521" spans="6:24" ht="15.75" customHeight="1" x14ac:dyDescent="0.2">
      <c r="F521" s="59"/>
      <c r="G521" s="59"/>
      <c r="J521" s="59"/>
      <c r="M521" s="84"/>
      <c r="N521" s="59"/>
      <c r="O521" s="59"/>
      <c r="P521" s="59"/>
      <c r="R521" s="59"/>
      <c r="T521" s="59"/>
      <c r="W521" s="59"/>
      <c r="X521" s="84"/>
    </row>
    <row r="522" spans="6:24" ht="15.75" customHeight="1" x14ac:dyDescent="0.2">
      <c r="F522" s="59"/>
      <c r="G522" s="59"/>
      <c r="J522" s="59"/>
      <c r="M522" s="84"/>
      <c r="N522" s="59"/>
      <c r="O522" s="59"/>
      <c r="P522" s="59"/>
      <c r="R522" s="59"/>
      <c r="T522" s="59"/>
      <c r="W522" s="59"/>
      <c r="X522" s="84"/>
    </row>
    <row r="523" spans="6:24" ht="15.75" customHeight="1" x14ac:dyDescent="0.2">
      <c r="F523" s="59"/>
      <c r="G523" s="59"/>
      <c r="J523" s="59"/>
      <c r="M523" s="84"/>
      <c r="N523" s="59"/>
      <c r="O523" s="59"/>
      <c r="P523" s="59"/>
      <c r="R523" s="59"/>
      <c r="T523" s="59"/>
      <c r="W523" s="59"/>
      <c r="X523" s="84"/>
    </row>
    <row r="524" spans="6:24" ht="15.75" customHeight="1" x14ac:dyDescent="0.2">
      <c r="F524" s="59"/>
      <c r="G524" s="59"/>
      <c r="J524" s="59"/>
      <c r="M524" s="84"/>
      <c r="N524" s="59"/>
      <c r="O524" s="59"/>
      <c r="P524" s="59"/>
      <c r="R524" s="59"/>
      <c r="T524" s="59"/>
      <c r="W524" s="59"/>
      <c r="X524" s="84"/>
    </row>
    <row r="525" spans="6:24" ht="15.75" customHeight="1" x14ac:dyDescent="0.2">
      <c r="F525" s="59"/>
      <c r="G525" s="59"/>
      <c r="J525" s="59"/>
      <c r="M525" s="84"/>
      <c r="N525" s="59"/>
      <c r="O525" s="59"/>
      <c r="P525" s="59"/>
      <c r="R525" s="59"/>
      <c r="T525" s="59"/>
      <c r="W525" s="59"/>
      <c r="X525" s="84"/>
    </row>
    <row r="526" spans="6:24" ht="15.75" customHeight="1" x14ac:dyDescent="0.2">
      <c r="F526" s="59"/>
      <c r="G526" s="59"/>
      <c r="J526" s="59"/>
      <c r="M526" s="84"/>
      <c r="N526" s="59"/>
      <c r="O526" s="59"/>
      <c r="P526" s="59"/>
      <c r="R526" s="59"/>
      <c r="T526" s="59"/>
      <c r="W526" s="59"/>
      <c r="X526" s="84"/>
    </row>
    <row r="527" spans="6:24" ht="15.75" customHeight="1" x14ac:dyDescent="0.2">
      <c r="F527" s="59"/>
      <c r="G527" s="59"/>
      <c r="J527" s="59"/>
      <c r="M527" s="84"/>
      <c r="N527" s="59"/>
      <c r="O527" s="59"/>
      <c r="P527" s="59"/>
      <c r="R527" s="59"/>
      <c r="T527" s="59"/>
      <c r="W527" s="59"/>
      <c r="X527" s="84"/>
    </row>
    <row r="528" spans="6:24" ht="15.75" customHeight="1" x14ac:dyDescent="0.2">
      <c r="F528" s="59"/>
      <c r="G528" s="59"/>
      <c r="J528" s="59"/>
      <c r="M528" s="84"/>
      <c r="N528" s="59"/>
      <c r="O528" s="59"/>
      <c r="P528" s="59"/>
      <c r="R528" s="59"/>
      <c r="T528" s="59"/>
      <c r="W528" s="59"/>
      <c r="X528" s="84"/>
    </row>
    <row r="529" spans="6:24" ht="15.75" customHeight="1" x14ac:dyDescent="0.2">
      <c r="F529" s="59"/>
      <c r="G529" s="59"/>
      <c r="J529" s="59"/>
      <c r="M529" s="84"/>
      <c r="N529" s="59"/>
      <c r="O529" s="59"/>
      <c r="P529" s="59"/>
      <c r="R529" s="59"/>
      <c r="T529" s="59"/>
      <c r="W529" s="59"/>
      <c r="X529" s="84"/>
    </row>
    <row r="530" spans="6:24" ht="15.75" customHeight="1" x14ac:dyDescent="0.2">
      <c r="F530" s="59"/>
      <c r="G530" s="59"/>
      <c r="J530" s="59"/>
      <c r="M530" s="84"/>
      <c r="N530" s="59"/>
      <c r="O530" s="59"/>
      <c r="P530" s="59"/>
      <c r="R530" s="59"/>
      <c r="T530" s="59"/>
      <c r="W530" s="59"/>
      <c r="X530" s="84"/>
    </row>
    <row r="531" spans="6:24" ht="15.75" customHeight="1" x14ac:dyDescent="0.2">
      <c r="F531" s="59"/>
      <c r="G531" s="59"/>
      <c r="J531" s="59"/>
      <c r="M531" s="84"/>
      <c r="N531" s="59"/>
      <c r="O531" s="59"/>
      <c r="P531" s="59"/>
      <c r="R531" s="59"/>
      <c r="T531" s="59"/>
      <c r="W531" s="59"/>
      <c r="X531" s="84"/>
    </row>
    <row r="532" spans="6:24" ht="15.75" customHeight="1" x14ac:dyDescent="0.2">
      <c r="F532" s="59"/>
      <c r="G532" s="59"/>
      <c r="J532" s="59"/>
      <c r="M532" s="84"/>
      <c r="N532" s="59"/>
      <c r="O532" s="59"/>
      <c r="P532" s="59"/>
      <c r="R532" s="59"/>
      <c r="T532" s="59"/>
      <c r="W532" s="59"/>
      <c r="X532" s="84"/>
    </row>
    <row r="533" spans="6:24" ht="15.75" customHeight="1" x14ac:dyDescent="0.2">
      <c r="F533" s="59"/>
      <c r="G533" s="59"/>
      <c r="J533" s="59"/>
      <c r="M533" s="84"/>
      <c r="N533" s="59"/>
      <c r="O533" s="59"/>
      <c r="P533" s="59"/>
      <c r="R533" s="59"/>
      <c r="T533" s="59"/>
      <c r="W533" s="59"/>
      <c r="X533" s="84"/>
    </row>
    <row r="534" spans="6:24" ht="15.75" customHeight="1" x14ac:dyDescent="0.2">
      <c r="F534" s="59"/>
      <c r="G534" s="59"/>
      <c r="J534" s="59"/>
      <c r="M534" s="84"/>
      <c r="N534" s="59"/>
      <c r="O534" s="59"/>
      <c r="P534" s="59"/>
      <c r="R534" s="59"/>
      <c r="T534" s="59"/>
      <c r="W534" s="59"/>
      <c r="X534" s="84"/>
    </row>
    <row r="535" spans="6:24" ht="15.75" customHeight="1" x14ac:dyDescent="0.2">
      <c r="F535" s="59"/>
      <c r="G535" s="59"/>
      <c r="J535" s="59"/>
      <c r="M535" s="84"/>
      <c r="N535" s="59"/>
      <c r="O535" s="59"/>
      <c r="P535" s="59"/>
      <c r="R535" s="59"/>
      <c r="T535" s="59"/>
      <c r="W535" s="59"/>
      <c r="X535" s="84"/>
    </row>
    <row r="536" spans="6:24" ht="15.75" customHeight="1" x14ac:dyDescent="0.2">
      <c r="F536" s="59"/>
      <c r="G536" s="59"/>
      <c r="J536" s="59"/>
      <c r="M536" s="84"/>
      <c r="N536" s="59"/>
      <c r="O536" s="59"/>
      <c r="P536" s="59"/>
      <c r="R536" s="59"/>
      <c r="T536" s="59"/>
      <c r="W536" s="59"/>
      <c r="X536" s="84"/>
    </row>
    <row r="537" spans="6:24" ht="15.75" customHeight="1" x14ac:dyDescent="0.2">
      <c r="F537" s="59"/>
      <c r="G537" s="59"/>
      <c r="J537" s="59"/>
      <c r="M537" s="84"/>
      <c r="N537" s="59"/>
      <c r="O537" s="59"/>
      <c r="P537" s="59"/>
      <c r="R537" s="59"/>
      <c r="T537" s="59"/>
      <c r="W537" s="59"/>
      <c r="X537" s="84"/>
    </row>
    <row r="538" spans="6:24" ht="15.75" customHeight="1" x14ac:dyDescent="0.2">
      <c r="F538" s="59"/>
      <c r="G538" s="59"/>
      <c r="J538" s="59"/>
      <c r="M538" s="84"/>
      <c r="N538" s="59"/>
      <c r="O538" s="59"/>
      <c r="P538" s="59"/>
      <c r="R538" s="59"/>
      <c r="T538" s="59"/>
      <c r="W538" s="59"/>
      <c r="X538" s="84"/>
    </row>
    <row r="539" spans="6:24" ht="15.75" customHeight="1" x14ac:dyDescent="0.2">
      <c r="F539" s="59"/>
      <c r="G539" s="59"/>
      <c r="J539" s="59"/>
      <c r="M539" s="84"/>
      <c r="N539" s="59"/>
      <c r="O539" s="59"/>
      <c r="P539" s="59"/>
      <c r="R539" s="59"/>
      <c r="T539" s="59"/>
      <c r="W539" s="59"/>
      <c r="X539" s="84"/>
    </row>
    <row r="540" spans="6:24" ht="15.75" customHeight="1" x14ac:dyDescent="0.2">
      <c r="F540" s="59"/>
      <c r="G540" s="59"/>
      <c r="J540" s="59"/>
      <c r="M540" s="84"/>
      <c r="N540" s="59"/>
      <c r="O540" s="59"/>
      <c r="P540" s="59"/>
      <c r="R540" s="59"/>
      <c r="T540" s="59"/>
      <c r="W540" s="59"/>
      <c r="X540" s="84"/>
    </row>
    <row r="541" spans="6:24" ht="15.75" customHeight="1" x14ac:dyDescent="0.2">
      <c r="F541" s="59"/>
      <c r="G541" s="59"/>
      <c r="J541" s="59"/>
      <c r="M541" s="84"/>
      <c r="N541" s="59"/>
      <c r="O541" s="59"/>
      <c r="P541" s="59"/>
      <c r="R541" s="59"/>
      <c r="T541" s="59"/>
      <c r="W541" s="59"/>
      <c r="X541" s="84"/>
    </row>
    <row r="542" spans="6:24" ht="15.75" customHeight="1" x14ac:dyDescent="0.2">
      <c r="F542" s="59"/>
      <c r="G542" s="59"/>
      <c r="J542" s="59"/>
      <c r="M542" s="84"/>
      <c r="N542" s="59"/>
      <c r="O542" s="59"/>
      <c r="P542" s="59"/>
      <c r="R542" s="59"/>
      <c r="T542" s="59"/>
      <c r="W542" s="59"/>
      <c r="X542" s="84"/>
    </row>
    <row r="543" spans="6:24" ht="15.75" customHeight="1" x14ac:dyDescent="0.2">
      <c r="F543" s="59"/>
      <c r="G543" s="59"/>
      <c r="J543" s="59"/>
      <c r="M543" s="84"/>
      <c r="N543" s="59"/>
      <c r="O543" s="59"/>
      <c r="P543" s="59"/>
      <c r="R543" s="59"/>
      <c r="T543" s="59"/>
      <c r="W543" s="59"/>
      <c r="X543" s="84"/>
    </row>
    <row r="544" spans="6:24" ht="15.75" customHeight="1" x14ac:dyDescent="0.2">
      <c r="F544" s="59"/>
      <c r="G544" s="59"/>
      <c r="J544" s="59"/>
      <c r="M544" s="84"/>
      <c r="N544" s="59"/>
      <c r="O544" s="59"/>
      <c r="P544" s="59"/>
      <c r="R544" s="59"/>
      <c r="T544" s="59"/>
      <c r="W544" s="59"/>
      <c r="X544" s="84"/>
    </row>
    <row r="545" spans="6:24" ht="15.75" customHeight="1" x14ac:dyDescent="0.2">
      <c r="F545" s="59"/>
      <c r="G545" s="59"/>
      <c r="J545" s="59"/>
      <c r="M545" s="84"/>
      <c r="N545" s="59"/>
      <c r="O545" s="59"/>
      <c r="P545" s="59"/>
      <c r="R545" s="59"/>
      <c r="T545" s="59"/>
      <c r="W545" s="59"/>
      <c r="X545" s="84"/>
    </row>
    <row r="546" spans="6:24" ht="15.75" customHeight="1" x14ac:dyDescent="0.2">
      <c r="F546" s="59"/>
      <c r="G546" s="59"/>
      <c r="J546" s="59"/>
      <c r="M546" s="84"/>
      <c r="N546" s="59"/>
      <c r="O546" s="59"/>
      <c r="P546" s="59"/>
      <c r="R546" s="59"/>
      <c r="T546" s="59"/>
      <c r="W546" s="59"/>
      <c r="X546" s="84"/>
    </row>
    <row r="547" spans="6:24" ht="15.75" customHeight="1" x14ac:dyDescent="0.2">
      <c r="F547" s="59"/>
      <c r="G547" s="59"/>
      <c r="J547" s="59"/>
      <c r="M547" s="84"/>
      <c r="N547" s="59"/>
      <c r="O547" s="59"/>
      <c r="P547" s="59"/>
      <c r="R547" s="59"/>
      <c r="T547" s="59"/>
      <c r="W547" s="59"/>
      <c r="X547" s="84"/>
    </row>
    <row r="548" spans="6:24" ht="15.75" customHeight="1" x14ac:dyDescent="0.2">
      <c r="F548" s="59"/>
      <c r="G548" s="59"/>
      <c r="J548" s="59"/>
      <c r="M548" s="84"/>
      <c r="N548" s="59"/>
      <c r="O548" s="59"/>
      <c r="P548" s="59"/>
      <c r="R548" s="59"/>
      <c r="T548" s="59"/>
      <c r="W548" s="59"/>
      <c r="X548" s="84"/>
    </row>
    <row r="549" spans="6:24" ht="15.75" customHeight="1" x14ac:dyDescent="0.2">
      <c r="F549" s="59"/>
      <c r="G549" s="59"/>
      <c r="J549" s="59"/>
      <c r="M549" s="84"/>
      <c r="N549" s="59"/>
      <c r="O549" s="59"/>
      <c r="P549" s="59"/>
      <c r="R549" s="59"/>
      <c r="T549" s="59"/>
      <c r="W549" s="59"/>
      <c r="X549" s="84"/>
    </row>
    <row r="550" spans="6:24" ht="15.75" customHeight="1" x14ac:dyDescent="0.2">
      <c r="F550" s="59"/>
      <c r="G550" s="59"/>
      <c r="J550" s="59"/>
      <c r="M550" s="84"/>
      <c r="N550" s="59"/>
      <c r="O550" s="59"/>
      <c r="P550" s="59"/>
      <c r="R550" s="59"/>
      <c r="T550" s="59"/>
      <c r="W550" s="59"/>
      <c r="X550" s="84"/>
    </row>
    <row r="551" spans="6:24" ht="15.75" customHeight="1" x14ac:dyDescent="0.2">
      <c r="F551" s="59"/>
      <c r="G551" s="59"/>
      <c r="J551" s="59"/>
      <c r="M551" s="84"/>
      <c r="N551" s="59"/>
      <c r="O551" s="59"/>
      <c r="P551" s="59"/>
      <c r="R551" s="59"/>
      <c r="T551" s="59"/>
      <c r="W551" s="59"/>
      <c r="X551" s="84"/>
    </row>
    <row r="552" spans="6:24" ht="15.75" customHeight="1" x14ac:dyDescent="0.2">
      <c r="F552" s="59"/>
      <c r="G552" s="59"/>
      <c r="J552" s="59"/>
      <c r="M552" s="84"/>
      <c r="N552" s="59"/>
      <c r="O552" s="59"/>
      <c r="P552" s="59"/>
      <c r="R552" s="59"/>
      <c r="T552" s="59"/>
      <c r="W552" s="59"/>
      <c r="X552" s="84"/>
    </row>
    <row r="553" spans="6:24" ht="15.75" customHeight="1" x14ac:dyDescent="0.2">
      <c r="F553" s="59"/>
      <c r="G553" s="59"/>
      <c r="J553" s="59"/>
      <c r="M553" s="84"/>
      <c r="N553" s="59"/>
      <c r="O553" s="59"/>
      <c r="P553" s="59"/>
      <c r="R553" s="59"/>
      <c r="T553" s="59"/>
      <c r="W553" s="59"/>
      <c r="X553" s="84"/>
    </row>
    <row r="554" spans="6:24" ht="15.75" customHeight="1" x14ac:dyDescent="0.2">
      <c r="F554" s="59"/>
      <c r="G554" s="59"/>
      <c r="J554" s="59"/>
      <c r="M554" s="84"/>
      <c r="N554" s="59"/>
      <c r="O554" s="59"/>
      <c r="P554" s="59"/>
      <c r="R554" s="59"/>
      <c r="T554" s="59"/>
      <c r="W554" s="59"/>
      <c r="X554" s="84"/>
    </row>
    <row r="555" spans="6:24" ht="15.75" customHeight="1" x14ac:dyDescent="0.2">
      <c r="F555" s="59"/>
      <c r="G555" s="59"/>
      <c r="J555" s="59"/>
      <c r="M555" s="84"/>
      <c r="N555" s="59"/>
      <c r="O555" s="59"/>
      <c r="P555" s="59"/>
      <c r="R555" s="59"/>
      <c r="T555" s="59"/>
      <c r="W555" s="59"/>
      <c r="X555" s="84"/>
    </row>
    <row r="556" spans="6:24" ht="15.75" customHeight="1" x14ac:dyDescent="0.2">
      <c r="F556" s="59"/>
      <c r="G556" s="59"/>
      <c r="J556" s="59"/>
      <c r="M556" s="84"/>
      <c r="N556" s="59"/>
      <c r="O556" s="59"/>
      <c r="P556" s="59"/>
      <c r="R556" s="59"/>
      <c r="T556" s="59"/>
      <c r="W556" s="59"/>
      <c r="X556" s="84"/>
    </row>
    <row r="557" spans="6:24" ht="15.75" customHeight="1" x14ac:dyDescent="0.2">
      <c r="F557" s="59"/>
      <c r="G557" s="59"/>
      <c r="J557" s="59"/>
      <c r="M557" s="84"/>
      <c r="N557" s="59"/>
      <c r="O557" s="59"/>
      <c r="P557" s="59"/>
      <c r="R557" s="59"/>
      <c r="T557" s="59"/>
      <c r="W557" s="59"/>
      <c r="X557" s="84"/>
    </row>
    <row r="558" spans="6:24" ht="15.75" customHeight="1" x14ac:dyDescent="0.2">
      <c r="F558" s="59"/>
      <c r="G558" s="59"/>
      <c r="J558" s="59"/>
      <c r="M558" s="84"/>
      <c r="N558" s="59"/>
      <c r="O558" s="59"/>
      <c r="P558" s="59"/>
      <c r="R558" s="59"/>
      <c r="T558" s="59"/>
      <c r="W558" s="59"/>
      <c r="X558" s="84"/>
    </row>
    <row r="559" spans="6:24" ht="15.75" customHeight="1" x14ac:dyDescent="0.2">
      <c r="F559" s="59"/>
      <c r="G559" s="59"/>
      <c r="J559" s="59"/>
      <c r="M559" s="84"/>
      <c r="N559" s="59"/>
      <c r="O559" s="59"/>
      <c r="P559" s="59"/>
      <c r="R559" s="59"/>
      <c r="T559" s="59"/>
      <c r="W559" s="59"/>
      <c r="X559" s="84"/>
    </row>
    <row r="560" spans="6:24" ht="15.75" customHeight="1" x14ac:dyDescent="0.2">
      <c r="F560" s="59"/>
      <c r="G560" s="59"/>
      <c r="J560" s="59"/>
      <c r="M560" s="84"/>
      <c r="N560" s="59"/>
      <c r="O560" s="59"/>
      <c r="P560" s="59"/>
      <c r="R560" s="59"/>
      <c r="T560" s="59"/>
      <c r="W560" s="59"/>
      <c r="X560" s="84"/>
    </row>
    <row r="561" spans="6:24" ht="15.75" customHeight="1" x14ac:dyDescent="0.2">
      <c r="F561" s="59"/>
      <c r="G561" s="59"/>
      <c r="J561" s="59"/>
      <c r="M561" s="84"/>
      <c r="N561" s="59"/>
      <c r="O561" s="59"/>
      <c r="P561" s="59"/>
      <c r="R561" s="59"/>
      <c r="T561" s="59"/>
      <c r="W561" s="59"/>
      <c r="X561" s="84"/>
    </row>
    <row r="562" spans="6:24" ht="15.75" customHeight="1" x14ac:dyDescent="0.2">
      <c r="F562" s="59"/>
      <c r="G562" s="59"/>
      <c r="J562" s="59"/>
      <c r="M562" s="84"/>
      <c r="N562" s="59"/>
      <c r="O562" s="59"/>
      <c r="P562" s="59"/>
      <c r="R562" s="59"/>
      <c r="T562" s="59"/>
      <c r="W562" s="59"/>
      <c r="X562" s="84"/>
    </row>
    <row r="563" spans="6:24" ht="15.75" customHeight="1" x14ac:dyDescent="0.2">
      <c r="F563" s="59"/>
      <c r="G563" s="59"/>
      <c r="J563" s="59"/>
      <c r="M563" s="84"/>
      <c r="N563" s="59"/>
      <c r="O563" s="59"/>
      <c r="P563" s="59"/>
      <c r="R563" s="59"/>
      <c r="T563" s="59"/>
      <c r="W563" s="59"/>
      <c r="X563" s="84"/>
    </row>
    <row r="564" spans="6:24" ht="15.75" customHeight="1" x14ac:dyDescent="0.2">
      <c r="F564" s="59"/>
      <c r="G564" s="59"/>
      <c r="J564" s="59"/>
      <c r="M564" s="84"/>
      <c r="N564" s="59"/>
      <c r="O564" s="59"/>
      <c r="P564" s="59"/>
      <c r="R564" s="59"/>
      <c r="T564" s="59"/>
      <c r="W564" s="59"/>
      <c r="X564" s="84"/>
    </row>
    <row r="565" spans="6:24" ht="15.75" customHeight="1" x14ac:dyDescent="0.2">
      <c r="F565" s="59"/>
      <c r="G565" s="59"/>
      <c r="J565" s="59"/>
      <c r="M565" s="84"/>
      <c r="N565" s="59"/>
      <c r="O565" s="59"/>
      <c r="P565" s="59"/>
      <c r="R565" s="59"/>
      <c r="T565" s="59"/>
      <c r="W565" s="59"/>
      <c r="X565" s="84"/>
    </row>
    <row r="566" spans="6:24" ht="15.75" customHeight="1" x14ac:dyDescent="0.2">
      <c r="F566" s="59"/>
      <c r="G566" s="59"/>
      <c r="J566" s="59"/>
      <c r="M566" s="84"/>
      <c r="N566" s="59"/>
      <c r="O566" s="59"/>
      <c r="P566" s="59"/>
      <c r="R566" s="59"/>
      <c r="T566" s="59"/>
      <c r="W566" s="59"/>
      <c r="X566" s="84"/>
    </row>
    <row r="567" spans="6:24" ht="15.75" customHeight="1" x14ac:dyDescent="0.2">
      <c r="F567" s="59"/>
      <c r="G567" s="59"/>
      <c r="J567" s="59"/>
      <c r="M567" s="84"/>
      <c r="N567" s="59"/>
      <c r="O567" s="59"/>
      <c r="P567" s="59"/>
      <c r="R567" s="59"/>
      <c r="T567" s="59"/>
      <c r="W567" s="59"/>
      <c r="X567" s="84"/>
    </row>
    <row r="568" spans="6:24" ht="15.75" customHeight="1" x14ac:dyDescent="0.2">
      <c r="F568" s="59"/>
      <c r="G568" s="59"/>
      <c r="J568" s="59"/>
      <c r="M568" s="84"/>
      <c r="N568" s="59"/>
      <c r="O568" s="59"/>
      <c r="P568" s="59"/>
      <c r="R568" s="59"/>
      <c r="T568" s="59"/>
      <c r="W568" s="59"/>
      <c r="X568" s="84"/>
    </row>
    <row r="569" spans="6:24" ht="15.75" customHeight="1" x14ac:dyDescent="0.2">
      <c r="F569" s="59"/>
      <c r="G569" s="59"/>
      <c r="J569" s="59"/>
      <c r="M569" s="84"/>
      <c r="N569" s="59"/>
      <c r="O569" s="59"/>
      <c r="P569" s="59"/>
      <c r="R569" s="59"/>
      <c r="T569" s="59"/>
      <c r="W569" s="59"/>
      <c r="X569" s="84"/>
    </row>
    <row r="570" spans="6:24" ht="15.75" customHeight="1" x14ac:dyDescent="0.2">
      <c r="F570" s="59"/>
      <c r="G570" s="59"/>
      <c r="J570" s="59"/>
      <c r="M570" s="84"/>
      <c r="N570" s="59"/>
      <c r="O570" s="59"/>
      <c r="P570" s="59"/>
      <c r="R570" s="59"/>
      <c r="T570" s="59"/>
      <c r="W570" s="59"/>
      <c r="X570" s="84"/>
    </row>
    <row r="571" spans="6:24" ht="15.75" customHeight="1" x14ac:dyDescent="0.2">
      <c r="F571" s="59"/>
      <c r="G571" s="59"/>
      <c r="J571" s="59"/>
      <c r="M571" s="84"/>
      <c r="N571" s="59"/>
      <c r="O571" s="59"/>
      <c r="P571" s="59"/>
      <c r="R571" s="59"/>
      <c r="T571" s="59"/>
      <c r="W571" s="59"/>
      <c r="X571" s="84"/>
    </row>
    <row r="572" spans="6:24" ht="15.75" customHeight="1" x14ac:dyDescent="0.2">
      <c r="F572" s="59"/>
      <c r="G572" s="59"/>
      <c r="J572" s="59"/>
      <c r="M572" s="84"/>
      <c r="N572" s="59"/>
      <c r="O572" s="59"/>
      <c r="P572" s="59"/>
      <c r="R572" s="59"/>
      <c r="T572" s="59"/>
      <c r="W572" s="59"/>
      <c r="X572" s="84"/>
    </row>
    <row r="573" spans="6:24" ht="15.75" customHeight="1" x14ac:dyDescent="0.2">
      <c r="F573" s="59"/>
      <c r="G573" s="59"/>
      <c r="J573" s="59"/>
      <c r="M573" s="84"/>
      <c r="N573" s="59"/>
      <c r="O573" s="59"/>
      <c r="P573" s="59"/>
      <c r="R573" s="59"/>
      <c r="T573" s="59"/>
      <c r="W573" s="59"/>
      <c r="X573" s="84"/>
    </row>
    <row r="574" spans="6:24" ht="15.75" customHeight="1" x14ac:dyDescent="0.2">
      <c r="F574" s="59"/>
      <c r="G574" s="59"/>
      <c r="J574" s="59"/>
      <c r="M574" s="84"/>
      <c r="N574" s="59"/>
      <c r="O574" s="59"/>
      <c r="P574" s="59"/>
      <c r="R574" s="59"/>
      <c r="T574" s="59"/>
      <c r="W574" s="59"/>
      <c r="X574" s="84"/>
    </row>
    <row r="575" spans="6:24" ht="15.75" customHeight="1" x14ac:dyDescent="0.2">
      <c r="F575" s="59"/>
      <c r="G575" s="59"/>
      <c r="J575" s="59"/>
      <c r="M575" s="84"/>
      <c r="N575" s="59"/>
      <c r="O575" s="59"/>
      <c r="P575" s="59"/>
      <c r="R575" s="59"/>
      <c r="T575" s="59"/>
      <c r="W575" s="59"/>
      <c r="X575" s="84"/>
    </row>
    <row r="576" spans="6:24" ht="15.75" customHeight="1" x14ac:dyDescent="0.2">
      <c r="F576" s="59"/>
      <c r="G576" s="59"/>
      <c r="J576" s="59"/>
      <c r="M576" s="84"/>
      <c r="N576" s="59"/>
      <c r="O576" s="59"/>
      <c r="P576" s="59"/>
      <c r="R576" s="59"/>
      <c r="T576" s="59"/>
      <c r="W576" s="59"/>
      <c r="X576" s="84"/>
    </row>
    <row r="577" spans="6:24" ht="15.75" customHeight="1" x14ac:dyDescent="0.2">
      <c r="F577" s="59"/>
      <c r="G577" s="59"/>
      <c r="J577" s="59"/>
      <c r="M577" s="84"/>
      <c r="N577" s="59"/>
      <c r="O577" s="59"/>
      <c r="P577" s="59"/>
      <c r="R577" s="59"/>
      <c r="T577" s="59"/>
      <c r="W577" s="59"/>
      <c r="X577" s="84"/>
    </row>
    <row r="578" spans="6:24" ht="15.75" customHeight="1" x14ac:dyDescent="0.2">
      <c r="F578" s="59"/>
      <c r="G578" s="59"/>
      <c r="J578" s="59"/>
      <c r="M578" s="84"/>
      <c r="N578" s="59"/>
      <c r="O578" s="59"/>
      <c r="P578" s="59"/>
      <c r="R578" s="59"/>
      <c r="T578" s="59"/>
      <c r="W578" s="59"/>
      <c r="X578" s="84"/>
    </row>
    <row r="579" spans="6:24" ht="15.75" customHeight="1" x14ac:dyDescent="0.2">
      <c r="F579" s="59"/>
      <c r="G579" s="59"/>
      <c r="J579" s="59"/>
      <c r="M579" s="84"/>
      <c r="N579" s="59"/>
      <c r="O579" s="59"/>
      <c r="P579" s="59"/>
      <c r="R579" s="59"/>
      <c r="T579" s="59"/>
      <c r="W579" s="59"/>
      <c r="X579" s="84"/>
    </row>
    <row r="580" spans="6:24" ht="15.75" customHeight="1" x14ac:dyDescent="0.2">
      <c r="F580" s="59"/>
      <c r="G580" s="59"/>
      <c r="J580" s="59"/>
      <c r="M580" s="84"/>
      <c r="N580" s="59"/>
      <c r="O580" s="59"/>
      <c r="P580" s="59"/>
      <c r="R580" s="59"/>
      <c r="T580" s="59"/>
      <c r="W580" s="59"/>
      <c r="X580" s="84"/>
    </row>
    <row r="581" spans="6:24" ht="15.75" customHeight="1" x14ac:dyDescent="0.2">
      <c r="F581" s="59"/>
      <c r="G581" s="59"/>
      <c r="J581" s="59"/>
      <c r="M581" s="84"/>
      <c r="N581" s="59"/>
      <c r="O581" s="59"/>
      <c r="P581" s="59"/>
      <c r="R581" s="59"/>
      <c r="T581" s="59"/>
      <c r="W581" s="59"/>
      <c r="X581" s="84"/>
    </row>
    <row r="582" spans="6:24" ht="15.75" customHeight="1" x14ac:dyDescent="0.2">
      <c r="F582" s="59"/>
      <c r="G582" s="59"/>
      <c r="J582" s="59"/>
      <c r="M582" s="84"/>
      <c r="N582" s="59"/>
      <c r="O582" s="59"/>
      <c r="P582" s="59"/>
      <c r="R582" s="59"/>
      <c r="T582" s="59"/>
      <c r="W582" s="59"/>
      <c r="X582" s="84"/>
    </row>
    <row r="583" spans="6:24" ht="15.75" customHeight="1" x14ac:dyDescent="0.2">
      <c r="F583" s="59"/>
      <c r="G583" s="59"/>
      <c r="J583" s="59"/>
      <c r="M583" s="84"/>
      <c r="N583" s="59"/>
      <c r="O583" s="59"/>
      <c r="P583" s="59"/>
      <c r="R583" s="59"/>
      <c r="T583" s="59"/>
      <c r="W583" s="59"/>
      <c r="X583" s="84"/>
    </row>
    <row r="584" spans="6:24" ht="15.75" customHeight="1" x14ac:dyDescent="0.2">
      <c r="F584" s="59"/>
      <c r="G584" s="59"/>
      <c r="J584" s="59"/>
      <c r="M584" s="84"/>
      <c r="N584" s="59"/>
      <c r="O584" s="59"/>
      <c r="P584" s="59"/>
      <c r="R584" s="59"/>
      <c r="T584" s="59"/>
      <c r="W584" s="59"/>
      <c r="X584" s="84"/>
    </row>
    <row r="585" spans="6:24" ht="15.75" customHeight="1" x14ac:dyDescent="0.2">
      <c r="F585" s="59"/>
      <c r="G585" s="59"/>
      <c r="J585" s="59"/>
      <c r="M585" s="84"/>
      <c r="N585" s="59"/>
      <c r="O585" s="59"/>
      <c r="P585" s="59"/>
      <c r="R585" s="59"/>
      <c r="T585" s="59"/>
      <c r="W585" s="59"/>
      <c r="X585" s="84"/>
    </row>
    <row r="586" spans="6:24" ht="15.75" customHeight="1" x14ac:dyDescent="0.2">
      <c r="F586" s="59"/>
      <c r="G586" s="59"/>
      <c r="J586" s="59"/>
      <c r="M586" s="84"/>
      <c r="N586" s="59"/>
      <c r="O586" s="59"/>
      <c r="P586" s="59"/>
      <c r="R586" s="59"/>
      <c r="T586" s="59"/>
      <c r="W586" s="59"/>
      <c r="X586" s="84"/>
    </row>
    <row r="587" spans="6:24" ht="15.75" customHeight="1" x14ac:dyDescent="0.2">
      <c r="F587" s="59"/>
      <c r="G587" s="59"/>
      <c r="J587" s="59"/>
      <c r="M587" s="84"/>
      <c r="N587" s="59"/>
      <c r="O587" s="59"/>
      <c r="P587" s="59"/>
      <c r="R587" s="59"/>
      <c r="T587" s="59"/>
      <c r="W587" s="59"/>
      <c r="X587" s="84"/>
    </row>
    <row r="588" spans="6:24" ht="15.75" customHeight="1" x14ac:dyDescent="0.2">
      <c r="F588" s="59"/>
      <c r="G588" s="59"/>
      <c r="J588" s="59"/>
      <c r="M588" s="84"/>
      <c r="N588" s="59"/>
      <c r="O588" s="59"/>
      <c r="P588" s="59"/>
      <c r="R588" s="59"/>
      <c r="T588" s="59"/>
      <c r="W588" s="59"/>
      <c r="X588" s="84"/>
    </row>
    <row r="589" spans="6:24" ht="15.75" customHeight="1" x14ac:dyDescent="0.2">
      <c r="F589" s="59"/>
      <c r="G589" s="59"/>
      <c r="J589" s="59"/>
      <c r="M589" s="84"/>
      <c r="N589" s="59"/>
      <c r="O589" s="59"/>
      <c r="P589" s="59"/>
      <c r="R589" s="59"/>
      <c r="T589" s="59"/>
      <c r="W589" s="59"/>
      <c r="X589" s="84"/>
    </row>
    <row r="590" spans="6:24" ht="15.75" customHeight="1" x14ac:dyDescent="0.2">
      <c r="F590" s="59"/>
      <c r="G590" s="59"/>
      <c r="J590" s="59"/>
      <c r="M590" s="84"/>
      <c r="N590" s="59"/>
      <c r="O590" s="59"/>
      <c r="P590" s="59"/>
      <c r="R590" s="59"/>
      <c r="T590" s="59"/>
      <c r="W590" s="59"/>
      <c r="X590" s="84"/>
    </row>
    <row r="591" spans="6:24" ht="15.75" customHeight="1" x14ac:dyDescent="0.2">
      <c r="F591" s="59"/>
      <c r="G591" s="59"/>
      <c r="J591" s="59"/>
      <c r="M591" s="84"/>
      <c r="N591" s="59"/>
      <c r="O591" s="59"/>
      <c r="P591" s="59"/>
      <c r="R591" s="59"/>
      <c r="T591" s="59"/>
      <c r="W591" s="59"/>
      <c r="X591" s="84"/>
    </row>
    <row r="592" spans="6:24" ht="15.75" customHeight="1" x14ac:dyDescent="0.2">
      <c r="F592" s="59"/>
      <c r="G592" s="59"/>
      <c r="J592" s="59"/>
      <c r="M592" s="84"/>
      <c r="N592" s="59"/>
      <c r="O592" s="59"/>
      <c r="P592" s="59"/>
      <c r="R592" s="59"/>
      <c r="T592" s="59"/>
      <c r="W592" s="59"/>
      <c r="X592" s="84"/>
    </row>
    <row r="593" spans="6:24" ht="15.75" customHeight="1" x14ac:dyDescent="0.2">
      <c r="F593" s="59"/>
      <c r="G593" s="59"/>
      <c r="J593" s="59"/>
      <c r="M593" s="84"/>
      <c r="N593" s="59"/>
      <c r="O593" s="59"/>
      <c r="P593" s="59"/>
      <c r="R593" s="59"/>
      <c r="T593" s="59"/>
      <c r="W593" s="59"/>
      <c r="X593" s="84"/>
    </row>
    <row r="594" spans="6:24" ht="15.75" customHeight="1" x14ac:dyDescent="0.2">
      <c r="F594" s="59"/>
      <c r="G594" s="59"/>
      <c r="J594" s="59"/>
      <c r="M594" s="84"/>
      <c r="N594" s="59"/>
      <c r="O594" s="59"/>
      <c r="P594" s="59"/>
      <c r="R594" s="59"/>
      <c r="T594" s="59"/>
      <c r="W594" s="59"/>
      <c r="X594" s="84"/>
    </row>
    <row r="595" spans="6:24" ht="15.75" customHeight="1" x14ac:dyDescent="0.2">
      <c r="F595" s="59"/>
      <c r="G595" s="59"/>
      <c r="J595" s="59"/>
      <c r="M595" s="84"/>
      <c r="N595" s="59"/>
      <c r="O595" s="59"/>
      <c r="P595" s="59"/>
      <c r="R595" s="59"/>
      <c r="T595" s="59"/>
      <c r="W595" s="59"/>
      <c r="X595" s="84"/>
    </row>
    <row r="596" spans="6:24" ht="15.75" customHeight="1" x14ac:dyDescent="0.2">
      <c r="F596" s="59"/>
      <c r="G596" s="59"/>
      <c r="J596" s="59"/>
      <c r="M596" s="84"/>
      <c r="N596" s="59"/>
      <c r="O596" s="59"/>
      <c r="P596" s="59"/>
      <c r="R596" s="59"/>
      <c r="T596" s="59"/>
      <c r="W596" s="59"/>
      <c r="X596" s="84"/>
    </row>
    <row r="597" spans="6:24" ht="15.75" customHeight="1" x14ac:dyDescent="0.2">
      <c r="F597" s="59"/>
      <c r="G597" s="59"/>
      <c r="J597" s="59"/>
      <c r="M597" s="84"/>
      <c r="N597" s="59"/>
      <c r="O597" s="59"/>
      <c r="P597" s="59"/>
      <c r="R597" s="59"/>
      <c r="T597" s="59"/>
      <c r="W597" s="59"/>
      <c r="X597" s="84"/>
    </row>
    <row r="598" spans="6:24" ht="15.75" customHeight="1" x14ac:dyDescent="0.2">
      <c r="F598" s="59"/>
      <c r="G598" s="59"/>
      <c r="J598" s="59"/>
      <c r="M598" s="84"/>
      <c r="N598" s="59"/>
      <c r="O598" s="59"/>
      <c r="P598" s="59"/>
      <c r="R598" s="59"/>
      <c r="T598" s="59"/>
      <c r="W598" s="59"/>
      <c r="X598" s="84"/>
    </row>
    <row r="599" spans="6:24" ht="15.75" customHeight="1" x14ac:dyDescent="0.2">
      <c r="F599" s="59"/>
      <c r="G599" s="59"/>
      <c r="J599" s="59"/>
      <c r="M599" s="84"/>
      <c r="N599" s="59"/>
      <c r="O599" s="59"/>
      <c r="P599" s="59"/>
      <c r="R599" s="59"/>
      <c r="T599" s="59"/>
      <c r="W599" s="59"/>
      <c r="X599" s="84"/>
    </row>
    <row r="600" spans="6:24" ht="15.75" customHeight="1" x14ac:dyDescent="0.2">
      <c r="F600" s="59"/>
      <c r="G600" s="59"/>
      <c r="J600" s="59"/>
      <c r="M600" s="84"/>
      <c r="N600" s="59"/>
      <c r="O600" s="59"/>
      <c r="P600" s="59"/>
      <c r="R600" s="59"/>
      <c r="T600" s="59"/>
      <c r="W600" s="59"/>
      <c r="X600" s="84"/>
    </row>
    <row r="601" spans="6:24" ht="15.75" customHeight="1" x14ac:dyDescent="0.2">
      <c r="F601" s="59"/>
      <c r="G601" s="59"/>
      <c r="J601" s="59"/>
      <c r="M601" s="84"/>
      <c r="N601" s="59"/>
      <c r="O601" s="59"/>
      <c r="P601" s="59"/>
      <c r="R601" s="59"/>
      <c r="T601" s="59"/>
      <c r="W601" s="59"/>
      <c r="X601" s="84"/>
    </row>
    <row r="602" spans="6:24" ht="15.75" customHeight="1" x14ac:dyDescent="0.2">
      <c r="F602" s="59"/>
      <c r="G602" s="59"/>
      <c r="J602" s="59"/>
      <c r="M602" s="84"/>
      <c r="N602" s="59"/>
      <c r="O602" s="59"/>
      <c r="P602" s="59"/>
      <c r="R602" s="59"/>
      <c r="T602" s="59"/>
      <c r="W602" s="59"/>
      <c r="X602" s="84"/>
    </row>
    <row r="603" spans="6:24" ht="15.75" customHeight="1" x14ac:dyDescent="0.2">
      <c r="F603" s="59"/>
      <c r="G603" s="59"/>
      <c r="J603" s="59"/>
      <c r="M603" s="84"/>
      <c r="N603" s="59"/>
      <c r="O603" s="59"/>
      <c r="P603" s="59"/>
      <c r="R603" s="59"/>
      <c r="T603" s="59"/>
      <c r="W603" s="59"/>
      <c r="X603" s="84"/>
    </row>
    <row r="604" spans="6:24" ht="15.75" customHeight="1" x14ac:dyDescent="0.2">
      <c r="F604" s="59"/>
      <c r="G604" s="59"/>
      <c r="J604" s="59"/>
      <c r="M604" s="84"/>
      <c r="N604" s="59"/>
      <c r="O604" s="59"/>
      <c r="P604" s="59"/>
      <c r="R604" s="59"/>
      <c r="T604" s="59"/>
      <c r="W604" s="59"/>
      <c r="X604" s="84"/>
    </row>
    <row r="605" spans="6:24" ht="15.75" customHeight="1" x14ac:dyDescent="0.2">
      <c r="F605" s="59"/>
      <c r="G605" s="59"/>
      <c r="J605" s="59"/>
      <c r="M605" s="84"/>
      <c r="N605" s="59"/>
      <c r="O605" s="59"/>
      <c r="P605" s="59"/>
      <c r="R605" s="59"/>
      <c r="T605" s="59"/>
      <c r="W605" s="59"/>
      <c r="X605" s="84"/>
    </row>
    <row r="606" spans="6:24" ht="15.75" customHeight="1" x14ac:dyDescent="0.2">
      <c r="F606" s="59"/>
      <c r="G606" s="59"/>
      <c r="J606" s="59"/>
      <c r="M606" s="84"/>
      <c r="N606" s="59"/>
      <c r="O606" s="59"/>
      <c r="P606" s="59"/>
      <c r="R606" s="59"/>
      <c r="T606" s="59"/>
      <c r="W606" s="59"/>
      <c r="X606" s="84"/>
    </row>
    <row r="607" spans="6:24" ht="15.75" customHeight="1" x14ac:dyDescent="0.2">
      <c r="F607" s="59"/>
      <c r="G607" s="59"/>
      <c r="J607" s="59"/>
      <c r="M607" s="84"/>
      <c r="N607" s="59"/>
      <c r="O607" s="59"/>
      <c r="P607" s="59"/>
      <c r="R607" s="59"/>
      <c r="T607" s="59"/>
      <c r="W607" s="59"/>
      <c r="X607" s="84"/>
    </row>
    <row r="608" spans="6:24" ht="15.75" customHeight="1" x14ac:dyDescent="0.2">
      <c r="F608" s="59"/>
      <c r="G608" s="59"/>
      <c r="J608" s="59"/>
      <c r="M608" s="84"/>
      <c r="N608" s="59"/>
      <c r="O608" s="59"/>
      <c r="P608" s="59"/>
      <c r="R608" s="59"/>
      <c r="T608" s="59"/>
      <c r="W608" s="59"/>
      <c r="X608" s="84"/>
    </row>
    <row r="609" spans="6:24" ht="15.75" customHeight="1" x14ac:dyDescent="0.2">
      <c r="F609" s="59"/>
      <c r="G609" s="59"/>
      <c r="J609" s="59"/>
      <c r="M609" s="84"/>
      <c r="N609" s="59"/>
      <c r="O609" s="59"/>
      <c r="P609" s="59"/>
      <c r="R609" s="59"/>
      <c r="T609" s="59"/>
      <c r="W609" s="59"/>
      <c r="X609" s="84"/>
    </row>
    <row r="610" spans="6:24" ht="15.75" customHeight="1" x14ac:dyDescent="0.2">
      <c r="F610" s="59"/>
      <c r="G610" s="59"/>
      <c r="J610" s="59"/>
      <c r="M610" s="84"/>
      <c r="N610" s="59"/>
      <c r="O610" s="59"/>
      <c r="P610" s="59"/>
      <c r="R610" s="59"/>
      <c r="T610" s="59"/>
      <c r="W610" s="59"/>
      <c r="X610" s="84"/>
    </row>
    <row r="611" spans="6:24" ht="15.75" customHeight="1" x14ac:dyDescent="0.2">
      <c r="F611" s="59"/>
      <c r="G611" s="59"/>
      <c r="J611" s="59"/>
      <c r="M611" s="84"/>
      <c r="N611" s="59"/>
      <c r="O611" s="59"/>
      <c r="P611" s="59"/>
      <c r="R611" s="59"/>
      <c r="T611" s="59"/>
      <c r="W611" s="59"/>
      <c r="X611" s="84"/>
    </row>
    <row r="612" spans="6:24" ht="15.75" customHeight="1" x14ac:dyDescent="0.2">
      <c r="F612" s="59"/>
      <c r="G612" s="59"/>
      <c r="J612" s="59"/>
      <c r="M612" s="84"/>
      <c r="N612" s="59"/>
      <c r="O612" s="59"/>
      <c r="P612" s="59"/>
      <c r="R612" s="59"/>
      <c r="T612" s="59"/>
      <c r="W612" s="59"/>
      <c r="X612" s="84"/>
    </row>
    <row r="613" spans="6:24" ht="15.75" customHeight="1" x14ac:dyDescent="0.2">
      <c r="F613" s="59"/>
      <c r="G613" s="59"/>
      <c r="J613" s="59"/>
      <c r="M613" s="84"/>
      <c r="N613" s="59"/>
      <c r="O613" s="59"/>
      <c r="P613" s="59"/>
      <c r="R613" s="59"/>
      <c r="T613" s="59"/>
      <c r="W613" s="59"/>
      <c r="X613" s="84"/>
    </row>
    <row r="614" spans="6:24" ht="15.75" customHeight="1" x14ac:dyDescent="0.2">
      <c r="F614" s="59"/>
      <c r="G614" s="59"/>
      <c r="J614" s="59"/>
      <c r="M614" s="84"/>
      <c r="N614" s="59"/>
      <c r="O614" s="59"/>
      <c r="P614" s="59"/>
      <c r="R614" s="59"/>
      <c r="T614" s="59"/>
      <c r="W614" s="59"/>
      <c r="X614" s="84"/>
    </row>
    <row r="615" spans="6:24" ht="15.75" customHeight="1" x14ac:dyDescent="0.2">
      <c r="F615" s="59"/>
      <c r="G615" s="59"/>
      <c r="J615" s="59"/>
      <c r="M615" s="84"/>
      <c r="N615" s="59"/>
      <c r="O615" s="59"/>
      <c r="P615" s="59"/>
      <c r="R615" s="59"/>
      <c r="T615" s="59"/>
      <c r="W615" s="59"/>
      <c r="X615" s="84"/>
    </row>
    <row r="616" spans="6:24" ht="15.75" customHeight="1" x14ac:dyDescent="0.2">
      <c r="F616" s="59"/>
      <c r="G616" s="59"/>
      <c r="J616" s="59"/>
      <c r="M616" s="84"/>
      <c r="N616" s="59"/>
      <c r="O616" s="59"/>
      <c r="P616" s="59"/>
      <c r="R616" s="59"/>
      <c r="T616" s="59"/>
      <c r="W616" s="59"/>
      <c r="X616" s="84"/>
    </row>
    <row r="617" spans="6:24" ht="15.75" customHeight="1" x14ac:dyDescent="0.2">
      <c r="F617" s="59"/>
      <c r="G617" s="59"/>
      <c r="J617" s="59"/>
      <c r="M617" s="84"/>
      <c r="N617" s="59"/>
      <c r="O617" s="59"/>
      <c r="P617" s="59"/>
      <c r="R617" s="59"/>
      <c r="T617" s="59"/>
      <c r="W617" s="59"/>
      <c r="X617" s="84"/>
    </row>
    <row r="618" spans="6:24" ht="15.75" customHeight="1" x14ac:dyDescent="0.2">
      <c r="F618" s="59"/>
      <c r="G618" s="59"/>
      <c r="J618" s="59"/>
      <c r="M618" s="84"/>
      <c r="N618" s="59"/>
      <c r="O618" s="59"/>
      <c r="P618" s="59"/>
      <c r="R618" s="59"/>
      <c r="T618" s="59"/>
      <c r="W618" s="59"/>
      <c r="X618" s="84"/>
    </row>
    <row r="619" spans="6:24" ht="15.75" customHeight="1" x14ac:dyDescent="0.2">
      <c r="F619" s="59"/>
      <c r="G619" s="59"/>
      <c r="J619" s="59"/>
      <c r="M619" s="84"/>
      <c r="N619" s="59"/>
      <c r="O619" s="59"/>
      <c r="P619" s="59"/>
      <c r="R619" s="59"/>
      <c r="T619" s="59"/>
      <c r="W619" s="59"/>
      <c r="X619" s="84"/>
    </row>
    <row r="620" spans="6:24" ht="15.75" customHeight="1" x14ac:dyDescent="0.2">
      <c r="F620" s="59"/>
      <c r="G620" s="59"/>
      <c r="J620" s="59"/>
      <c r="M620" s="84"/>
      <c r="N620" s="59"/>
      <c r="O620" s="59"/>
      <c r="P620" s="59"/>
      <c r="R620" s="59"/>
      <c r="T620" s="59"/>
      <c r="W620" s="59"/>
      <c r="X620" s="84"/>
    </row>
    <row r="621" spans="6:24" ht="15.75" customHeight="1" x14ac:dyDescent="0.2">
      <c r="F621" s="59"/>
      <c r="G621" s="59"/>
      <c r="J621" s="59"/>
      <c r="M621" s="84"/>
      <c r="N621" s="59"/>
      <c r="O621" s="59"/>
      <c r="P621" s="59"/>
      <c r="R621" s="59"/>
      <c r="T621" s="59"/>
      <c r="W621" s="59"/>
      <c r="X621" s="84"/>
    </row>
    <row r="622" spans="6:24" ht="15.75" customHeight="1" x14ac:dyDescent="0.2">
      <c r="F622" s="59"/>
      <c r="G622" s="59"/>
      <c r="J622" s="59"/>
      <c r="M622" s="84"/>
      <c r="N622" s="59"/>
      <c r="O622" s="59"/>
      <c r="P622" s="59"/>
      <c r="R622" s="59"/>
      <c r="T622" s="59"/>
      <c r="W622" s="59"/>
      <c r="X622" s="84"/>
    </row>
    <row r="623" spans="6:24" ht="15.75" customHeight="1" x14ac:dyDescent="0.2">
      <c r="F623" s="59"/>
      <c r="G623" s="59"/>
      <c r="J623" s="59"/>
      <c r="M623" s="84"/>
      <c r="N623" s="59"/>
      <c r="O623" s="59"/>
      <c r="P623" s="59"/>
      <c r="R623" s="59"/>
      <c r="T623" s="59"/>
      <c r="W623" s="59"/>
      <c r="X623" s="84"/>
    </row>
    <row r="624" spans="6:24" ht="15.75" customHeight="1" x14ac:dyDescent="0.2">
      <c r="F624" s="59"/>
      <c r="G624" s="59"/>
      <c r="J624" s="59"/>
      <c r="M624" s="84"/>
      <c r="N624" s="59"/>
      <c r="O624" s="59"/>
      <c r="P624" s="59"/>
      <c r="R624" s="59"/>
      <c r="T624" s="59"/>
      <c r="W624" s="59"/>
      <c r="X624" s="84"/>
    </row>
    <row r="625" spans="6:24" ht="15.75" customHeight="1" x14ac:dyDescent="0.2">
      <c r="F625" s="59"/>
      <c r="G625" s="59"/>
      <c r="J625" s="59"/>
      <c r="M625" s="84"/>
      <c r="N625" s="59"/>
      <c r="O625" s="59"/>
      <c r="P625" s="59"/>
      <c r="R625" s="59"/>
      <c r="T625" s="59"/>
      <c r="W625" s="59"/>
      <c r="X625" s="84"/>
    </row>
    <row r="626" spans="6:24" ht="15.75" customHeight="1" x14ac:dyDescent="0.2">
      <c r="F626" s="59"/>
      <c r="G626" s="59"/>
      <c r="J626" s="59"/>
      <c r="M626" s="84"/>
      <c r="N626" s="59"/>
      <c r="O626" s="59"/>
      <c r="P626" s="59"/>
      <c r="R626" s="59"/>
      <c r="T626" s="59"/>
      <c r="W626" s="59"/>
      <c r="X626" s="84"/>
    </row>
    <row r="627" spans="6:24" ht="15.75" customHeight="1" x14ac:dyDescent="0.2">
      <c r="F627" s="59"/>
      <c r="G627" s="59"/>
      <c r="J627" s="59"/>
      <c r="M627" s="84"/>
      <c r="N627" s="59"/>
      <c r="O627" s="59"/>
      <c r="P627" s="59"/>
      <c r="R627" s="59"/>
      <c r="T627" s="59"/>
      <c r="W627" s="59"/>
      <c r="X627" s="84"/>
    </row>
    <row r="628" spans="6:24" ht="15.75" customHeight="1" x14ac:dyDescent="0.2">
      <c r="F628" s="59"/>
      <c r="G628" s="59"/>
      <c r="J628" s="59"/>
      <c r="M628" s="84"/>
      <c r="N628" s="59"/>
      <c r="O628" s="59"/>
      <c r="P628" s="59"/>
      <c r="R628" s="59"/>
      <c r="T628" s="59"/>
      <c r="W628" s="59"/>
      <c r="X628" s="84"/>
    </row>
    <row r="629" spans="6:24" ht="15.75" customHeight="1" x14ac:dyDescent="0.2">
      <c r="F629" s="59"/>
      <c r="G629" s="59"/>
      <c r="J629" s="59"/>
      <c r="M629" s="84"/>
      <c r="N629" s="59"/>
      <c r="O629" s="59"/>
      <c r="P629" s="59"/>
      <c r="R629" s="59"/>
      <c r="T629" s="59"/>
      <c r="W629" s="59"/>
      <c r="X629" s="84"/>
    </row>
    <row r="630" spans="6:24" ht="15.75" customHeight="1" x14ac:dyDescent="0.2">
      <c r="F630" s="59"/>
      <c r="G630" s="59"/>
      <c r="J630" s="59"/>
      <c r="M630" s="84"/>
      <c r="N630" s="59"/>
      <c r="O630" s="59"/>
      <c r="P630" s="59"/>
      <c r="R630" s="59"/>
      <c r="T630" s="59"/>
      <c r="W630" s="59"/>
      <c r="X630" s="84"/>
    </row>
    <row r="631" spans="6:24" ht="15.75" customHeight="1" x14ac:dyDescent="0.2">
      <c r="F631" s="59"/>
      <c r="G631" s="59"/>
      <c r="J631" s="59"/>
      <c r="M631" s="84"/>
      <c r="N631" s="59"/>
      <c r="O631" s="59"/>
      <c r="P631" s="59"/>
      <c r="R631" s="59"/>
      <c r="T631" s="59"/>
      <c r="W631" s="59"/>
      <c r="X631" s="84"/>
    </row>
    <row r="632" spans="6:24" ht="15.75" customHeight="1" x14ac:dyDescent="0.2">
      <c r="F632" s="59"/>
      <c r="G632" s="59"/>
      <c r="J632" s="59"/>
      <c r="M632" s="84"/>
      <c r="N632" s="59"/>
      <c r="O632" s="59"/>
      <c r="P632" s="59"/>
      <c r="R632" s="59"/>
      <c r="T632" s="59"/>
      <c r="W632" s="59"/>
      <c r="X632" s="84"/>
    </row>
    <row r="633" spans="6:24" ht="15.75" customHeight="1" x14ac:dyDescent="0.2">
      <c r="F633" s="59"/>
      <c r="G633" s="59"/>
      <c r="J633" s="59"/>
      <c r="M633" s="84"/>
      <c r="N633" s="59"/>
      <c r="O633" s="59"/>
      <c r="P633" s="59"/>
      <c r="R633" s="59"/>
      <c r="T633" s="59"/>
      <c r="W633" s="59"/>
      <c r="X633" s="84"/>
    </row>
    <row r="634" spans="6:24" ht="15.75" customHeight="1" x14ac:dyDescent="0.2">
      <c r="F634" s="59"/>
      <c r="G634" s="59"/>
      <c r="J634" s="59"/>
      <c r="M634" s="84"/>
      <c r="N634" s="59"/>
      <c r="O634" s="59"/>
      <c r="P634" s="59"/>
      <c r="R634" s="59"/>
      <c r="T634" s="59"/>
      <c r="W634" s="59"/>
      <c r="X634" s="84"/>
    </row>
    <row r="635" spans="6:24" ht="15.75" customHeight="1" x14ac:dyDescent="0.2">
      <c r="F635" s="59"/>
      <c r="G635" s="59"/>
      <c r="J635" s="59"/>
      <c r="M635" s="84"/>
      <c r="N635" s="59"/>
      <c r="O635" s="59"/>
      <c r="P635" s="59"/>
      <c r="R635" s="59"/>
      <c r="T635" s="59"/>
      <c r="W635" s="59"/>
      <c r="X635" s="84"/>
    </row>
    <row r="636" spans="6:24" ht="15.75" customHeight="1" x14ac:dyDescent="0.2">
      <c r="F636" s="59"/>
      <c r="G636" s="59"/>
      <c r="J636" s="59"/>
      <c r="M636" s="84"/>
      <c r="N636" s="59"/>
      <c r="O636" s="59"/>
      <c r="P636" s="59"/>
      <c r="R636" s="59"/>
      <c r="T636" s="59"/>
      <c r="W636" s="59"/>
      <c r="X636" s="84"/>
    </row>
    <row r="637" spans="6:24" ht="15.75" customHeight="1" x14ac:dyDescent="0.2">
      <c r="F637" s="59"/>
      <c r="G637" s="59"/>
      <c r="J637" s="59"/>
      <c r="M637" s="84"/>
      <c r="N637" s="59"/>
      <c r="O637" s="59"/>
      <c r="P637" s="59"/>
      <c r="R637" s="59"/>
      <c r="T637" s="59"/>
      <c r="W637" s="59"/>
      <c r="X637" s="84"/>
    </row>
    <row r="638" spans="6:24" ht="15.75" customHeight="1" x14ac:dyDescent="0.2">
      <c r="F638" s="59"/>
      <c r="G638" s="59"/>
      <c r="J638" s="59"/>
      <c r="M638" s="84"/>
      <c r="N638" s="59"/>
      <c r="O638" s="59"/>
      <c r="P638" s="59"/>
      <c r="R638" s="59"/>
      <c r="T638" s="59"/>
      <c r="W638" s="59"/>
      <c r="X638" s="84"/>
    </row>
    <row r="639" spans="6:24" ht="15.75" customHeight="1" x14ac:dyDescent="0.2">
      <c r="F639" s="59"/>
      <c r="G639" s="59"/>
      <c r="J639" s="59"/>
      <c r="M639" s="84"/>
      <c r="N639" s="59"/>
      <c r="O639" s="59"/>
      <c r="P639" s="59"/>
      <c r="R639" s="59"/>
      <c r="T639" s="59"/>
      <c r="W639" s="59"/>
      <c r="X639" s="84"/>
    </row>
    <row r="640" spans="6:24" ht="15.75" customHeight="1" x14ac:dyDescent="0.2">
      <c r="F640" s="59"/>
      <c r="G640" s="59"/>
      <c r="J640" s="59"/>
      <c r="M640" s="84"/>
      <c r="N640" s="59"/>
      <c r="O640" s="59"/>
      <c r="P640" s="59"/>
      <c r="R640" s="59"/>
      <c r="T640" s="59"/>
      <c r="W640" s="59"/>
      <c r="X640" s="84"/>
    </row>
    <row r="641" spans="6:24" ht="15.75" customHeight="1" x14ac:dyDescent="0.2">
      <c r="F641" s="59"/>
      <c r="G641" s="59"/>
      <c r="J641" s="59"/>
      <c r="M641" s="84"/>
      <c r="N641" s="59"/>
      <c r="O641" s="59"/>
      <c r="P641" s="59"/>
      <c r="R641" s="59"/>
      <c r="T641" s="59"/>
      <c r="W641" s="59"/>
      <c r="X641" s="84"/>
    </row>
    <row r="642" spans="6:24" ht="15.75" customHeight="1" x14ac:dyDescent="0.2">
      <c r="F642" s="59"/>
      <c r="G642" s="59"/>
      <c r="J642" s="59"/>
      <c r="M642" s="84"/>
      <c r="N642" s="59"/>
      <c r="O642" s="59"/>
      <c r="P642" s="59"/>
      <c r="R642" s="59"/>
      <c r="T642" s="59"/>
      <c r="W642" s="59"/>
      <c r="X642" s="84"/>
    </row>
    <row r="643" spans="6:24" ht="15.75" customHeight="1" x14ac:dyDescent="0.2">
      <c r="F643" s="59"/>
      <c r="G643" s="59"/>
      <c r="J643" s="59"/>
      <c r="M643" s="84"/>
      <c r="N643" s="59"/>
      <c r="O643" s="59"/>
      <c r="P643" s="59"/>
      <c r="R643" s="59"/>
      <c r="T643" s="59"/>
      <c r="W643" s="59"/>
      <c r="X643" s="84"/>
    </row>
    <row r="644" spans="6:24" ht="15.75" customHeight="1" x14ac:dyDescent="0.2">
      <c r="F644" s="59"/>
      <c r="G644" s="59"/>
      <c r="J644" s="59"/>
      <c r="M644" s="84"/>
      <c r="N644" s="59"/>
      <c r="O644" s="59"/>
      <c r="P644" s="59"/>
      <c r="R644" s="59"/>
      <c r="T644" s="59"/>
      <c r="W644" s="59"/>
      <c r="X644" s="84"/>
    </row>
    <row r="645" spans="6:24" ht="15.75" customHeight="1" x14ac:dyDescent="0.2">
      <c r="F645" s="59"/>
      <c r="G645" s="59"/>
      <c r="J645" s="59"/>
      <c r="M645" s="84"/>
      <c r="N645" s="59"/>
      <c r="O645" s="59"/>
      <c r="P645" s="59"/>
      <c r="R645" s="59"/>
      <c r="T645" s="59"/>
      <c r="W645" s="59"/>
      <c r="X645" s="84"/>
    </row>
    <row r="646" spans="6:24" ht="15.75" customHeight="1" x14ac:dyDescent="0.2">
      <c r="F646" s="59"/>
      <c r="G646" s="59"/>
      <c r="J646" s="59"/>
      <c r="M646" s="84"/>
      <c r="N646" s="59"/>
      <c r="O646" s="59"/>
      <c r="P646" s="59"/>
      <c r="R646" s="59"/>
      <c r="T646" s="59"/>
      <c r="W646" s="59"/>
      <c r="X646" s="84"/>
    </row>
    <row r="647" spans="6:24" ht="15.75" customHeight="1" x14ac:dyDescent="0.2">
      <c r="F647" s="59"/>
      <c r="G647" s="59"/>
      <c r="J647" s="59"/>
      <c r="M647" s="84"/>
      <c r="N647" s="59"/>
      <c r="O647" s="59"/>
      <c r="P647" s="59"/>
      <c r="R647" s="59"/>
      <c r="T647" s="59"/>
      <c r="W647" s="59"/>
      <c r="X647" s="84"/>
    </row>
    <row r="648" spans="6:24" ht="15.75" customHeight="1" x14ac:dyDescent="0.2">
      <c r="F648" s="59"/>
      <c r="G648" s="59"/>
      <c r="J648" s="59"/>
      <c r="M648" s="84"/>
      <c r="N648" s="59"/>
      <c r="O648" s="59"/>
      <c r="P648" s="59"/>
      <c r="R648" s="59"/>
      <c r="T648" s="59"/>
      <c r="W648" s="59"/>
      <c r="X648" s="84"/>
    </row>
    <row r="649" spans="6:24" ht="15.75" customHeight="1" x14ac:dyDescent="0.2">
      <c r="F649" s="59"/>
      <c r="G649" s="59"/>
      <c r="J649" s="59"/>
      <c r="M649" s="84"/>
      <c r="N649" s="59"/>
      <c r="O649" s="59"/>
      <c r="P649" s="59"/>
      <c r="R649" s="59"/>
      <c r="T649" s="59"/>
      <c r="W649" s="59"/>
      <c r="X649" s="84"/>
    </row>
    <row r="650" spans="6:24" ht="15.75" customHeight="1" x14ac:dyDescent="0.2">
      <c r="F650" s="59"/>
      <c r="G650" s="59"/>
      <c r="J650" s="59"/>
      <c r="M650" s="84"/>
      <c r="N650" s="59"/>
      <c r="O650" s="59"/>
      <c r="P650" s="59"/>
      <c r="R650" s="59"/>
      <c r="T650" s="59"/>
      <c r="W650" s="59"/>
      <c r="X650" s="84"/>
    </row>
    <row r="651" spans="6:24" ht="15.75" customHeight="1" x14ac:dyDescent="0.2">
      <c r="F651" s="59"/>
      <c r="G651" s="59"/>
      <c r="J651" s="59"/>
      <c r="M651" s="84"/>
      <c r="N651" s="59"/>
      <c r="O651" s="59"/>
      <c r="P651" s="59"/>
      <c r="R651" s="59"/>
      <c r="T651" s="59"/>
      <c r="W651" s="59"/>
      <c r="X651" s="84"/>
    </row>
    <row r="652" spans="6:24" ht="15.75" customHeight="1" x14ac:dyDescent="0.2">
      <c r="F652" s="59"/>
      <c r="G652" s="59"/>
      <c r="J652" s="59"/>
      <c r="M652" s="84"/>
      <c r="N652" s="59"/>
      <c r="O652" s="59"/>
      <c r="P652" s="59"/>
      <c r="R652" s="59"/>
      <c r="T652" s="59"/>
      <c r="W652" s="59"/>
      <c r="X652" s="84"/>
    </row>
    <row r="653" spans="6:24" ht="15.75" customHeight="1" x14ac:dyDescent="0.2">
      <c r="F653" s="59"/>
      <c r="G653" s="59"/>
      <c r="J653" s="59"/>
      <c r="M653" s="84"/>
      <c r="N653" s="59"/>
      <c r="O653" s="59"/>
      <c r="P653" s="59"/>
      <c r="R653" s="59"/>
      <c r="T653" s="59"/>
      <c r="W653" s="59"/>
      <c r="X653" s="84"/>
    </row>
    <row r="654" spans="6:24" ht="15.75" customHeight="1" x14ac:dyDescent="0.2">
      <c r="F654" s="59"/>
      <c r="G654" s="59"/>
      <c r="J654" s="59"/>
      <c r="M654" s="84"/>
      <c r="N654" s="59"/>
      <c r="O654" s="59"/>
      <c r="P654" s="59"/>
      <c r="R654" s="59"/>
      <c r="T654" s="59"/>
      <c r="W654" s="59"/>
      <c r="X654" s="84"/>
    </row>
    <row r="655" spans="6:24" ht="15.75" customHeight="1" x14ac:dyDescent="0.2">
      <c r="F655" s="59"/>
      <c r="G655" s="59"/>
      <c r="J655" s="59"/>
      <c r="M655" s="84"/>
      <c r="N655" s="59"/>
      <c r="O655" s="59"/>
      <c r="P655" s="59"/>
      <c r="R655" s="59"/>
      <c r="T655" s="59"/>
      <c r="W655" s="59"/>
      <c r="X655" s="84"/>
    </row>
    <row r="656" spans="6:24" ht="15.75" customHeight="1" x14ac:dyDescent="0.2">
      <c r="F656" s="59"/>
      <c r="G656" s="59"/>
      <c r="J656" s="59"/>
      <c r="M656" s="84"/>
      <c r="N656" s="59"/>
      <c r="O656" s="59"/>
      <c r="P656" s="59"/>
      <c r="R656" s="59"/>
      <c r="T656" s="59"/>
      <c r="W656" s="59"/>
      <c r="X656" s="84"/>
    </row>
    <row r="657" spans="6:24" ht="15.75" customHeight="1" x14ac:dyDescent="0.2">
      <c r="F657" s="59"/>
      <c r="G657" s="59"/>
      <c r="J657" s="59"/>
      <c r="M657" s="84"/>
      <c r="N657" s="59"/>
      <c r="O657" s="59"/>
      <c r="P657" s="59"/>
      <c r="R657" s="59"/>
      <c r="T657" s="59"/>
      <c r="W657" s="59"/>
      <c r="X657" s="84"/>
    </row>
    <row r="658" spans="6:24" ht="15.75" customHeight="1" x14ac:dyDescent="0.2">
      <c r="F658" s="59"/>
      <c r="G658" s="59"/>
      <c r="J658" s="59"/>
      <c r="M658" s="84"/>
      <c r="N658" s="59"/>
      <c r="O658" s="59"/>
      <c r="P658" s="59"/>
      <c r="R658" s="59"/>
      <c r="T658" s="59"/>
      <c r="W658" s="59"/>
      <c r="X658" s="84"/>
    </row>
    <row r="659" spans="6:24" ht="15.75" customHeight="1" x14ac:dyDescent="0.2">
      <c r="F659" s="59"/>
      <c r="G659" s="59"/>
      <c r="J659" s="59"/>
      <c r="M659" s="84"/>
      <c r="N659" s="59"/>
      <c r="O659" s="59"/>
      <c r="P659" s="59"/>
      <c r="R659" s="59"/>
      <c r="T659" s="59"/>
      <c r="W659" s="59"/>
      <c r="X659" s="84"/>
    </row>
    <row r="660" spans="6:24" ht="15.75" customHeight="1" x14ac:dyDescent="0.2">
      <c r="F660" s="59"/>
      <c r="G660" s="59"/>
      <c r="J660" s="59"/>
      <c r="M660" s="84"/>
      <c r="N660" s="59"/>
      <c r="O660" s="59"/>
      <c r="P660" s="59"/>
      <c r="R660" s="59"/>
      <c r="T660" s="59"/>
      <c r="W660" s="59"/>
      <c r="X660" s="84"/>
    </row>
    <row r="661" spans="6:24" ht="15.75" customHeight="1" x14ac:dyDescent="0.2">
      <c r="F661" s="59"/>
      <c r="G661" s="59"/>
      <c r="J661" s="59"/>
      <c r="M661" s="84"/>
      <c r="N661" s="59"/>
      <c r="O661" s="59"/>
      <c r="P661" s="59"/>
      <c r="R661" s="59"/>
      <c r="T661" s="59"/>
      <c r="W661" s="59"/>
      <c r="X661" s="84"/>
    </row>
    <row r="662" spans="6:24" ht="15.75" customHeight="1" x14ac:dyDescent="0.2">
      <c r="F662" s="59"/>
      <c r="G662" s="59"/>
      <c r="J662" s="59"/>
      <c r="M662" s="84"/>
      <c r="N662" s="59"/>
      <c r="O662" s="59"/>
      <c r="P662" s="59"/>
      <c r="R662" s="59"/>
      <c r="T662" s="59"/>
      <c r="W662" s="59"/>
      <c r="X662" s="84"/>
    </row>
    <row r="663" spans="6:24" ht="15.75" customHeight="1" x14ac:dyDescent="0.2">
      <c r="F663" s="59"/>
      <c r="G663" s="59"/>
      <c r="J663" s="59"/>
      <c r="M663" s="84"/>
      <c r="N663" s="59"/>
      <c r="O663" s="59"/>
      <c r="P663" s="59"/>
      <c r="R663" s="59"/>
      <c r="T663" s="59"/>
      <c r="W663" s="59"/>
      <c r="X663" s="84"/>
    </row>
    <row r="664" spans="6:24" ht="15.75" customHeight="1" x14ac:dyDescent="0.2">
      <c r="F664" s="59"/>
      <c r="G664" s="59"/>
      <c r="J664" s="59"/>
      <c r="M664" s="84"/>
      <c r="N664" s="59"/>
      <c r="O664" s="59"/>
      <c r="P664" s="59"/>
      <c r="R664" s="59"/>
      <c r="T664" s="59"/>
      <c r="W664" s="59"/>
      <c r="X664" s="84"/>
    </row>
    <row r="665" spans="6:24" ht="15.75" customHeight="1" x14ac:dyDescent="0.2">
      <c r="F665" s="59"/>
      <c r="G665" s="59"/>
      <c r="J665" s="59"/>
      <c r="M665" s="84"/>
      <c r="N665" s="59"/>
      <c r="O665" s="59"/>
      <c r="P665" s="59"/>
      <c r="R665" s="59"/>
      <c r="T665" s="59"/>
      <c r="W665" s="59"/>
      <c r="X665" s="84"/>
    </row>
    <row r="666" spans="6:24" ht="15.75" customHeight="1" x14ac:dyDescent="0.2">
      <c r="F666" s="59"/>
      <c r="G666" s="59"/>
      <c r="J666" s="59"/>
      <c r="M666" s="84"/>
      <c r="N666" s="59"/>
      <c r="O666" s="59"/>
      <c r="P666" s="59"/>
      <c r="R666" s="59"/>
      <c r="T666" s="59"/>
      <c r="W666" s="59"/>
      <c r="X666" s="84"/>
    </row>
    <row r="667" spans="6:24" ht="15.75" customHeight="1" x14ac:dyDescent="0.2">
      <c r="F667" s="59"/>
      <c r="G667" s="59"/>
      <c r="J667" s="59"/>
      <c r="M667" s="84"/>
      <c r="N667" s="59"/>
      <c r="O667" s="59"/>
      <c r="P667" s="59"/>
      <c r="R667" s="59"/>
      <c r="T667" s="59"/>
      <c r="W667" s="59"/>
      <c r="X667" s="84"/>
    </row>
    <row r="668" spans="6:24" ht="15.75" customHeight="1" x14ac:dyDescent="0.2">
      <c r="F668" s="59"/>
      <c r="G668" s="59"/>
      <c r="J668" s="59"/>
      <c r="M668" s="84"/>
      <c r="N668" s="59"/>
      <c r="O668" s="59"/>
      <c r="P668" s="59"/>
      <c r="R668" s="59"/>
      <c r="T668" s="59"/>
      <c r="W668" s="59"/>
      <c r="X668" s="84"/>
    </row>
    <row r="669" spans="6:24" ht="15.75" customHeight="1" x14ac:dyDescent="0.2">
      <c r="F669" s="59"/>
      <c r="G669" s="59"/>
      <c r="J669" s="59"/>
      <c r="M669" s="84"/>
      <c r="N669" s="59"/>
      <c r="O669" s="59"/>
      <c r="P669" s="59"/>
      <c r="R669" s="59"/>
      <c r="T669" s="59"/>
      <c r="W669" s="59"/>
      <c r="X669" s="84"/>
    </row>
    <row r="670" spans="6:24" ht="15.75" customHeight="1" x14ac:dyDescent="0.2">
      <c r="F670" s="59"/>
      <c r="G670" s="59"/>
      <c r="J670" s="59"/>
      <c r="M670" s="84"/>
      <c r="N670" s="59"/>
      <c r="O670" s="59"/>
      <c r="P670" s="59"/>
      <c r="R670" s="59"/>
      <c r="T670" s="59"/>
      <c r="W670" s="59"/>
      <c r="X670" s="84"/>
    </row>
    <row r="671" spans="6:24" ht="15.75" customHeight="1" x14ac:dyDescent="0.2">
      <c r="F671" s="59"/>
      <c r="G671" s="59"/>
      <c r="J671" s="59"/>
      <c r="M671" s="84"/>
      <c r="N671" s="59"/>
      <c r="O671" s="59"/>
      <c r="P671" s="59"/>
      <c r="R671" s="59"/>
      <c r="T671" s="59"/>
      <c r="W671" s="59"/>
      <c r="X671" s="84"/>
    </row>
    <row r="672" spans="6:24" ht="15.75" customHeight="1" x14ac:dyDescent="0.2">
      <c r="F672" s="59"/>
      <c r="G672" s="59"/>
      <c r="J672" s="59"/>
      <c r="M672" s="84"/>
      <c r="N672" s="59"/>
      <c r="O672" s="59"/>
      <c r="P672" s="59"/>
      <c r="R672" s="59"/>
      <c r="T672" s="59"/>
      <c r="W672" s="59"/>
      <c r="X672" s="84"/>
    </row>
    <row r="673" spans="6:24" ht="15.75" customHeight="1" x14ac:dyDescent="0.2">
      <c r="F673" s="59"/>
      <c r="G673" s="59"/>
      <c r="J673" s="59"/>
      <c r="M673" s="84"/>
      <c r="N673" s="59"/>
      <c r="O673" s="59"/>
      <c r="P673" s="59"/>
      <c r="R673" s="59"/>
      <c r="T673" s="59"/>
      <c r="W673" s="59"/>
      <c r="X673" s="84"/>
    </row>
    <row r="674" spans="6:24" ht="15.75" customHeight="1" x14ac:dyDescent="0.2">
      <c r="F674" s="59"/>
      <c r="G674" s="59"/>
      <c r="J674" s="59"/>
      <c r="M674" s="84"/>
      <c r="N674" s="59"/>
      <c r="O674" s="59"/>
      <c r="P674" s="59"/>
      <c r="R674" s="59"/>
      <c r="T674" s="59"/>
      <c r="W674" s="59"/>
      <c r="X674" s="84"/>
    </row>
    <row r="675" spans="6:24" ht="15.75" customHeight="1" x14ac:dyDescent="0.2">
      <c r="F675" s="59"/>
      <c r="G675" s="59"/>
      <c r="J675" s="59"/>
      <c r="M675" s="84"/>
      <c r="N675" s="59"/>
      <c r="O675" s="59"/>
      <c r="P675" s="59"/>
      <c r="R675" s="59"/>
      <c r="T675" s="59"/>
      <c r="W675" s="59"/>
      <c r="X675" s="84"/>
    </row>
    <row r="676" spans="6:24" ht="15.75" customHeight="1" x14ac:dyDescent="0.2">
      <c r="F676" s="59"/>
      <c r="G676" s="59"/>
      <c r="J676" s="59"/>
      <c r="M676" s="84"/>
      <c r="N676" s="59"/>
      <c r="O676" s="59"/>
      <c r="P676" s="59"/>
      <c r="R676" s="59"/>
      <c r="T676" s="59"/>
      <c r="W676" s="59"/>
      <c r="X676" s="84"/>
    </row>
    <row r="677" spans="6:24" ht="15.75" customHeight="1" x14ac:dyDescent="0.2">
      <c r="F677" s="59"/>
      <c r="G677" s="59"/>
      <c r="J677" s="59"/>
      <c r="M677" s="84"/>
      <c r="N677" s="59"/>
      <c r="O677" s="59"/>
      <c r="P677" s="59"/>
      <c r="R677" s="59"/>
      <c r="T677" s="59"/>
      <c r="W677" s="59"/>
      <c r="X677" s="84"/>
    </row>
    <row r="678" spans="6:24" ht="15.75" customHeight="1" x14ac:dyDescent="0.2">
      <c r="F678" s="59"/>
      <c r="G678" s="59"/>
      <c r="J678" s="59"/>
      <c r="M678" s="84"/>
      <c r="N678" s="59"/>
      <c r="O678" s="59"/>
      <c r="P678" s="59"/>
      <c r="R678" s="59"/>
      <c r="T678" s="59"/>
      <c r="W678" s="59"/>
      <c r="X678" s="84"/>
    </row>
    <row r="679" spans="6:24" ht="15.75" customHeight="1" x14ac:dyDescent="0.2">
      <c r="F679" s="59"/>
      <c r="G679" s="59"/>
      <c r="J679" s="59"/>
      <c r="M679" s="84"/>
      <c r="N679" s="59"/>
      <c r="O679" s="59"/>
      <c r="P679" s="59"/>
      <c r="R679" s="59"/>
      <c r="T679" s="59"/>
      <c r="W679" s="59"/>
      <c r="X679" s="84"/>
    </row>
    <row r="680" spans="6:24" ht="15.75" customHeight="1" x14ac:dyDescent="0.2">
      <c r="F680" s="59"/>
      <c r="G680" s="59"/>
      <c r="J680" s="59"/>
      <c r="M680" s="84"/>
      <c r="N680" s="59"/>
      <c r="O680" s="59"/>
      <c r="P680" s="59"/>
      <c r="R680" s="59"/>
      <c r="T680" s="59"/>
      <c r="W680" s="59"/>
      <c r="X680" s="84"/>
    </row>
    <row r="681" spans="6:24" ht="15.75" customHeight="1" x14ac:dyDescent="0.2">
      <c r="F681" s="59"/>
      <c r="G681" s="59"/>
      <c r="J681" s="59"/>
      <c r="M681" s="84"/>
      <c r="N681" s="59"/>
      <c r="O681" s="59"/>
      <c r="P681" s="59"/>
      <c r="R681" s="59"/>
      <c r="T681" s="59"/>
      <c r="W681" s="59"/>
      <c r="X681" s="84"/>
    </row>
    <row r="682" spans="6:24" ht="15.75" customHeight="1" x14ac:dyDescent="0.2">
      <c r="F682" s="59"/>
      <c r="G682" s="59"/>
      <c r="J682" s="59"/>
      <c r="M682" s="84"/>
      <c r="N682" s="59"/>
      <c r="O682" s="59"/>
      <c r="P682" s="59"/>
      <c r="R682" s="59"/>
      <c r="T682" s="59"/>
      <c r="W682" s="59"/>
      <c r="X682" s="84"/>
    </row>
    <row r="683" spans="6:24" ht="15.75" customHeight="1" x14ac:dyDescent="0.2">
      <c r="F683" s="59"/>
      <c r="G683" s="59"/>
      <c r="J683" s="59"/>
      <c r="M683" s="84"/>
      <c r="N683" s="59"/>
      <c r="O683" s="59"/>
      <c r="P683" s="59"/>
      <c r="R683" s="59"/>
      <c r="T683" s="59"/>
      <c r="W683" s="59"/>
      <c r="X683" s="84"/>
    </row>
    <row r="684" spans="6:24" ht="15.75" customHeight="1" x14ac:dyDescent="0.2">
      <c r="F684" s="59"/>
      <c r="G684" s="59"/>
      <c r="J684" s="59"/>
      <c r="M684" s="84"/>
      <c r="N684" s="59"/>
      <c r="O684" s="59"/>
      <c r="P684" s="59"/>
      <c r="R684" s="59"/>
      <c r="T684" s="59"/>
      <c r="W684" s="59"/>
      <c r="X684" s="84"/>
    </row>
    <row r="685" spans="6:24" ht="15.75" customHeight="1" x14ac:dyDescent="0.2">
      <c r="F685" s="59"/>
      <c r="G685" s="59"/>
      <c r="J685" s="59"/>
      <c r="M685" s="84"/>
      <c r="N685" s="59"/>
      <c r="O685" s="59"/>
      <c r="P685" s="59"/>
      <c r="R685" s="59"/>
      <c r="T685" s="59"/>
      <c r="W685" s="59"/>
      <c r="X685" s="84"/>
    </row>
    <row r="686" spans="6:24" ht="15.75" customHeight="1" x14ac:dyDescent="0.2">
      <c r="F686" s="59"/>
      <c r="G686" s="59"/>
      <c r="J686" s="59"/>
      <c r="M686" s="84"/>
      <c r="N686" s="59"/>
      <c r="O686" s="59"/>
      <c r="P686" s="59"/>
      <c r="R686" s="59"/>
      <c r="T686" s="59"/>
      <c r="W686" s="59"/>
      <c r="X686" s="84"/>
    </row>
    <row r="687" spans="6:24" ht="15.75" customHeight="1" x14ac:dyDescent="0.2">
      <c r="F687" s="59"/>
      <c r="G687" s="59"/>
      <c r="J687" s="59"/>
      <c r="M687" s="84"/>
      <c r="N687" s="59"/>
      <c r="O687" s="59"/>
      <c r="P687" s="59"/>
      <c r="R687" s="59"/>
      <c r="T687" s="59"/>
      <c r="W687" s="59"/>
      <c r="X687" s="84"/>
    </row>
    <row r="688" spans="6:24" ht="15.75" customHeight="1" x14ac:dyDescent="0.2">
      <c r="F688" s="59"/>
      <c r="G688" s="59"/>
      <c r="J688" s="59"/>
      <c r="M688" s="84"/>
      <c r="N688" s="59"/>
      <c r="O688" s="59"/>
      <c r="P688" s="59"/>
      <c r="R688" s="59"/>
      <c r="T688" s="59"/>
      <c r="W688" s="59"/>
      <c r="X688" s="84"/>
    </row>
    <row r="689" spans="6:24" ht="15.75" customHeight="1" x14ac:dyDescent="0.2">
      <c r="F689" s="59"/>
      <c r="G689" s="59"/>
      <c r="J689" s="59"/>
      <c r="M689" s="84"/>
      <c r="N689" s="59"/>
      <c r="O689" s="59"/>
      <c r="P689" s="59"/>
      <c r="R689" s="59"/>
      <c r="T689" s="59"/>
      <c r="W689" s="59"/>
      <c r="X689" s="84"/>
    </row>
    <row r="690" spans="6:24" ht="15.75" customHeight="1" x14ac:dyDescent="0.2">
      <c r="F690" s="59"/>
      <c r="G690" s="59"/>
      <c r="J690" s="59"/>
      <c r="M690" s="84"/>
      <c r="N690" s="59"/>
      <c r="O690" s="59"/>
      <c r="P690" s="59"/>
      <c r="R690" s="59"/>
      <c r="T690" s="59"/>
      <c r="W690" s="59"/>
      <c r="X690" s="84"/>
    </row>
    <row r="691" spans="6:24" ht="15.75" customHeight="1" x14ac:dyDescent="0.2">
      <c r="F691" s="59"/>
      <c r="G691" s="59"/>
      <c r="J691" s="59"/>
      <c r="M691" s="84"/>
      <c r="N691" s="59"/>
      <c r="O691" s="59"/>
      <c r="P691" s="59"/>
      <c r="R691" s="59"/>
      <c r="T691" s="59"/>
      <c r="W691" s="59"/>
      <c r="X691" s="84"/>
    </row>
    <row r="692" spans="6:24" ht="15.75" customHeight="1" x14ac:dyDescent="0.2">
      <c r="F692" s="59"/>
      <c r="G692" s="59"/>
      <c r="J692" s="59"/>
      <c r="M692" s="84"/>
      <c r="N692" s="59"/>
      <c r="O692" s="59"/>
      <c r="P692" s="59"/>
      <c r="R692" s="59"/>
      <c r="T692" s="59"/>
      <c r="W692" s="59"/>
      <c r="X692" s="84"/>
    </row>
    <row r="693" spans="6:24" ht="15.75" customHeight="1" x14ac:dyDescent="0.2">
      <c r="F693" s="59"/>
      <c r="G693" s="59"/>
      <c r="J693" s="59"/>
      <c r="M693" s="84"/>
      <c r="N693" s="59"/>
      <c r="O693" s="59"/>
      <c r="P693" s="59"/>
      <c r="R693" s="59"/>
      <c r="T693" s="59"/>
      <c r="W693" s="59"/>
      <c r="X693" s="84"/>
    </row>
    <row r="694" spans="6:24" ht="15.75" customHeight="1" x14ac:dyDescent="0.2">
      <c r="F694" s="59"/>
      <c r="G694" s="59"/>
      <c r="J694" s="59"/>
      <c r="M694" s="84"/>
      <c r="N694" s="59"/>
      <c r="O694" s="59"/>
      <c r="P694" s="59"/>
      <c r="R694" s="59"/>
      <c r="T694" s="59"/>
      <c r="W694" s="59"/>
      <c r="X694" s="84"/>
    </row>
    <row r="695" spans="6:24" ht="15.75" customHeight="1" x14ac:dyDescent="0.2">
      <c r="F695" s="59"/>
      <c r="G695" s="59"/>
      <c r="J695" s="59"/>
      <c r="M695" s="84"/>
      <c r="N695" s="59"/>
      <c r="O695" s="59"/>
      <c r="P695" s="59"/>
      <c r="R695" s="59"/>
      <c r="T695" s="59"/>
      <c r="W695" s="59"/>
      <c r="X695" s="84"/>
    </row>
    <row r="696" spans="6:24" ht="15.75" customHeight="1" x14ac:dyDescent="0.2">
      <c r="F696" s="59"/>
      <c r="G696" s="59"/>
      <c r="J696" s="59"/>
      <c r="M696" s="84"/>
      <c r="N696" s="59"/>
      <c r="O696" s="59"/>
      <c r="P696" s="59"/>
      <c r="R696" s="59"/>
      <c r="T696" s="59"/>
      <c r="W696" s="59"/>
      <c r="X696" s="84"/>
    </row>
    <row r="697" spans="6:24" ht="15.75" customHeight="1" x14ac:dyDescent="0.2">
      <c r="F697" s="59"/>
      <c r="G697" s="59"/>
      <c r="J697" s="59"/>
      <c r="M697" s="84"/>
      <c r="N697" s="59"/>
      <c r="O697" s="59"/>
      <c r="P697" s="59"/>
      <c r="R697" s="59"/>
      <c r="T697" s="59"/>
      <c r="W697" s="59"/>
      <c r="X697" s="84"/>
    </row>
    <row r="698" spans="6:24" ht="15.75" customHeight="1" x14ac:dyDescent="0.2">
      <c r="F698" s="59"/>
      <c r="G698" s="59"/>
      <c r="J698" s="59"/>
      <c r="M698" s="84"/>
      <c r="N698" s="59"/>
      <c r="O698" s="59"/>
      <c r="P698" s="59"/>
      <c r="R698" s="59"/>
      <c r="T698" s="59"/>
      <c r="W698" s="59"/>
      <c r="X698" s="84"/>
    </row>
    <row r="699" spans="6:24" ht="15.75" customHeight="1" x14ac:dyDescent="0.2">
      <c r="F699" s="59"/>
      <c r="G699" s="59"/>
      <c r="J699" s="59"/>
      <c r="M699" s="84"/>
      <c r="N699" s="59"/>
      <c r="O699" s="59"/>
      <c r="P699" s="59"/>
      <c r="R699" s="59"/>
      <c r="T699" s="59"/>
      <c r="W699" s="59"/>
      <c r="X699" s="84"/>
    </row>
    <row r="700" spans="6:24" ht="15.75" customHeight="1" x14ac:dyDescent="0.2">
      <c r="F700" s="59"/>
      <c r="G700" s="59"/>
      <c r="J700" s="59"/>
      <c r="M700" s="84"/>
      <c r="N700" s="59"/>
      <c r="O700" s="59"/>
      <c r="P700" s="59"/>
      <c r="R700" s="59"/>
      <c r="T700" s="59"/>
      <c r="W700" s="59"/>
      <c r="X700" s="84"/>
    </row>
    <row r="701" spans="6:24" ht="15.75" customHeight="1" x14ac:dyDescent="0.2">
      <c r="F701" s="59"/>
      <c r="G701" s="59"/>
      <c r="J701" s="59"/>
      <c r="M701" s="84"/>
      <c r="N701" s="59"/>
      <c r="O701" s="59"/>
      <c r="P701" s="59"/>
      <c r="R701" s="59"/>
      <c r="T701" s="59"/>
      <c r="W701" s="59"/>
      <c r="X701" s="84"/>
    </row>
    <row r="702" spans="6:24" ht="15.75" customHeight="1" x14ac:dyDescent="0.2">
      <c r="F702" s="59"/>
      <c r="G702" s="59"/>
      <c r="J702" s="59"/>
      <c r="M702" s="84"/>
      <c r="N702" s="59"/>
      <c r="O702" s="59"/>
      <c r="P702" s="59"/>
      <c r="R702" s="59"/>
      <c r="T702" s="59"/>
      <c r="W702" s="59"/>
      <c r="X702" s="84"/>
    </row>
    <row r="703" spans="6:24" ht="15.75" customHeight="1" x14ac:dyDescent="0.2">
      <c r="F703" s="59"/>
      <c r="G703" s="59"/>
      <c r="J703" s="59"/>
      <c r="M703" s="84"/>
      <c r="N703" s="59"/>
      <c r="O703" s="59"/>
      <c r="P703" s="59"/>
      <c r="R703" s="59"/>
      <c r="T703" s="59"/>
      <c r="W703" s="59"/>
      <c r="X703" s="84"/>
    </row>
    <row r="704" spans="6:24" ht="15.75" customHeight="1" x14ac:dyDescent="0.2">
      <c r="F704" s="59"/>
      <c r="G704" s="59"/>
      <c r="J704" s="59"/>
      <c r="M704" s="84"/>
      <c r="N704" s="59"/>
      <c r="O704" s="59"/>
      <c r="P704" s="59"/>
      <c r="R704" s="59"/>
      <c r="T704" s="59"/>
      <c r="W704" s="59"/>
      <c r="X704" s="84"/>
    </row>
    <row r="705" spans="6:24" ht="15.75" customHeight="1" x14ac:dyDescent="0.2">
      <c r="F705" s="59"/>
      <c r="G705" s="59"/>
      <c r="J705" s="59"/>
      <c r="M705" s="84"/>
      <c r="N705" s="59"/>
      <c r="O705" s="59"/>
      <c r="P705" s="59"/>
      <c r="R705" s="59"/>
      <c r="T705" s="59"/>
      <c r="W705" s="59"/>
      <c r="X705" s="84"/>
    </row>
    <row r="706" spans="6:24" ht="15.75" customHeight="1" x14ac:dyDescent="0.2">
      <c r="F706" s="59"/>
      <c r="G706" s="59"/>
      <c r="J706" s="59"/>
      <c r="M706" s="84"/>
      <c r="N706" s="59"/>
      <c r="O706" s="59"/>
      <c r="P706" s="59"/>
      <c r="R706" s="59"/>
      <c r="T706" s="59"/>
      <c r="W706" s="59"/>
      <c r="X706" s="84"/>
    </row>
    <row r="707" spans="6:24" ht="15.75" customHeight="1" x14ac:dyDescent="0.2">
      <c r="F707" s="59"/>
      <c r="G707" s="59"/>
      <c r="J707" s="59"/>
      <c r="M707" s="84"/>
      <c r="N707" s="59"/>
      <c r="O707" s="59"/>
      <c r="P707" s="59"/>
      <c r="R707" s="59"/>
      <c r="T707" s="59"/>
      <c r="W707" s="59"/>
      <c r="X707" s="84"/>
    </row>
    <row r="708" spans="6:24" ht="15.75" customHeight="1" x14ac:dyDescent="0.2">
      <c r="F708" s="59"/>
      <c r="G708" s="59"/>
      <c r="J708" s="59"/>
      <c r="M708" s="84"/>
      <c r="N708" s="59"/>
      <c r="O708" s="59"/>
      <c r="P708" s="59"/>
      <c r="R708" s="59"/>
      <c r="T708" s="59"/>
      <c r="W708" s="59"/>
      <c r="X708" s="84"/>
    </row>
    <row r="709" spans="6:24" ht="15.75" customHeight="1" x14ac:dyDescent="0.2">
      <c r="F709" s="59"/>
      <c r="G709" s="59"/>
      <c r="J709" s="59"/>
      <c r="M709" s="84"/>
      <c r="N709" s="59"/>
      <c r="O709" s="59"/>
      <c r="P709" s="59"/>
      <c r="R709" s="59"/>
      <c r="T709" s="59"/>
      <c r="W709" s="59"/>
      <c r="X709" s="84"/>
    </row>
    <row r="710" spans="6:24" ht="15.75" customHeight="1" x14ac:dyDescent="0.2">
      <c r="F710" s="59"/>
      <c r="G710" s="59"/>
      <c r="J710" s="59"/>
      <c r="M710" s="84"/>
      <c r="N710" s="59"/>
      <c r="O710" s="59"/>
      <c r="P710" s="59"/>
      <c r="R710" s="59"/>
      <c r="T710" s="59"/>
      <c r="W710" s="59"/>
      <c r="X710" s="84"/>
    </row>
    <row r="711" spans="6:24" ht="15.75" customHeight="1" x14ac:dyDescent="0.2">
      <c r="F711" s="59"/>
      <c r="G711" s="59"/>
      <c r="J711" s="59"/>
      <c r="M711" s="84"/>
      <c r="N711" s="59"/>
      <c r="O711" s="59"/>
      <c r="P711" s="59"/>
      <c r="R711" s="59"/>
      <c r="T711" s="59"/>
      <c r="W711" s="59"/>
      <c r="X711" s="84"/>
    </row>
    <row r="712" spans="6:24" ht="15.75" customHeight="1" x14ac:dyDescent="0.2">
      <c r="F712" s="59"/>
      <c r="G712" s="59"/>
      <c r="J712" s="59"/>
      <c r="M712" s="84"/>
      <c r="N712" s="59"/>
      <c r="O712" s="59"/>
      <c r="P712" s="59"/>
      <c r="R712" s="59"/>
      <c r="T712" s="59"/>
      <c r="W712" s="59"/>
      <c r="X712" s="84"/>
    </row>
    <row r="713" spans="6:24" ht="15.75" customHeight="1" x14ac:dyDescent="0.2">
      <c r="F713" s="59"/>
      <c r="G713" s="59"/>
      <c r="J713" s="59"/>
      <c r="M713" s="84"/>
      <c r="N713" s="59"/>
      <c r="O713" s="59"/>
      <c r="P713" s="59"/>
      <c r="R713" s="59"/>
      <c r="T713" s="59"/>
      <c r="W713" s="59"/>
      <c r="X713" s="84"/>
    </row>
    <row r="714" spans="6:24" ht="15.75" customHeight="1" x14ac:dyDescent="0.2">
      <c r="F714" s="59"/>
      <c r="G714" s="59"/>
      <c r="J714" s="59"/>
      <c r="M714" s="84"/>
      <c r="N714" s="59"/>
      <c r="O714" s="59"/>
      <c r="P714" s="59"/>
      <c r="R714" s="59"/>
      <c r="T714" s="59"/>
      <c r="W714" s="59"/>
      <c r="X714" s="84"/>
    </row>
    <row r="715" spans="6:24" ht="15.75" customHeight="1" x14ac:dyDescent="0.2">
      <c r="F715" s="59"/>
      <c r="G715" s="59"/>
      <c r="J715" s="59"/>
      <c r="M715" s="84"/>
      <c r="N715" s="59"/>
      <c r="O715" s="59"/>
      <c r="P715" s="59"/>
      <c r="R715" s="59"/>
      <c r="T715" s="59"/>
      <c r="W715" s="59"/>
      <c r="X715" s="84"/>
    </row>
    <row r="716" spans="6:24" ht="15.75" customHeight="1" x14ac:dyDescent="0.2">
      <c r="F716" s="59"/>
      <c r="G716" s="59"/>
      <c r="J716" s="59"/>
      <c r="M716" s="84"/>
      <c r="N716" s="59"/>
      <c r="O716" s="59"/>
      <c r="P716" s="59"/>
      <c r="R716" s="59"/>
      <c r="T716" s="59"/>
      <c r="W716" s="59"/>
      <c r="X716" s="84"/>
    </row>
    <row r="717" spans="6:24" ht="15.75" customHeight="1" x14ac:dyDescent="0.2">
      <c r="F717" s="59"/>
      <c r="G717" s="59"/>
      <c r="J717" s="59"/>
      <c r="M717" s="84"/>
      <c r="N717" s="59"/>
      <c r="O717" s="59"/>
      <c r="P717" s="59"/>
      <c r="R717" s="59"/>
      <c r="T717" s="59"/>
      <c r="W717" s="59"/>
      <c r="X717" s="84"/>
    </row>
    <row r="718" spans="6:24" ht="15.75" customHeight="1" x14ac:dyDescent="0.2">
      <c r="F718" s="59"/>
      <c r="G718" s="59"/>
      <c r="J718" s="59"/>
      <c r="M718" s="84"/>
      <c r="N718" s="59"/>
      <c r="O718" s="59"/>
      <c r="P718" s="59"/>
      <c r="R718" s="59"/>
      <c r="T718" s="59"/>
      <c r="W718" s="59"/>
      <c r="X718" s="84"/>
    </row>
    <row r="719" spans="6:24" ht="15.75" customHeight="1" x14ac:dyDescent="0.2">
      <c r="F719" s="59"/>
      <c r="G719" s="59"/>
      <c r="J719" s="59"/>
      <c r="M719" s="84"/>
      <c r="N719" s="59"/>
      <c r="O719" s="59"/>
      <c r="P719" s="59"/>
      <c r="R719" s="59"/>
      <c r="T719" s="59"/>
      <c r="W719" s="59"/>
      <c r="X719" s="84"/>
    </row>
    <row r="720" spans="6:24" ht="15.75" customHeight="1" x14ac:dyDescent="0.2">
      <c r="F720" s="59"/>
      <c r="G720" s="59"/>
      <c r="J720" s="59"/>
      <c r="M720" s="84"/>
      <c r="N720" s="59"/>
      <c r="O720" s="59"/>
      <c r="P720" s="59"/>
      <c r="R720" s="59"/>
      <c r="T720" s="59"/>
      <c r="W720" s="59"/>
      <c r="X720" s="84"/>
    </row>
    <row r="721" spans="6:24" ht="15.75" customHeight="1" x14ac:dyDescent="0.2">
      <c r="F721" s="59"/>
      <c r="G721" s="59"/>
      <c r="J721" s="59"/>
      <c r="M721" s="84"/>
      <c r="N721" s="59"/>
      <c r="O721" s="59"/>
      <c r="P721" s="59"/>
      <c r="R721" s="59"/>
      <c r="T721" s="59"/>
      <c r="W721" s="59"/>
      <c r="X721" s="84"/>
    </row>
    <row r="722" spans="6:24" ht="15.75" customHeight="1" x14ac:dyDescent="0.2">
      <c r="F722" s="59"/>
      <c r="G722" s="59"/>
      <c r="J722" s="59"/>
      <c r="M722" s="84"/>
      <c r="N722" s="59"/>
      <c r="O722" s="59"/>
      <c r="P722" s="59"/>
      <c r="R722" s="59"/>
      <c r="T722" s="59"/>
      <c r="W722" s="59"/>
      <c r="X722" s="84"/>
    </row>
    <row r="723" spans="6:24" ht="15.75" customHeight="1" x14ac:dyDescent="0.2">
      <c r="F723" s="59"/>
      <c r="G723" s="59"/>
      <c r="J723" s="59"/>
      <c r="M723" s="84"/>
      <c r="N723" s="59"/>
      <c r="O723" s="59"/>
      <c r="P723" s="59"/>
      <c r="R723" s="59"/>
      <c r="T723" s="59"/>
      <c r="W723" s="59"/>
      <c r="X723" s="84"/>
    </row>
    <row r="724" spans="6:24" ht="15.75" customHeight="1" x14ac:dyDescent="0.2">
      <c r="F724" s="59"/>
      <c r="G724" s="59"/>
      <c r="J724" s="59"/>
      <c r="M724" s="84"/>
      <c r="N724" s="59"/>
      <c r="O724" s="59"/>
      <c r="P724" s="59"/>
      <c r="R724" s="59"/>
      <c r="T724" s="59"/>
      <c r="W724" s="59"/>
      <c r="X724" s="84"/>
    </row>
    <row r="725" spans="6:24" ht="15.75" customHeight="1" x14ac:dyDescent="0.2">
      <c r="F725" s="59"/>
      <c r="G725" s="59"/>
      <c r="J725" s="59"/>
      <c r="M725" s="84"/>
      <c r="N725" s="59"/>
      <c r="O725" s="59"/>
      <c r="P725" s="59"/>
      <c r="R725" s="59"/>
      <c r="T725" s="59"/>
      <c r="W725" s="59"/>
      <c r="X725" s="84"/>
    </row>
    <row r="726" spans="6:24" ht="15.75" customHeight="1" x14ac:dyDescent="0.2">
      <c r="F726" s="59"/>
      <c r="G726" s="59"/>
      <c r="J726" s="59"/>
      <c r="M726" s="84"/>
      <c r="N726" s="59"/>
      <c r="O726" s="59"/>
      <c r="P726" s="59"/>
      <c r="R726" s="59"/>
      <c r="T726" s="59"/>
      <c r="W726" s="59"/>
      <c r="X726" s="84"/>
    </row>
    <row r="727" spans="6:24" ht="15.75" customHeight="1" x14ac:dyDescent="0.2">
      <c r="F727" s="59"/>
      <c r="G727" s="59"/>
      <c r="J727" s="59"/>
      <c r="M727" s="84"/>
      <c r="N727" s="59"/>
      <c r="O727" s="59"/>
      <c r="P727" s="59"/>
      <c r="R727" s="59"/>
      <c r="T727" s="59"/>
      <c r="W727" s="59"/>
      <c r="X727" s="84"/>
    </row>
    <row r="728" spans="6:24" ht="15.75" customHeight="1" x14ac:dyDescent="0.2">
      <c r="F728" s="59"/>
      <c r="G728" s="59"/>
      <c r="J728" s="59"/>
      <c r="M728" s="84"/>
      <c r="N728" s="59"/>
      <c r="O728" s="59"/>
      <c r="P728" s="59"/>
      <c r="R728" s="59"/>
      <c r="T728" s="59"/>
      <c r="W728" s="59"/>
      <c r="X728" s="84"/>
    </row>
    <row r="729" spans="6:24" ht="15.75" customHeight="1" x14ac:dyDescent="0.2">
      <c r="F729" s="59"/>
      <c r="G729" s="59"/>
      <c r="J729" s="59"/>
      <c r="M729" s="84"/>
      <c r="N729" s="59"/>
      <c r="O729" s="59"/>
      <c r="P729" s="59"/>
      <c r="R729" s="59"/>
      <c r="T729" s="59"/>
      <c r="W729" s="59"/>
      <c r="X729" s="84"/>
    </row>
    <row r="730" spans="6:24" ht="15.75" customHeight="1" x14ac:dyDescent="0.2">
      <c r="F730" s="59"/>
      <c r="G730" s="59"/>
      <c r="J730" s="59"/>
      <c r="M730" s="84"/>
      <c r="N730" s="59"/>
      <c r="O730" s="59"/>
      <c r="P730" s="59"/>
      <c r="R730" s="59"/>
      <c r="T730" s="59"/>
      <c r="W730" s="59"/>
      <c r="X730" s="84"/>
    </row>
    <row r="731" spans="6:24" ht="15.75" customHeight="1" x14ac:dyDescent="0.2">
      <c r="F731" s="59"/>
      <c r="G731" s="59"/>
      <c r="J731" s="59"/>
      <c r="M731" s="84"/>
      <c r="N731" s="59"/>
      <c r="O731" s="59"/>
      <c r="P731" s="59"/>
      <c r="R731" s="59"/>
      <c r="T731" s="59"/>
      <c r="W731" s="59"/>
      <c r="X731" s="84"/>
    </row>
    <row r="732" spans="6:24" ht="15.75" customHeight="1" x14ac:dyDescent="0.2">
      <c r="F732" s="59"/>
      <c r="G732" s="59"/>
      <c r="J732" s="59"/>
      <c r="M732" s="84"/>
      <c r="N732" s="59"/>
      <c r="O732" s="59"/>
      <c r="P732" s="59"/>
      <c r="R732" s="59"/>
      <c r="T732" s="59"/>
      <c r="W732" s="59"/>
      <c r="X732" s="84"/>
    </row>
    <row r="733" spans="6:24" ht="15.75" customHeight="1" x14ac:dyDescent="0.2">
      <c r="F733" s="59"/>
      <c r="G733" s="59"/>
      <c r="J733" s="59"/>
      <c r="M733" s="84"/>
      <c r="N733" s="59"/>
      <c r="O733" s="59"/>
      <c r="P733" s="59"/>
      <c r="R733" s="59"/>
      <c r="T733" s="59"/>
      <c r="W733" s="59"/>
      <c r="X733" s="84"/>
    </row>
    <row r="734" spans="6:24" ht="15.75" customHeight="1" x14ac:dyDescent="0.2">
      <c r="F734" s="59"/>
      <c r="G734" s="59"/>
      <c r="J734" s="59"/>
      <c r="M734" s="84"/>
      <c r="N734" s="59"/>
      <c r="O734" s="59"/>
      <c r="P734" s="59"/>
      <c r="R734" s="59"/>
      <c r="T734" s="59"/>
      <c r="W734" s="59"/>
      <c r="X734" s="84"/>
    </row>
    <row r="735" spans="6:24" ht="15.75" customHeight="1" x14ac:dyDescent="0.2">
      <c r="F735" s="59"/>
      <c r="G735" s="59"/>
      <c r="J735" s="59"/>
      <c r="M735" s="84"/>
      <c r="N735" s="59"/>
      <c r="O735" s="59"/>
      <c r="P735" s="59"/>
      <c r="R735" s="59"/>
      <c r="T735" s="59"/>
      <c r="W735" s="59"/>
      <c r="X735" s="84"/>
    </row>
    <row r="736" spans="6:24" ht="15.75" customHeight="1" x14ac:dyDescent="0.2">
      <c r="F736" s="59"/>
      <c r="G736" s="59"/>
      <c r="J736" s="59"/>
      <c r="M736" s="84"/>
      <c r="N736" s="59"/>
      <c r="O736" s="59"/>
      <c r="P736" s="59"/>
      <c r="R736" s="59"/>
      <c r="T736" s="59"/>
      <c r="W736" s="59"/>
      <c r="X736" s="84"/>
    </row>
    <row r="737" spans="6:24" ht="15.75" customHeight="1" x14ac:dyDescent="0.2">
      <c r="F737" s="59"/>
      <c r="G737" s="59"/>
      <c r="J737" s="59"/>
      <c r="M737" s="84"/>
      <c r="N737" s="59"/>
      <c r="O737" s="59"/>
      <c r="P737" s="59"/>
      <c r="R737" s="59"/>
      <c r="T737" s="59"/>
      <c r="W737" s="59"/>
      <c r="X737" s="84"/>
    </row>
    <row r="738" spans="6:24" ht="15.75" customHeight="1" x14ac:dyDescent="0.2">
      <c r="F738" s="59"/>
      <c r="G738" s="59"/>
      <c r="J738" s="59"/>
      <c r="M738" s="84"/>
      <c r="N738" s="59"/>
      <c r="O738" s="59"/>
      <c r="P738" s="59"/>
      <c r="R738" s="59"/>
      <c r="T738" s="59"/>
      <c r="W738" s="59"/>
      <c r="X738" s="84"/>
    </row>
    <row r="739" spans="6:24" ht="15.75" customHeight="1" x14ac:dyDescent="0.2">
      <c r="F739" s="59"/>
      <c r="G739" s="59"/>
      <c r="J739" s="59"/>
      <c r="M739" s="84"/>
      <c r="N739" s="59"/>
      <c r="O739" s="59"/>
      <c r="P739" s="59"/>
      <c r="R739" s="59"/>
      <c r="T739" s="59"/>
      <c r="W739" s="59"/>
      <c r="X739" s="84"/>
    </row>
    <row r="740" spans="6:24" ht="15.75" customHeight="1" x14ac:dyDescent="0.2">
      <c r="F740" s="59"/>
      <c r="G740" s="59"/>
      <c r="J740" s="59"/>
      <c r="M740" s="84"/>
      <c r="N740" s="59"/>
      <c r="O740" s="59"/>
      <c r="P740" s="59"/>
      <c r="R740" s="59"/>
      <c r="T740" s="59"/>
      <c r="W740" s="59"/>
      <c r="X740" s="84"/>
    </row>
    <row r="741" spans="6:24" ht="15.75" customHeight="1" x14ac:dyDescent="0.2">
      <c r="F741" s="59"/>
      <c r="G741" s="59"/>
      <c r="J741" s="59"/>
      <c r="M741" s="84"/>
      <c r="N741" s="59"/>
      <c r="O741" s="59"/>
      <c r="P741" s="59"/>
      <c r="R741" s="59"/>
      <c r="T741" s="59"/>
      <c r="W741" s="59"/>
      <c r="X741" s="84"/>
    </row>
    <row r="742" spans="6:24" ht="15.75" customHeight="1" x14ac:dyDescent="0.2">
      <c r="F742" s="59"/>
      <c r="G742" s="59"/>
      <c r="J742" s="59"/>
      <c r="M742" s="84"/>
      <c r="N742" s="59"/>
      <c r="O742" s="59"/>
      <c r="P742" s="59"/>
      <c r="R742" s="59"/>
      <c r="T742" s="59"/>
      <c r="W742" s="59"/>
      <c r="X742" s="84"/>
    </row>
    <row r="743" spans="6:24" ht="15.75" customHeight="1" x14ac:dyDescent="0.2">
      <c r="F743" s="59"/>
      <c r="G743" s="59"/>
      <c r="J743" s="59"/>
      <c r="M743" s="84"/>
      <c r="N743" s="59"/>
      <c r="O743" s="59"/>
      <c r="P743" s="59"/>
      <c r="R743" s="59"/>
      <c r="T743" s="59"/>
      <c r="W743" s="59"/>
      <c r="X743" s="84"/>
    </row>
    <row r="744" spans="6:24" ht="15.75" customHeight="1" x14ac:dyDescent="0.2">
      <c r="F744" s="59"/>
      <c r="G744" s="59"/>
      <c r="J744" s="59"/>
      <c r="M744" s="84"/>
      <c r="N744" s="59"/>
      <c r="O744" s="59"/>
      <c r="P744" s="59"/>
      <c r="R744" s="59"/>
      <c r="T744" s="59"/>
      <c r="W744" s="59"/>
      <c r="X744" s="84"/>
    </row>
    <row r="745" spans="6:24" ht="15.75" customHeight="1" x14ac:dyDescent="0.2">
      <c r="F745" s="59"/>
      <c r="G745" s="59"/>
      <c r="J745" s="59"/>
      <c r="M745" s="84"/>
      <c r="N745" s="59"/>
      <c r="O745" s="59"/>
      <c r="P745" s="59"/>
      <c r="R745" s="59"/>
      <c r="T745" s="59"/>
      <c r="W745" s="59"/>
      <c r="X745" s="84"/>
    </row>
    <row r="746" spans="6:24" ht="15.75" customHeight="1" x14ac:dyDescent="0.2">
      <c r="F746" s="59"/>
      <c r="G746" s="59"/>
      <c r="J746" s="59"/>
      <c r="M746" s="84"/>
      <c r="N746" s="59"/>
      <c r="O746" s="59"/>
      <c r="P746" s="59"/>
      <c r="R746" s="59"/>
      <c r="T746" s="59"/>
      <c r="W746" s="59"/>
      <c r="X746" s="84"/>
    </row>
    <row r="747" spans="6:24" ht="15.75" customHeight="1" x14ac:dyDescent="0.2">
      <c r="F747" s="59"/>
      <c r="G747" s="59"/>
      <c r="J747" s="59"/>
      <c r="M747" s="84"/>
      <c r="N747" s="59"/>
      <c r="O747" s="59"/>
      <c r="P747" s="59"/>
      <c r="R747" s="59"/>
      <c r="T747" s="59"/>
      <c r="W747" s="59"/>
      <c r="X747" s="84"/>
    </row>
    <row r="748" spans="6:24" ht="15.75" customHeight="1" x14ac:dyDescent="0.2">
      <c r="F748" s="59"/>
      <c r="G748" s="59"/>
      <c r="J748" s="59"/>
      <c r="M748" s="84"/>
      <c r="N748" s="59"/>
      <c r="O748" s="59"/>
      <c r="P748" s="59"/>
      <c r="R748" s="59"/>
      <c r="T748" s="59"/>
      <c r="W748" s="59"/>
      <c r="X748" s="84"/>
    </row>
    <row r="749" spans="6:24" ht="15.75" customHeight="1" x14ac:dyDescent="0.2">
      <c r="F749" s="59"/>
      <c r="G749" s="59"/>
      <c r="J749" s="59"/>
      <c r="M749" s="84"/>
      <c r="N749" s="59"/>
      <c r="O749" s="59"/>
      <c r="P749" s="59"/>
      <c r="R749" s="59"/>
      <c r="T749" s="59"/>
      <c r="W749" s="59"/>
      <c r="X749" s="84"/>
    </row>
    <row r="750" spans="6:24" ht="15.75" customHeight="1" x14ac:dyDescent="0.2">
      <c r="F750" s="59"/>
      <c r="G750" s="59"/>
      <c r="J750" s="59"/>
      <c r="M750" s="84"/>
      <c r="N750" s="59"/>
      <c r="O750" s="59"/>
      <c r="P750" s="59"/>
      <c r="R750" s="59"/>
      <c r="T750" s="59"/>
      <c r="W750" s="59"/>
      <c r="X750" s="84"/>
    </row>
    <row r="751" spans="6:24" ht="15.75" customHeight="1" x14ac:dyDescent="0.2">
      <c r="F751" s="59"/>
      <c r="G751" s="59"/>
      <c r="J751" s="59"/>
      <c r="M751" s="84"/>
      <c r="N751" s="59"/>
      <c r="O751" s="59"/>
      <c r="P751" s="59"/>
      <c r="R751" s="59"/>
      <c r="T751" s="59"/>
      <c r="W751" s="59"/>
      <c r="X751" s="84"/>
    </row>
    <row r="752" spans="6:24" ht="15.75" customHeight="1" x14ac:dyDescent="0.2">
      <c r="F752" s="59"/>
      <c r="G752" s="59"/>
      <c r="J752" s="59"/>
      <c r="M752" s="84"/>
      <c r="N752" s="59"/>
      <c r="O752" s="59"/>
      <c r="P752" s="59"/>
      <c r="R752" s="59"/>
      <c r="T752" s="59"/>
      <c r="W752" s="59"/>
      <c r="X752" s="84"/>
    </row>
    <row r="753" spans="6:24" ht="15.75" customHeight="1" x14ac:dyDescent="0.2">
      <c r="F753" s="59"/>
      <c r="G753" s="59"/>
      <c r="J753" s="59"/>
      <c r="M753" s="84"/>
      <c r="N753" s="59"/>
      <c r="O753" s="59"/>
      <c r="P753" s="59"/>
      <c r="R753" s="59"/>
      <c r="T753" s="59"/>
      <c r="W753" s="59"/>
      <c r="X753" s="84"/>
    </row>
    <row r="754" spans="6:24" ht="15.75" customHeight="1" x14ac:dyDescent="0.2">
      <c r="F754" s="59"/>
      <c r="G754" s="59"/>
      <c r="J754" s="59"/>
      <c r="M754" s="84"/>
      <c r="N754" s="59"/>
      <c r="O754" s="59"/>
      <c r="P754" s="59"/>
      <c r="R754" s="59"/>
      <c r="T754" s="59"/>
      <c r="W754" s="59"/>
      <c r="X754" s="84"/>
    </row>
    <row r="755" spans="6:24" ht="15.75" customHeight="1" x14ac:dyDescent="0.2">
      <c r="F755" s="59"/>
      <c r="G755" s="59"/>
      <c r="J755" s="59"/>
      <c r="M755" s="84"/>
      <c r="N755" s="59"/>
      <c r="O755" s="59"/>
      <c r="P755" s="59"/>
      <c r="R755" s="59"/>
      <c r="T755" s="59"/>
      <c r="W755" s="59"/>
      <c r="X755" s="84"/>
    </row>
    <row r="756" spans="6:24" ht="15.75" customHeight="1" x14ac:dyDescent="0.2">
      <c r="F756" s="59"/>
      <c r="G756" s="59"/>
      <c r="J756" s="59"/>
      <c r="M756" s="84"/>
      <c r="N756" s="59"/>
      <c r="O756" s="59"/>
      <c r="P756" s="59"/>
      <c r="R756" s="59"/>
      <c r="T756" s="59"/>
      <c r="W756" s="59"/>
      <c r="X756" s="84"/>
    </row>
    <row r="757" spans="6:24" ht="15.75" customHeight="1" x14ac:dyDescent="0.2">
      <c r="F757" s="59"/>
      <c r="G757" s="59"/>
      <c r="J757" s="59"/>
      <c r="M757" s="84"/>
      <c r="N757" s="59"/>
      <c r="O757" s="59"/>
      <c r="P757" s="59"/>
      <c r="R757" s="59"/>
      <c r="T757" s="59"/>
      <c r="W757" s="59"/>
      <c r="X757" s="84"/>
    </row>
    <row r="758" spans="6:24" ht="15.75" customHeight="1" x14ac:dyDescent="0.2">
      <c r="F758" s="59"/>
      <c r="G758" s="59"/>
      <c r="J758" s="59"/>
      <c r="M758" s="84"/>
      <c r="N758" s="59"/>
      <c r="O758" s="59"/>
      <c r="P758" s="59"/>
      <c r="R758" s="59"/>
      <c r="T758" s="59"/>
      <c r="W758" s="59"/>
      <c r="X758" s="84"/>
    </row>
    <row r="759" spans="6:24" ht="15.75" customHeight="1" x14ac:dyDescent="0.2">
      <c r="F759" s="59"/>
      <c r="G759" s="59"/>
      <c r="J759" s="59"/>
      <c r="M759" s="84"/>
      <c r="N759" s="59"/>
      <c r="O759" s="59"/>
      <c r="P759" s="59"/>
      <c r="R759" s="59"/>
      <c r="T759" s="59"/>
      <c r="W759" s="59"/>
      <c r="X759" s="84"/>
    </row>
    <row r="760" spans="6:24" ht="15.75" customHeight="1" x14ac:dyDescent="0.2">
      <c r="F760" s="59"/>
      <c r="G760" s="59"/>
      <c r="J760" s="59"/>
      <c r="M760" s="84"/>
      <c r="N760" s="59"/>
      <c r="O760" s="59"/>
      <c r="P760" s="59"/>
      <c r="R760" s="59"/>
      <c r="T760" s="59"/>
      <c r="W760" s="59"/>
      <c r="X760" s="84"/>
    </row>
    <row r="761" spans="6:24" ht="15.75" customHeight="1" x14ac:dyDescent="0.2">
      <c r="F761" s="59"/>
      <c r="G761" s="59"/>
      <c r="J761" s="59"/>
      <c r="M761" s="84"/>
      <c r="N761" s="59"/>
      <c r="O761" s="59"/>
      <c r="P761" s="59"/>
      <c r="R761" s="59"/>
      <c r="T761" s="59"/>
      <c r="W761" s="59"/>
      <c r="X761" s="84"/>
    </row>
    <row r="762" spans="6:24" ht="15.75" customHeight="1" x14ac:dyDescent="0.2">
      <c r="F762" s="59"/>
      <c r="G762" s="59"/>
      <c r="J762" s="59"/>
      <c r="M762" s="84"/>
      <c r="N762" s="59"/>
      <c r="O762" s="59"/>
      <c r="P762" s="59"/>
      <c r="R762" s="59"/>
      <c r="T762" s="59"/>
      <c r="W762" s="59"/>
      <c r="X762" s="84"/>
    </row>
    <row r="763" spans="6:24" ht="15.75" customHeight="1" x14ac:dyDescent="0.2">
      <c r="F763" s="59"/>
      <c r="G763" s="59"/>
      <c r="J763" s="59"/>
      <c r="M763" s="84"/>
      <c r="N763" s="59"/>
      <c r="O763" s="59"/>
      <c r="P763" s="59"/>
      <c r="R763" s="59"/>
      <c r="T763" s="59"/>
      <c r="W763" s="59"/>
      <c r="X763" s="84"/>
    </row>
    <row r="764" spans="6:24" ht="15.75" customHeight="1" x14ac:dyDescent="0.2">
      <c r="F764" s="59"/>
      <c r="G764" s="59"/>
      <c r="J764" s="59"/>
      <c r="M764" s="84"/>
      <c r="N764" s="59"/>
      <c r="O764" s="59"/>
      <c r="P764" s="59"/>
      <c r="R764" s="59"/>
      <c r="T764" s="59"/>
      <c r="W764" s="59"/>
      <c r="X764" s="84"/>
    </row>
    <row r="765" spans="6:24" ht="15.75" customHeight="1" x14ac:dyDescent="0.2">
      <c r="F765" s="59"/>
      <c r="G765" s="59"/>
      <c r="J765" s="59"/>
      <c r="M765" s="84"/>
      <c r="N765" s="59"/>
      <c r="O765" s="59"/>
      <c r="P765" s="59"/>
      <c r="R765" s="59"/>
      <c r="T765" s="59"/>
      <c r="W765" s="59"/>
      <c r="X765" s="84"/>
    </row>
    <row r="766" spans="6:24" ht="15.75" customHeight="1" x14ac:dyDescent="0.2">
      <c r="F766" s="59"/>
      <c r="G766" s="59"/>
      <c r="J766" s="59"/>
      <c r="M766" s="84"/>
      <c r="N766" s="59"/>
      <c r="O766" s="59"/>
      <c r="P766" s="59"/>
      <c r="R766" s="59"/>
      <c r="T766" s="59"/>
      <c r="W766" s="59"/>
      <c r="X766" s="84"/>
    </row>
    <row r="767" spans="6:24" ht="15.75" customHeight="1" x14ac:dyDescent="0.2">
      <c r="F767" s="59"/>
      <c r="G767" s="59"/>
      <c r="J767" s="59"/>
      <c r="M767" s="84"/>
      <c r="N767" s="59"/>
      <c r="O767" s="59"/>
      <c r="P767" s="59"/>
      <c r="R767" s="59"/>
      <c r="T767" s="59"/>
      <c r="W767" s="59"/>
      <c r="X767" s="84"/>
    </row>
    <row r="768" spans="6:24" ht="15.75" customHeight="1" x14ac:dyDescent="0.2">
      <c r="F768" s="59"/>
      <c r="G768" s="59"/>
      <c r="J768" s="59"/>
      <c r="M768" s="84"/>
      <c r="N768" s="59"/>
      <c r="O768" s="59"/>
      <c r="P768" s="59"/>
      <c r="R768" s="59"/>
      <c r="T768" s="59"/>
      <c r="W768" s="59"/>
      <c r="X768" s="84"/>
    </row>
    <row r="769" spans="6:24" ht="15.75" customHeight="1" x14ac:dyDescent="0.2">
      <c r="F769" s="59"/>
      <c r="G769" s="59"/>
      <c r="J769" s="59"/>
      <c r="M769" s="84"/>
      <c r="N769" s="59"/>
      <c r="O769" s="59"/>
      <c r="P769" s="59"/>
      <c r="R769" s="59"/>
      <c r="T769" s="59"/>
      <c r="W769" s="59"/>
      <c r="X769" s="84"/>
    </row>
    <row r="770" spans="6:24" ht="15.75" customHeight="1" x14ac:dyDescent="0.2">
      <c r="F770" s="59"/>
      <c r="G770" s="59"/>
      <c r="J770" s="59"/>
      <c r="M770" s="84"/>
      <c r="N770" s="59"/>
      <c r="O770" s="59"/>
      <c r="P770" s="59"/>
      <c r="R770" s="59"/>
      <c r="T770" s="59"/>
      <c r="W770" s="59"/>
      <c r="X770" s="84"/>
    </row>
    <row r="771" spans="6:24" ht="15.75" customHeight="1" x14ac:dyDescent="0.2">
      <c r="F771" s="59"/>
      <c r="G771" s="59"/>
      <c r="J771" s="59"/>
      <c r="M771" s="84"/>
      <c r="N771" s="59"/>
      <c r="O771" s="59"/>
      <c r="P771" s="59"/>
      <c r="R771" s="59"/>
      <c r="T771" s="59"/>
      <c r="W771" s="59"/>
      <c r="X771" s="84"/>
    </row>
    <row r="772" spans="6:24" ht="15.75" customHeight="1" x14ac:dyDescent="0.2">
      <c r="F772" s="59"/>
      <c r="G772" s="59"/>
      <c r="J772" s="59"/>
      <c r="M772" s="84"/>
      <c r="N772" s="59"/>
      <c r="O772" s="59"/>
      <c r="P772" s="59"/>
      <c r="R772" s="59"/>
      <c r="T772" s="59"/>
      <c r="W772" s="59"/>
      <c r="X772" s="84"/>
    </row>
    <row r="773" spans="6:24" ht="15.75" customHeight="1" x14ac:dyDescent="0.2">
      <c r="F773" s="59"/>
      <c r="G773" s="59"/>
      <c r="J773" s="59"/>
      <c r="M773" s="84"/>
      <c r="N773" s="59"/>
      <c r="O773" s="59"/>
      <c r="P773" s="59"/>
      <c r="R773" s="59"/>
      <c r="T773" s="59"/>
      <c r="W773" s="59"/>
      <c r="X773" s="84"/>
    </row>
    <row r="774" spans="6:24" ht="15.75" customHeight="1" x14ac:dyDescent="0.2">
      <c r="F774" s="59"/>
      <c r="G774" s="59"/>
      <c r="J774" s="59"/>
      <c r="M774" s="84"/>
      <c r="N774" s="59"/>
      <c r="O774" s="59"/>
      <c r="P774" s="59"/>
      <c r="R774" s="59"/>
      <c r="T774" s="59"/>
      <c r="W774" s="59"/>
      <c r="X774" s="84"/>
    </row>
    <row r="775" spans="6:24" ht="15.75" customHeight="1" x14ac:dyDescent="0.2">
      <c r="F775" s="59"/>
      <c r="G775" s="59"/>
      <c r="J775" s="59"/>
      <c r="M775" s="84"/>
      <c r="N775" s="59"/>
      <c r="O775" s="59"/>
      <c r="P775" s="59"/>
      <c r="R775" s="59"/>
      <c r="T775" s="59"/>
      <c r="W775" s="59"/>
      <c r="X775" s="84"/>
    </row>
    <row r="776" spans="6:24" ht="15.75" customHeight="1" x14ac:dyDescent="0.2">
      <c r="F776" s="59"/>
      <c r="G776" s="59"/>
      <c r="J776" s="59"/>
      <c r="M776" s="84"/>
      <c r="N776" s="59"/>
      <c r="O776" s="59"/>
      <c r="P776" s="59"/>
      <c r="R776" s="59"/>
      <c r="T776" s="59"/>
      <c r="W776" s="59"/>
      <c r="X776" s="84"/>
    </row>
    <row r="777" spans="6:24" ht="15.75" customHeight="1" x14ac:dyDescent="0.2">
      <c r="F777" s="59"/>
      <c r="G777" s="59"/>
      <c r="J777" s="59"/>
      <c r="M777" s="84"/>
      <c r="N777" s="59"/>
      <c r="O777" s="59"/>
      <c r="P777" s="59"/>
      <c r="R777" s="59"/>
      <c r="T777" s="59"/>
      <c r="W777" s="59"/>
      <c r="X777" s="84"/>
    </row>
    <row r="778" spans="6:24" ht="15.75" customHeight="1" x14ac:dyDescent="0.2">
      <c r="F778" s="59"/>
      <c r="G778" s="59"/>
      <c r="J778" s="59"/>
      <c r="M778" s="84"/>
      <c r="N778" s="59"/>
      <c r="O778" s="59"/>
      <c r="P778" s="59"/>
      <c r="R778" s="59"/>
      <c r="T778" s="59"/>
      <c r="W778" s="59"/>
      <c r="X778" s="84"/>
    </row>
    <row r="779" spans="6:24" ht="15.75" customHeight="1" x14ac:dyDescent="0.2">
      <c r="F779" s="59"/>
      <c r="G779" s="59"/>
      <c r="J779" s="59"/>
      <c r="M779" s="84"/>
      <c r="N779" s="59"/>
      <c r="O779" s="59"/>
      <c r="P779" s="59"/>
      <c r="R779" s="59"/>
      <c r="T779" s="59"/>
      <c r="W779" s="59"/>
      <c r="X779" s="84"/>
    </row>
    <row r="780" spans="6:24" ht="15.75" customHeight="1" x14ac:dyDescent="0.2">
      <c r="F780" s="59"/>
      <c r="G780" s="59"/>
      <c r="J780" s="59"/>
      <c r="M780" s="84"/>
      <c r="N780" s="59"/>
      <c r="O780" s="59"/>
      <c r="P780" s="59"/>
      <c r="R780" s="59"/>
      <c r="T780" s="59"/>
      <c r="W780" s="59"/>
      <c r="X780" s="84"/>
    </row>
    <row r="781" spans="6:24" ht="15.75" customHeight="1" x14ac:dyDescent="0.2">
      <c r="F781" s="59"/>
      <c r="G781" s="59"/>
      <c r="J781" s="59"/>
      <c r="M781" s="84"/>
      <c r="N781" s="59"/>
      <c r="O781" s="59"/>
      <c r="P781" s="59"/>
      <c r="R781" s="59"/>
      <c r="T781" s="59"/>
      <c r="W781" s="59"/>
      <c r="X781" s="84"/>
    </row>
    <row r="782" spans="6:24" ht="15.75" customHeight="1" x14ac:dyDescent="0.2">
      <c r="F782" s="59"/>
      <c r="G782" s="59"/>
      <c r="J782" s="59"/>
      <c r="M782" s="84"/>
      <c r="N782" s="59"/>
      <c r="O782" s="59"/>
      <c r="P782" s="59"/>
      <c r="R782" s="59"/>
      <c r="T782" s="59"/>
      <c r="W782" s="59"/>
      <c r="X782" s="84"/>
    </row>
    <row r="783" spans="6:24" ht="15.75" customHeight="1" x14ac:dyDescent="0.2">
      <c r="F783" s="59"/>
      <c r="G783" s="59"/>
      <c r="J783" s="59"/>
      <c r="M783" s="84"/>
      <c r="N783" s="59"/>
      <c r="O783" s="59"/>
      <c r="P783" s="59"/>
      <c r="R783" s="59"/>
      <c r="T783" s="59"/>
      <c r="W783" s="59"/>
      <c r="X783" s="84"/>
    </row>
    <row r="784" spans="6:24" ht="15.75" customHeight="1" x14ac:dyDescent="0.2">
      <c r="F784" s="59"/>
      <c r="G784" s="59"/>
      <c r="J784" s="59"/>
      <c r="M784" s="84"/>
      <c r="N784" s="59"/>
      <c r="O784" s="59"/>
      <c r="P784" s="59"/>
      <c r="R784" s="59"/>
      <c r="T784" s="59"/>
      <c r="W784" s="59"/>
      <c r="X784" s="84"/>
    </row>
    <row r="785" spans="6:24" ht="15.75" customHeight="1" x14ac:dyDescent="0.2">
      <c r="F785" s="59"/>
      <c r="G785" s="59"/>
      <c r="J785" s="59"/>
      <c r="M785" s="84"/>
      <c r="N785" s="59"/>
      <c r="O785" s="59"/>
      <c r="P785" s="59"/>
      <c r="R785" s="59"/>
      <c r="T785" s="59"/>
      <c r="W785" s="59"/>
      <c r="X785" s="84"/>
    </row>
    <row r="786" spans="6:24" ht="15.75" customHeight="1" x14ac:dyDescent="0.2">
      <c r="F786" s="59"/>
      <c r="G786" s="59"/>
      <c r="J786" s="59"/>
      <c r="M786" s="84"/>
      <c r="N786" s="59"/>
      <c r="O786" s="59"/>
      <c r="P786" s="59"/>
      <c r="R786" s="59"/>
      <c r="T786" s="59"/>
      <c r="W786" s="59"/>
      <c r="X786" s="84"/>
    </row>
    <row r="787" spans="6:24" ht="15.75" customHeight="1" x14ac:dyDescent="0.2">
      <c r="F787" s="59"/>
      <c r="G787" s="59"/>
      <c r="J787" s="59"/>
      <c r="M787" s="84"/>
      <c r="N787" s="59"/>
      <c r="O787" s="59"/>
      <c r="P787" s="59"/>
      <c r="R787" s="59"/>
      <c r="T787" s="59"/>
      <c r="W787" s="59"/>
      <c r="X787" s="84"/>
    </row>
    <row r="788" spans="6:24" ht="15.75" customHeight="1" x14ac:dyDescent="0.2">
      <c r="F788" s="59"/>
      <c r="G788" s="59"/>
      <c r="J788" s="59"/>
      <c r="M788" s="84"/>
      <c r="N788" s="59"/>
      <c r="O788" s="59"/>
      <c r="P788" s="59"/>
      <c r="R788" s="59"/>
      <c r="T788" s="59"/>
      <c r="W788" s="59"/>
      <c r="X788" s="84"/>
    </row>
    <row r="789" spans="6:24" ht="15.75" customHeight="1" x14ac:dyDescent="0.2">
      <c r="F789" s="59"/>
      <c r="G789" s="59"/>
      <c r="J789" s="59"/>
      <c r="M789" s="84"/>
      <c r="N789" s="59"/>
      <c r="O789" s="59"/>
      <c r="P789" s="59"/>
      <c r="R789" s="59"/>
      <c r="T789" s="59"/>
      <c r="W789" s="59"/>
      <c r="X789" s="84"/>
    </row>
    <row r="790" spans="6:24" ht="15.75" customHeight="1" x14ac:dyDescent="0.2">
      <c r="F790" s="59"/>
      <c r="G790" s="59"/>
      <c r="J790" s="59"/>
      <c r="M790" s="84"/>
      <c r="N790" s="59"/>
      <c r="O790" s="59"/>
      <c r="P790" s="59"/>
      <c r="R790" s="59"/>
      <c r="T790" s="59"/>
      <c r="W790" s="59"/>
      <c r="X790" s="84"/>
    </row>
    <row r="791" spans="6:24" ht="15.75" customHeight="1" x14ac:dyDescent="0.2">
      <c r="F791" s="59"/>
      <c r="G791" s="59"/>
      <c r="J791" s="59"/>
      <c r="M791" s="84"/>
      <c r="N791" s="59"/>
      <c r="O791" s="59"/>
      <c r="P791" s="59"/>
      <c r="R791" s="59"/>
      <c r="T791" s="59"/>
      <c r="W791" s="59"/>
      <c r="X791" s="84"/>
    </row>
    <row r="792" spans="6:24" ht="15.75" customHeight="1" x14ac:dyDescent="0.2">
      <c r="F792" s="59"/>
      <c r="G792" s="59"/>
      <c r="J792" s="59"/>
      <c r="M792" s="84"/>
      <c r="N792" s="59"/>
      <c r="O792" s="59"/>
      <c r="P792" s="59"/>
      <c r="R792" s="59"/>
      <c r="T792" s="59"/>
      <c r="W792" s="59"/>
      <c r="X792" s="84"/>
    </row>
    <row r="793" spans="6:24" ht="15.75" customHeight="1" x14ac:dyDescent="0.2">
      <c r="F793" s="59"/>
      <c r="G793" s="59"/>
      <c r="J793" s="59"/>
      <c r="M793" s="84"/>
      <c r="N793" s="59"/>
      <c r="O793" s="59"/>
      <c r="P793" s="59"/>
      <c r="R793" s="59"/>
      <c r="T793" s="59"/>
      <c r="W793" s="59"/>
      <c r="X793" s="84"/>
    </row>
    <row r="794" spans="6:24" ht="15.75" customHeight="1" x14ac:dyDescent="0.2">
      <c r="F794" s="59"/>
      <c r="G794" s="59"/>
      <c r="J794" s="59"/>
      <c r="M794" s="84"/>
      <c r="N794" s="59"/>
      <c r="O794" s="59"/>
      <c r="P794" s="59"/>
      <c r="R794" s="59"/>
      <c r="T794" s="59"/>
      <c r="W794" s="59"/>
      <c r="X794" s="84"/>
    </row>
    <row r="795" spans="6:24" ht="15.75" customHeight="1" x14ac:dyDescent="0.2">
      <c r="F795" s="59"/>
      <c r="G795" s="59"/>
      <c r="J795" s="59"/>
      <c r="M795" s="84"/>
      <c r="N795" s="59"/>
      <c r="O795" s="59"/>
      <c r="P795" s="59"/>
      <c r="R795" s="59"/>
      <c r="T795" s="59"/>
      <c r="W795" s="59"/>
      <c r="X795" s="84"/>
    </row>
    <row r="796" spans="6:24" ht="15.75" customHeight="1" x14ac:dyDescent="0.2">
      <c r="F796" s="59"/>
      <c r="G796" s="59"/>
      <c r="J796" s="59"/>
      <c r="M796" s="84"/>
      <c r="N796" s="59"/>
      <c r="O796" s="59"/>
      <c r="P796" s="59"/>
      <c r="R796" s="59"/>
      <c r="T796" s="59"/>
      <c r="W796" s="59"/>
      <c r="X796" s="84"/>
    </row>
    <row r="797" spans="6:24" ht="15.75" customHeight="1" x14ac:dyDescent="0.2">
      <c r="F797" s="59"/>
      <c r="G797" s="59"/>
      <c r="J797" s="59"/>
      <c r="M797" s="84"/>
      <c r="N797" s="59"/>
      <c r="O797" s="59"/>
      <c r="P797" s="59"/>
      <c r="R797" s="59"/>
      <c r="T797" s="59"/>
      <c r="W797" s="59"/>
      <c r="X797" s="84"/>
    </row>
    <row r="798" spans="6:24" ht="15.75" customHeight="1" x14ac:dyDescent="0.2">
      <c r="F798" s="59"/>
      <c r="G798" s="59"/>
      <c r="J798" s="59"/>
      <c r="M798" s="84"/>
      <c r="N798" s="59"/>
      <c r="O798" s="59"/>
      <c r="P798" s="59"/>
      <c r="R798" s="59"/>
      <c r="T798" s="59"/>
      <c r="W798" s="59"/>
      <c r="X798" s="84"/>
    </row>
    <row r="799" spans="6:24" ht="15.75" customHeight="1" x14ac:dyDescent="0.2">
      <c r="F799" s="59"/>
      <c r="G799" s="59"/>
      <c r="J799" s="59"/>
      <c r="M799" s="84"/>
      <c r="N799" s="59"/>
      <c r="O799" s="59"/>
      <c r="P799" s="59"/>
      <c r="R799" s="59"/>
      <c r="T799" s="59"/>
      <c r="W799" s="59"/>
      <c r="X799" s="84"/>
    </row>
    <row r="800" spans="6:24" ht="15.75" customHeight="1" x14ac:dyDescent="0.2">
      <c r="F800" s="59"/>
      <c r="G800" s="59"/>
      <c r="J800" s="59"/>
      <c r="M800" s="84"/>
      <c r="N800" s="59"/>
      <c r="O800" s="59"/>
      <c r="P800" s="59"/>
      <c r="R800" s="59"/>
      <c r="T800" s="59"/>
      <c r="W800" s="59"/>
      <c r="X800" s="84"/>
    </row>
    <row r="801" spans="6:24" ht="15.75" customHeight="1" x14ac:dyDescent="0.2">
      <c r="F801" s="59"/>
      <c r="G801" s="59"/>
      <c r="J801" s="59"/>
      <c r="M801" s="84"/>
      <c r="N801" s="59"/>
      <c r="O801" s="59"/>
      <c r="P801" s="59"/>
      <c r="R801" s="59"/>
      <c r="T801" s="59"/>
      <c r="W801" s="59"/>
      <c r="X801" s="84"/>
    </row>
    <row r="802" spans="6:24" ht="15.75" customHeight="1" x14ac:dyDescent="0.2">
      <c r="F802" s="59"/>
      <c r="G802" s="59"/>
      <c r="J802" s="59"/>
      <c r="M802" s="84"/>
      <c r="N802" s="59"/>
      <c r="O802" s="59"/>
      <c r="P802" s="59"/>
      <c r="R802" s="59"/>
      <c r="T802" s="59"/>
      <c r="W802" s="59"/>
      <c r="X802" s="84"/>
    </row>
    <row r="803" spans="6:24" ht="15.75" customHeight="1" x14ac:dyDescent="0.2">
      <c r="F803" s="59"/>
      <c r="G803" s="59"/>
      <c r="J803" s="59"/>
      <c r="M803" s="84"/>
      <c r="N803" s="59"/>
      <c r="O803" s="59"/>
      <c r="P803" s="59"/>
      <c r="R803" s="59"/>
      <c r="T803" s="59"/>
      <c r="W803" s="59"/>
      <c r="X803" s="84"/>
    </row>
    <row r="804" spans="6:24" ht="15.75" customHeight="1" x14ac:dyDescent="0.2">
      <c r="F804" s="59"/>
      <c r="G804" s="59"/>
      <c r="J804" s="59"/>
      <c r="M804" s="84"/>
      <c r="N804" s="59"/>
      <c r="O804" s="59"/>
      <c r="P804" s="59"/>
      <c r="R804" s="59"/>
      <c r="T804" s="59"/>
      <c r="W804" s="59"/>
      <c r="X804" s="84"/>
    </row>
    <row r="805" spans="6:24" ht="15.75" customHeight="1" x14ac:dyDescent="0.2">
      <c r="F805" s="59"/>
      <c r="G805" s="59"/>
      <c r="J805" s="59"/>
      <c r="M805" s="84"/>
      <c r="N805" s="59"/>
      <c r="O805" s="59"/>
      <c r="P805" s="59"/>
      <c r="R805" s="59"/>
      <c r="T805" s="59"/>
      <c r="W805" s="59"/>
      <c r="X805" s="84"/>
    </row>
    <row r="806" spans="6:24" ht="15.75" customHeight="1" x14ac:dyDescent="0.2">
      <c r="F806" s="59"/>
      <c r="G806" s="59"/>
      <c r="J806" s="59"/>
      <c r="M806" s="84"/>
      <c r="N806" s="59"/>
      <c r="O806" s="59"/>
      <c r="P806" s="59"/>
      <c r="R806" s="59"/>
      <c r="T806" s="59"/>
      <c r="W806" s="59"/>
      <c r="X806" s="84"/>
    </row>
    <row r="807" spans="6:24" ht="15.75" customHeight="1" x14ac:dyDescent="0.2">
      <c r="F807" s="59"/>
      <c r="G807" s="59"/>
      <c r="J807" s="59"/>
      <c r="M807" s="84"/>
      <c r="N807" s="59"/>
      <c r="O807" s="59"/>
      <c r="P807" s="59"/>
      <c r="R807" s="59"/>
      <c r="T807" s="59"/>
      <c r="W807" s="59"/>
      <c r="X807" s="84"/>
    </row>
    <row r="808" spans="6:24" ht="15.75" customHeight="1" x14ac:dyDescent="0.2">
      <c r="F808" s="59"/>
      <c r="G808" s="59"/>
      <c r="J808" s="59"/>
      <c r="M808" s="84"/>
      <c r="N808" s="59"/>
      <c r="O808" s="59"/>
      <c r="P808" s="59"/>
      <c r="R808" s="59"/>
      <c r="T808" s="59"/>
      <c r="W808" s="59"/>
      <c r="X808" s="84"/>
    </row>
    <row r="809" spans="6:24" ht="15.75" customHeight="1" x14ac:dyDescent="0.2">
      <c r="F809" s="59"/>
      <c r="G809" s="59"/>
      <c r="J809" s="59"/>
      <c r="M809" s="84"/>
      <c r="N809" s="59"/>
      <c r="O809" s="59"/>
      <c r="P809" s="59"/>
      <c r="R809" s="59"/>
      <c r="T809" s="59"/>
      <c r="W809" s="59"/>
      <c r="X809" s="84"/>
    </row>
    <row r="810" spans="6:24" ht="15.75" customHeight="1" x14ac:dyDescent="0.2">
      <c r="F810" s="59"/>
      <c r="G810" s="59"/>
      <c r="J810" s="59"/>
      <c r="M810" s="84"/>
      <c r="N810" s="59"/>
      <c r="O810" s="59"/>
      <c r="P810" s="59"/>
      <c r="R810" s="59"/>
      <c r="T810" s="59"/>
      <c r="W810" s="59"/>
      <c r="X810" s="84"/>
    </row>
    <row r="811" spans="6:24" ht="15.75" customHeight="1" x14ac:dyDescent="0.2">
      <c r="F811" s="59"/>
      <c r="G811" s="59"/>
      <c r="J811" s="59"/>
      <c r="M811" s="84"/>
      <c r="N811" s="59"/>
      <c r="O811" s="59"/>
      <c r="P811" s="59"/>
      <c r="R811" s="59"/>
      <c r="T811" s="59"/>
      <c r="W811" s="59"/>
      <c r="X811" s="84"/>
    </row>
    <row r="812" spans="6:24" ht="15.75" customHeight="1" x14ac:dyDescent="0.2">
      <c r="F812" s="59"/>
      <c r="G812" s="59"/>
      <c r="J812" s="59"/>
      <c r="M812" s="84"/>
      <c r="N812" s="59"/>
      <c r="O812" s="59"/>
      <c r="P812" s="59"/>
      <c r="R812" s="59"/>
      <c r="T812" s="59"/>
      <c r="W812" s="59"/>
      <c r="X812" s="84"/>
    </row>
    <row r="813" spans="6:24" ht="15.75" customHeight="1" x14ac:dyDescent="0.2">
      <c r="F813" s="59"/>
      <c r="G813" s="59"/>
      <c r="J813" s="59"/>
      <c r="M813" s="84"/>
      <c r="N813" s="59"/>
      <c r="O813" s="59"/>
      <c r="P813" s="59"/>
      <c r="R813" s="59"/>
      <c r="T813" s="59"/>
      <c r="W813" s="59"/>
      <c r="X813" s="84"/>
    </row>
    <row r="814" spans="6:24" ht="15.75" customHeight="1" x14ac:dyDescent="0.2">
      <c r="F814" s="59"/>
      <c r="G814" s="59"/>
      <c r="J814" s="59"/>
      <c r="M814" s="84"/>
      <c r="N814" s="59"/>
      <c r="O814" s="59"/>
      <c r="P814" s="59"/>
      <c r="R814" s="59"/>
      <c r="T814" s="59"/>
      <c r="W814" s="59"/>
      <c r="X814" s="84"/>
    </row>
    <row r="815" spans="6:24" ht="15.75" customHeight="1" x14ac:dyDescent="0.2">
      <c r="F815" s="59"/>
      <c r="G815" s="59"/>
      <c r="J815" s="59"/>
      <c r="M815" s="84"/>
      <c r="N815" s="59"/>
      <c r="O815" s="59"/>
      <c r="P815" s="59"/>
      <c r="R815" s="59"/>
      <c r="T815" s="59"/>
      <c r="W815" s="59"/>
      <c r="X815" s="84"/>
    </row>
    <row r="816" spans="6:24" ht="15.75" customHeight="1" x14ac:dyDescent="0.2">
      <c r="F816" s="59"/>
      <c r="G816" s="59"/>
      <c r="J816" s="59"/>
      <c r="M816" s="84"/>
      <c r="N816" s="59"/>
      <c r="O816" s="59"/>
      <c r="P816" s="59"/>
      <c r="R816" s="59"/>
      <c r="T816" s="59"/>
      <c r="W816" s="59"/>
      <c r="X816" s="84"/>
    </row>
    <row r="817" spans="6:24" ht="15.75" customHeight="1" x14ac:dyDescent="0.2">
      <c r="F817" s="59"/>
      <c r="G817" s="59"/>
      <c r="J817" s="59"/>
      <c r="M817" s="84"/>
      <c r="N817" s="59"/>
      <c r="O817" s="59"/>
      <c r="P817" s="59"/>
      <c r="R817" s="59"/>
      <c r="T817" s="59"/>
      <c r="W817" s="59"/>
      <c r="X817" s="84"/>
    </row>
    <row r="818" spans="6:24" ht="15.75" customHeight="1" x14ac:dyDescent="0.2">
      <c r="F818" s="59"/>
      <c r="G818" s="59"/>
      <c r="J818" s="59"/>
      <c r="M818" s="84"/>
      <c r="N818" s="59"/>
      <c r="O818" s="59"/>
      <c r="P818" s="59"/>
      <c r="R818" s="59"/>
      <c r="T818" s="59"/>
      <c r="W818" s="59"/>
      <c r="X818" s="84"/>
    </row>
    <row r="819" spans="6:24" ht="15.75" customHeight="1" x14ac:dyDescent="0.2">
      <c r="F819" s="59"/>
      <c r="G819" s="59"/>
      <c r="J819" s="59"/>
      <c r="M819" s="84"/>
      <c r="N819" s="59"/>
      <c r="O819" s="59"/>
      <c r="P819" s="59"/>
      <c r="R819" s="59"/>
      <c r="T819" s="59"/>
      <c r="W819" s="59"/>
      <c r="X819" s="84"/>
    </row>
    <row r="820" spans="6:24" ht="15.75" customHeight="1" x14ac:dyDescent="0.2">
      <c r="F820" s="59"/>
      <c r="G820" s="59"/>
      <c r="J820" s="59"/>
      <c r="M820" s="84"/>
      <c r="N820" s="59"/>
      <c r="O820" s="59"/>
      <c r="P820" s="59"/>
      <c r="R820" s="59"/>
      <c r="T820" s="59"/>
      <c r="W820" s="59"/>
      <c r="X820" s="84"/>
    </row>
    <row r="821" spans="6:24" ht="15.75" customHeight="1" x14ac:dyDescent="0.2">
      <c r="F821" s="59"/>
      <c r="G821" s="59"/>
      <c r="J821" s="59"/>
      <c r="M821" s="84"/>
      <c r="N821" s="59"/>
      <c r="O821" s="59"/>
      <c r="P821" s="59"/>
      <c r="R821" s="59"/>
      <c r="T821" s="59"/>
      <c r="W821" s="59"/>
      <c r="X821" s="84"/>
    </row>
    <row r="822" spans="6:24" ht="15.75" customHeight="1" x14ac:dyDescent="0.2">
      <c r="F822" s="59"/>
      <c r="G822" s="59"/>
      <c r="J822" s="59"/>
      <c r="M822" s="84"/>
      <c r="N822" s="59"/>
      <c r="O822" s="59"/>
      <c r="P822" s="59"/>
      <c r="R822" s="59"/>
      <c r="T822" s="59"/>
      <c r="W822" s="59"/>
      <c r="X822" s="84"/>
    </row>
    <row r="823" spans="6:24" ht="15.75" customHeight="1" x14ac:dyDescent="0.2">
      <c r="F823" s="59"/>
      <c r="G823" s="59"/>
      <c r="J823" s="59"/>
      <c r="M823" s="84"/>
      <c r="N823" s="59"/>
      <c r="O823" s="59"/>
      <c r="P823" s="59"/>
      <c r="R823" s="59"/>
      <c r="T823" s="59"/>
      <c r="W823" s="59"/>
      <c r="X823" s="84"/>
    </row>
    <row r="824" spans="6:24" ht="15.75" customHeight="1" x14ac:dyDescent="0.2">
      <c r="F824" s="59"/>
      <c r="G824" s="59"/>
      <c r="J824" s="59"/>
      <c r="M824" s="84"/>
      <c r="N824" s="59"/>
      <c r="O824" s="59"/>
      <c r="P824" s="59"/>
      <c r="R824" s="59"/>
      <c r="T824" s="59"/>
      <c r="W824" s="59"/>
      <c r="X824" s="84"/>
    </row>
    <row r="825" spans="6:24" ht="15.75" customHeight="1" x14ac:dyDescent="0.2">
      <c r="F825" s="59"/>
      <c r="G825" s="59"/>
      <c r="J825" s="59"/>
      <c r="M825" s="84"/>
      <c r="N825" s="59"/>
      <c r="O825" s="59"/>
      <c r="P825" s="59"/>
      <c r="R825" s="59"/>
      <c r="T825" s="59"/>
      <c r="W825" s="59"/>
      <c r="X825" s="84"/>
    </row>
    <row r="826" spans="6:24" ht="15.75" customHeight="1" x14ac:dyDescent="0.2">
      <c r="F826" s="59"/>
      <c r="G826" s="59"/>
      <c r="J826" s="59"/>
      <c r="M826" s="84"/>
      <c r="N826" s="59"/>
      <c r="O826" s="59"/>
      <c r="P826" s="59"/>
      <c r="R826" s="59"/>
      <c r="T826" s="59"/>
      <c r="W826" s="59"/>
      <c r="X826" s="84"/>
    </row>
    <row r="827" spans="6:24" ht="15.75" customHeight="1" x14ac:dyDescent="0.2">
      <c r="F827" s="59"/>
      <c r="G827" s="59"/>
      <c r="J827" s="59"/>
      <c r="M827" s="84"/>
      <c r="N827" s="59"/>
      <c r="O827" s="59"/>
      <c r="P827" s="59"/>
      <c r="R827" s="59"/>
      <c r="T827" s="59"/>
      <c r="W827" s="59"/>
      <c r="X827" s="84"/>
    </row>
    <row r="828" spans="6:24" ht="15.75" customHeight="1" x14ac:dyDescent="0.2">
      <c r="F828" s="59"/>
      <c r="G828" s="59"/>
      <c r="J828" s="59"/>
      <c r="M828" s="84"/>
      <c r="N828" s="59"/>
      <c r="O828" s="59"/>
      <c r="P828" s="59"/>
      <c r="R828" s="59"/>
      <c r="T828" s="59"/>
      <c r="W828" s="59"/>
      <c r="X828" s="84"/>
    </row>
    <row r="829" spans="6:24" ht="15.75" customHeight="1" x14ac:dyDescent="0.2">
      <c r="F829" s="59"/>
      <c r="G829" s="59"/>
      <c r="J829" s="59"/>
      <c r="M829" s="84"/>
      <c r="N829" s="59"/>
      <c r="O829" s="59"/>
      <c r="P829" s="59"/>
      <c r="R829" s="59"/>
      <c r="T829" s="59"/>
      <c r="W829" s="59"/>
      <c r="X829" s="84"/>
    </row>
    <row r="830" spans="6:24" ht="15.75" customHeight="1" x14ac:dyDescent="0.2">
      <c r="F830" s="59"/>
      <c r="G830" s="59"/>
      <c r="J830" s="59"/>
      <c r="M830" s="84"/>
      <c r="N830" s="59"/>
      <c r="O830" s="59"/>
      <c r="P830" s="59"/>
      <c r="R830" s="59"/>
      <c r="T830" s="59"/>
      <c r="W830" s="59"/>
      <c r="X830" s="84"/>
    </row>
    <row r="831" spans="6:24" ht="15.75" customHeight="1" x14ac:dyDescent="0.2">
      <c r="F831" s="59"/>
      <c r="G831" s="59"/>
      <c r="J831" s="59"/>
      <c r="M831" s="84"/>
      <c r="N831" s="59"/>
      <c r="O831" s="59"/>
      <c r="P831" s="59"/>
      <c r="R831" s="59"/>
      <c r="T831" s="59"/>
      <c r="W831" s="59"/>
      <c r="X831" s="84"/>
    </row>
    <row r="832" spans="6:24" ht="15.75" customHeight="1" x14ac:dyDescent="0.2">
      <c r="F832" s="59"/>
      <c r="G832" s="59"/>
      <c r="J832" s="59"/>
      <c r="M832" s="84"/>
      <c r="N832" s="59"/>
      <c r="O832" s="59"/>
      <c r="P832" s="59"/>
      <c r="R832" s="59"/>
      <c r="T832" s="59"/>
      <c r="W832" s="59"/>
      <c r="X832" s="84"/>
    </row>
    <row r="833" spans="6:24" ht="15.75" customHeight="1" x14ac:dyDescent="0.2">
      <c r="F833" s="59"/>
      <c r="G833" s="59"/>
      <c r="J833" s="59"/>
      <c r="M833" s="84"/>
      <c r="N833" s="59"/>
      <c r="O833" s="59"/>
      <c r="P833" s="59"/>
      <c r="R833" s="59"/>
      <c r="T833" s="59"/>
      <c r="W833" s="59"/>
      <c r="X833" s="84"/>
    </row>
    <row r="834" spans="6:24" ht="15.75" customHeight="1" x14ac:dyDescent="0.2">
      <c r="F834" s="59"/>
      <c r="G834" s="59"/>
      <c r="J834" s="59"/>
      <c r="M834" s="84"/>
      <c r="N834" s="59"/>
      <c r="O834" s="59"/>
      <c r="P834" s="59"/>
      <c r="R834" s="59"/>
      <c r="T834" s="59"/>
      <c r="W834" s="59"/>
      <c r="X834" s="84"/>
    </row>
    <row r="835" spans="6:24" ht="15.75" customHeight="1" x14ac:dyDescent="0.2">
      <c r="F835" s="59"/>
      <c r="G835" s="59"/>
      <c r="J835" s="59"/>
      <c r="M835" s="84"/>
      <c r="N835" s="59"/>
      <c r="O835" s="59"/>
      <c r="P835" s="59"/>
      <c r="R835" s="59"/>
      <c r="T835" s="59"/>
      <c r="W835" s="59"/>
      <c r="X835" s="84"/>
    </row>
    <row r="836" spans="6:24" ht="15.75" customHeight="1" x14ac:dyDescent="0.2">
      <c r="F836" s="59"/>
      <c r="G836" s="59"/>
      <c r="J836" s="59"/>
      <c r="M836" s="84"/>
      <c r="N836" s="59"/>
      <c r="O836" s="59"/>
      <c r="P836" s="59"/>
      <c r="R836" s="59"/>
      <c r="T836" s="59"/>
      <c r="W836" s="59"/>
      <c r="X836" s="84"/>
    </row>
    <row r="837" spans="6:24" ht="15.75" customHeight="1" x14ac:dyDescent="0.2">
      <c r="F837" s="59"/>
      <c r="G837" s="59"/>
      <c r="J837" s="59"/>
      <c r="M837" s="84"/>
      <c r="N837" s="59"/>
      <c r="O837" s="59"/>
      <c r="P837" s="59"/>
      <c r="R837" s="59"/>
      <c r="T837" s="59"/>
      <c r="W837" s="59"/>
      <c r="X837" s="84"/>
    </row>
    <row r="838" spans="6:24" ht="15.75" customHeight="1" x14ac:dyDescent="0.2">
      <c r="F838" s="59"/>
      <c r="G838" s="59"/>
      <c r="J838" s="59"/>
      <c r="M838" s="84"/>
      <c r="N838" s="59"/>
      <c r="O838" s="59"/>
      <c r="P838" s="59"/>
      <c r="R838" s="59"/>
      <c r="T838" s="59"/>
      <c r="W838" s="59"/>
      <c r="X838" s="84"/>
    </row>
    <row r="839" spans="6:24" ht="15.75" customHeight="1" x14ac:dyDescent="0.2">
      <c r="F839" s="59"/>
      <c r="G839" s="59"/>
      <c r="J839" s="59"/>
      <c r="M839" s="84"/>
      <c r="N839" s="59"/>
      <c r="O839" s="59"/>
      <c r="P839" s="59"/>
      <c r="R839" s="59"/>
      <c r="T839" s="59"/>
      <c r="W839" s="59"/>
      <c r="X839" s="84"/>
    </row>
    <row r="840" spans="6:24" ht="15.75" customHeight="1" x14ac:dyDescent="0.2">
      <c r="F840" s="59"/>
      <c r="G840" s="59"/>
      <c r="J840" s="59"/>
      <c r="M840" s="84"/>
      <c r="N840" s="59"/>
      <c r="O840" s="59"/>
      <c r="P840" s="59"/>
      <c r="R840" s="59"/>
      <c r="T840" s="59"/>
      <c r="W840" s="59"/>
      <c r="X840" s="84"/>
    </row>
    <row r="841" spans="6:24" ht="15.75" customHeight="1" x14ac:dyDescent="0.2">
      <c r="F841" s="59"/>
      <c r="G841" s="59"/>
      <c r="J841" s="59"/>
      <c r="M841" s="84"/>
      <c r="N841" s="59"/>
      <c r="O841" s="59"/>
      <c r="P841" s="59"/>
      <c r="R841" s="59"/>
      <c r="T841" s="59"/>
      <c r="W841" s="59"/>
      <c r="X841" s="84"/>
    </row>
    <row r="842" spans="6:24" ht="15.75" customHeight="1" x14ac:dyDescent="0.2">
      <c r="F842" s="59"/>
      <c r="G842" s="59"/>
      <c r="J842" s="59"/>
      <c r="M842" s="84"/>
      <c r="N842" s="59"/>
      <c r="O842" s="59"/>
      <c r="P842" s="59"/>
      <c r="R842" s="59"/>
      <c r="T842" s="59"/>
      <c r="W842" s="59"/>
      <c r="X842" s="84"/>
    </row>
    <row r="843" spans="6:24" ht="15.75" customHeight="1" x14ac:dyDescent="0.2">
      <c r="F843" s="59"/>
      <c r="G843" s="59"/>
      <c r="J843" s="59"/>
      <c r="M843" s="84"/>
      <c r="N843" s="59"/>
      <c r="O843" s="59"/>
      <c r="P843" s="59"/>
      <c r="R843" s="59"/>
      <c r="T843" s="59"/>
      <c r="W843" s="59"/>
      <c r="X843" s="84"/>
    </row>
    <row r="844" spans="6:24" ht="15.75" customHeight="1" x14ac:dyDescent="0.2">
      <c r="F844" s="59"/>
      <c r="G844" s="59"/>
      <c r="J844" s="59"/>
      <c r="M844" s="84"/>
      <c r="N844" s="59"/>
      <c r="O844" s="59"/>
      <c r="P844" s="59"/>
      <c r="R844" s="59"/>
      <c r="T844" s="59"/>
      <c r="W844" s="59"/>
      <c r="X844" s="84"/>
    </row>
    <row r="845" spans="6:24" ht="15.75" customHeight="1" x14ac:dyDescent="0.2">
      <c r="F845" s="59"/>
      <c r="G845" s="59"/>
      <c r="J845" s="59"/>
      <c r="M845" s="84"/>
      <c r="N845" s="59"/>
      <c r="O845" s="59"/>
      <c r="P845" s="59"/>
      <c r="R845" s="59"/>
      <c r="T845" s="59"/>
      <c r="W845" s="59"/>
      <c r="X845" s="84"/>
    </row>
    <row r="846" spans="6:24" ht="15.75" customHeight="1" x14ac:dyDescent="0.2">
      <c r="F846" s="59"/>
      <c r="G846" s="59"/>
      <c r="J846" s="59"/>
      <c r="M846" s="84"/>
      <c r="N846" s="59"/>
      <c r="O846" s="59"/>
      <c r="P846" s="59"/>
      <c r="R846" s="59"/>
      <c r="T846" s="59"/>
      <c r="W846" s="59"/>
      <c r="X846" s="84"/>
    </row>
    <row r="847" spans="6:24" ht="15.75" customHeight="1" x14ac:dyDescent="0.2">
      <c r="F847" s="59"/>
      <c r="G847" s="59"/>
      <c r="J847" s="59"/>
      <c r="M847" s="84"/>
      <c r="N847" s="59"/>
      <c r="O847" s="59"/>
      <c r="P847" s="59"/>
      <c r="R847" s="59"/>
      <c r="T847" s="59"/>
      <c r="W847" s="59"/>
      <c r="X847" s="84"/>
    </row>
    <row r="848" spans="6:24" ht="15.75" customHeight="1" x14ac:dyDescent="0.2">
      <c r="F848" s="59"/>
      <c r="G848" s="59"/>
      <c r="J848" s="59"/>
      <c r="M848" s="84"/>
      <c r="N848" s="59"/>
      <c r="O848" s="59"/>
      <c r="P848" s="59"/>
      <c r="R848" s="59"/>
      <c r="T848" s="59"/>
      <c r="W848" s="59"/>
      <c r="X848" s="84"/>
    </row>
    <row r="849" spans="6:24" ht="15.75" customHeight="1" x14ac:dyDescent="0.2">
      <c r="F849" s="59"/>
      <c r="G849" s="59"/>
      <c r="J849" s="59"/>
      <c r="M849" s="84"/>
      <c r="N849" s="59"/>
      <c r="O849" s="59"/>
      <c r="P849" s="59"/>
      <c r="R849" s="59"/>
      <c r="T849" s="59"/>
      <c r="W849" s="59"/>
      <c r="X849" s="84"/>
    </row>
    <row r="850" spans="6:24" ht="15.75" customHeight="1" x14ac:dyDescent="0.2">
      <c r="F850" s="59"/>
      <c r="G850" s="59"/>
      <c r="J850" s="59"/>
      <c r="M850" s="84"/>
      <c r="N850" s="59"/>
      <c r="O850" s="59"/>
      <c r="P850" s="59"/>
      <c r="R850" s="59"/>
      <c r="T850" s="59"/>
      <c r="W850" s="59"/>
      <c r="X850" s="84"/>
    </row>
    <row r="851" spans="6:24" ht="15.75" customHeight="1" x14ac:dyDescent="0.2">
      <c r="F851" s="59"/>
      <c r="G851" s="59"/>
      <c r="J851" s="59"/>
      <c r="M851" s="84"/>
      <c r="N851" s="59"/>
      <c r="O851" s="59"/>
      <c r="P851" s="59"/>
      <c r="R851" s="59"/>
      <c r="T851" s="59"/>
      <c r="W851" s="59"/>
      <c r="X851" s="84"/>
    </row>
    <row r="852" spans="6:24" ht="15.75" customHeight="1" x14ac:dyDescent="0.2">
      <c r="F852" s="59"/>
      <c r="G852" s="59"/>
      <c r="J852" s="59"/>
      <c r="M852" s="84"/>
      <c r="N852" s="59"/>
      <c r="O852" s="59"/>
      <c r="P852" s="59"/>
      <c r="R852" s="59"/>
      <c r="T852" s="59"/>
      <c r="W852" s="59"/>
      <c r="X852" s="84"/>
    </row>
    <row r="853" spans="6:24" ht="15.75" customHeight="1" x14ac:dyDescent="0.2">
      <c r="F853" s="59"/>
      <c r="G853" s="59"/>
      <c r="J853" s="59"/>
      <c r="M853" s="84"/>
      <c r="N853" s="59"/>
      <c r="O853" s="59"/>
      <c r="P853" s="59"/>
      <c r="R853" s="59"/>
      <c r="T853" s="59"/>
      <c r="W853" s="59"/>
      <c r="X853" s="84"/>
    </row>
    <row r="854" spans="6:24" ht="15.75" customHeight="1" x14ac:dyDescent="0.2">
      <c r="F854" s="59"/>
      <c r="G854" s="59"/>
      <c r="J854" s="59"/>
      <c r="M854" s="84"/>
      <c r="N854" s="59"/>
      <c r="O854" s="59"/>
      <c r="P854" s="59"/>
      <c r="R854" s="59"/>
      <c r="T854" s="59"/>
      <c r="W854" s="59"/>
      <c r="X854" s="84"/>
    </row>
    <row r="855" spans="6:24" ht="15.75" customHeight="1" x14ac:dyDescent="0.2">
      <c r="F855" s="59"/>
      <c r="G855" s="59"/>
      <c r="J855" s="59"/>
      <c r="M855" s="84"/>
      <c r="N855" s="59"/>
      <c r="O855" s="59"/>
      <c r="P855" s="59"/>
      <c r="R855" s="59"/>
      <c r="T855" s="59"/>
      <c r="W855" s="59"/>
      <c r="X855" s="84"/>
    </row>
    <row r="856" spans="6:24" ht="15.75" customHeight="1" x14ac:dyDescent="0.2">
      <c r="F856" s="59"/>
      <c r="G856" s="59"/>
      <c r="J856" s="59"/>
      <c r="M856" s="84"/>
      <c r="N856" s="59"/>
      <c r="O856" s="59"/>
      <c r="P856" s="59"/>
      <c r="R856" s="59"/>
      <c r="T856" s="59"/>
      <c r="W856" s="59"/>
      <c r="X856" s="84"/>
    </row>
    <row r="857" spans="6:24" ht="15.75" customHeight="1" x14ac:dyDescent="0.2">
      <c r="F857" s="59"/>
      <c r="G857" s="59"/>
      <c r="J857" s="59"/>
      <c r="M857" s="84"/>
      <c r="N857" s="59"/>
      <c r="O857" s="59"/>
      <c r="P857" s="59"/>
      <c r="R857" s="59"/>
      <c r="T857" s="59"/>
      <c r="W857" s="59"/>
      <c r="X857" s="84"/>
    </row>
    <row r="858" spans="6:24" ht="15.75" customHeight="1" x14ac:dyDescent="0.2">
      <c r="F858" s="59"/>
      <c r="G858" s="59"/>
      <c r="J858" s="59"/>
      <c r="M858" s="84"/>
      <c r="N858" s="59"/>
      <c r="O858" s="59"/>
      <c r="P858" s="59"/>
      <c r="R858" s="59"/>
      <c r="T858" s="59"/>
      <c r="W858" s="59"/>
      <c r="X858" s="84"/>
    </row>
    <row r="859" spans="6:24" ht="15.75" customHeight="1" x14ac:dyDescent="0.2">
      <c r="F859" s="59"/>
      <c r="G859" s="59"/>
      <c r="J859" s="59"/>
      <c r="M859" s="84"/>
      <c r="N859" s="59"/>
      <c r="O859" s="59"/>
      <c r="P859" s="59"/>
      <c r="R859" s="59"/>
      <c r="T859" s="59"/>
      <c r="W859" s="59"/>
      <c r="X859" s="84"/>
    </row>
    <row r="860" spans="6:24" ht="15.75" customHeight="1" x14ac:dyDescent="0.2">
      <c r="F860" s="59"/>
      <c r="G860" s="59"/>
      <c r="J860" s="59"/>
      <c r="M860" s="84"/>
      <c r="N860" s="59"/>
      <c r="O860" s="59"/>
      <c r="P860" s="59"/>
      <c r="R860" s="59"/>
      <c r="T860" s="59"/>
      <c r="W860" s="59"/>
      <c r="X860" s="84"/>
    </row>
    <row r="861" spans="6:24" ht="15.75" customHeight="1" x14ac:dyDescent="0.2">
      <c r="F861" s="59"/>
      <c r="G861" s="59"/>
      <c r="J861" s="59"/>
      <c r="M861" s="84"/>
      <c r="N861" s="59"/>
      <c r="O861" s="59"/>
      <c r="P861" s="59"/>
      <c r="R861" s="59"/>
      <c r="T861" s="59"/>
      <c r="W861" s="59"/>
      <c r="X861" s="84"/>
    </row>
    <row r="862" spans="6:24" ht="15.75" customHeight="1" x14ac:dyDescent="0.2">
      <c r="F862" s="59"/>
      <c r="G862" s="59"/>
      <c r="J862" s="59"/>
      <c r="M862" s="84"/>
      <c r="N862" s="59"/>
      <c r="O862" s="59"/>
      <c r="P862" s="59"/>
      <c r="R862" s="59"/>
      <c r="T862" s="59"/>
      <c r="W862" s="59"/>
      <c r="X862" s="84"/>
    </row>
    <row r="863" spans="6:24" ht="15.75" customHeight="1" x14ac:dyDescent="0.2">
      <c r="F863" s="59"/>
      <c r="G863" s="59"/>
      <c r="J863" s="59"/>
      <c r="M863" s="84"/>
      <c r="N863" s="59"/>
      <c r="O863" s="59"/>
      <c r="P863" s="59"/>
      <c r="R863" s="59"/>
      <c r="T863" s="59"/>
      <c r="W863" s="59"/>
      <c r="X863" s="84"/>
    </row>
    <row r="864" spans="6:24" ht="15.75" customHeight="1" x14ac:dyDescent="0.2">
      <c r="F864" s="59"/>
      <c r="G864" s="59"/>
      <c r="J864" s="59"/>
      <c r="M864" s="84"/>
      <c r="N864" s="59"/>
      <c r="O864" s="59"/>
      <c r="P864" s="59"/>
      <c r="R864" s="59"/>
      <c r="T864" s="59"/>
      <c r="W864" s="59"/>
      <c r="X864" s="84"/>
    </row>
    <row r="865" spans="6:24" ht="15.75" customHeight="1" x14ac:dyDescent="0.2">
      <c r="F865" s="59"/>
      <c r="G865" s="59"/>
      <c r="J865" s="59"/>
      <c r="M865" s="84"/>
      <c r="N865" s="59"/>
      <c r="O865" s="59"/>
      <c r="P865" s="59"/>
      <c r="R865" s="59"/>
      <c r="T865" s="59"/>
      <c r="W865" s="59"/>
      <c r="X865" s="84"/>
    </row>
    <row r="866" spans="6:24" ht="15.75" customHeight="1" x14ac:dyDescent="0.2">
      <c r="F866" s="59"/>
      <c r="G866" s="59"/>
      <c r="J866" s="59"/>
      <c r="M866" s="84"/>
      <c r="N866" s="59"/>
      <c r="O866" s="59"/>
      <c r="P866" s="59"/>
      <c r="R866" s="59"/>
      <c r="T866" s="59"/>
      <c r="W866" s="59"/>
      <c r="X866" s="84"/>
    </row>
    <row r="867" spans="6:24" ht="15.75" customHeight="1" x14ac:dyDescent="0.2">
      <c r="F867" s="59"/>
      <c r="G867" s="59"/>
      <c r="J867" s="59"/>
      <c r="M867" s="84"/>
      <c r="N867" s="59"/>
      <c r="O867" s="59"/>
      <c r="P867" s="59"/>
      <c r="R867" s="59"/>
      <c r="T867" s="59"/>
      <c r="W867" s="59"/>
      <c r="X867" s="84"/>
    </row>
    <row r="868" spans="6:24" ht="15.75" customHeight="1" x14ac:dyDescent="0.2">
      <c r="F868" s="59"/>
      <c r="G868" s="59"/>
      <c r="J868" s="59"/>
      <c r="M868" s="84"/>
      <c r="N868" s="59"/>
      <c r="O868" s="59"/>
      <c r="P868" s="59"/>
      <c r="R868" s="59"/>
      <c r="T868" s="59"/>
      <c r="W868" s="59"/>
      <c r="X868" s="84"/>
    </row>
    <row r="869" spans="6:24" ht="15.75" customHeight="1" x14ac:dyDescent="0.2">
      <c r="F869" s="59"/>
      <c r="G869" s="59"/>
      <c r="J869" s="59"/>
      <c r="M869" s="84"/>
      <c r="N869" s="59"/>
      <c r="O869" s="59"/>
      <c r="P869" s="59"/>
      <c r="R869" s="59"/>
      <c r="T869" s="59"/>
      <c r="W869" s="59"/>
      <c r="X869" s="84"/>
    </row>
    <row r="870" spans="6:24" ht="15.75" customHeight="1" x14ac:dyDescent="0.2">
      <c r="F870" s="59"/>
      <c r="G870" s="59"/>
      <c r="J870" s="59"/>
      <c r="M870" s="84"/>
      <c r="N870" s="59"/>
      <c r="O870" s="59"/>
      <c r="P870" s="59"/>
      <c r="R870" s="59"/>
      <c r="T870" s="59"/>
      <c r="W870" s="59"/>
      <c r="X870" s="84"/>
    </row>
    <row r="871" spans="6:24" ht="15.75" customHeight="1" x14ac:dyDescent="0.2">
      <c r="F871" s="59"/>
      <c r="G871" s="59"/>
      <c r="J871" s="59"/>
      <c r="M871" s="84"/>
      <c r="N871" s="59"/>
      <c r="O871" s="59"/>
      <c r="P871" s="59"/>
      <c r="R871" s="59"/>
      <c r="T871" s="59"/>
      <c r="W871" s="59"/>
      <c r="X871" s="84"/>
    </row>
    <row r="872" spans="6:24" ht="15.75" customHeight="1" x14ac:dyDescent="0.2">
      <c r="F872" s="59"/>
      <c r="G872" s="59"/>
      <c r="J872" s="59"/>
      <c r="M872" s="84"/>
      <c r="N872" s="59"/>
      <c r="O872" s="59"/>
      <c r="P872" s="59"/>
      <c r="R872" s="59"/>
      <c r="T872" s="59"/>
      <c r="W872" s="59"/>
      <c r="X872" s="84"/>
    </row>
    <row r="873" spans="6:24" ht="15.75" customHeight="1" x14ac:dyDescent="0.2">
      <c r="F873" s="59"/>
      <c r="G873" s="59"/>
      <c r="J873" s="59"/>
      <c r="M873" s="84"/>
      <c r="N873" s="59"/>
      <c r="O873" s="59"/>
      <c r="P873" s="59"/>
      <c r="R873" s="59"/>
      <c r="T873" s="59"/>
      <c r="W873" s="59"/>
      <c r="X873" s="84"/>
    </row>
    <row r="874" spans="6:24" ht="15.75" customHeight="1" x14ac:dyDescent="0.2">
      <c r="F874" s="59"/>
      <c r="G874" s="59"/>
      <c r="J874" s="59"/>
      <c r="M874" s="84"/>
      <c r="N874" s="59"/>
      <c r="O874" s="59"/>
      <c r="P874" s="59"/>
      <c r="R874" s="59"/>
      <c r="T874" s="59"/>
      <c r="W874" s="59"/>
      <c r="X874" s="84"/>
    </row>
    <row r="875" spans="6:24" ht="15.75" customHeight="1" x14ac:dyDescent="0.2">
      <c r="F875" s="59"/>
      <c r="G875" s="59"/>
      <c r="J875" s="59"/>
      <c r="M875" s="84"/>
      <c r="N875" s="59"/>
      <c r="O875" s="59"/>
      <c r="P875" s="59"/>
      <c r="R875" s="59"/>
      <c r="T875" s="59"/>
      <c r="W875" s="59"/>
      <c r="X875" s="84"/>
    </row>
    <row r="876" spans="6:24" ht="15.75" customHeight="1" x14ac:dyDescent="0.2">
      <c r="F876" s="59"/>
      <c r="G876" s="59"/>
      <c r="J876" s="59"/>
      <c r="M876" s="84"/>
      <c r="N876" s="59"/>
      <c r="O876" s="59"/>
      <c r="P876" s="59"/>
      <c r="R876" s="59"/>
      <c r="T876" s="59"/>
      <c r="W876" s="59"/>
      <c r="X876" s="84"/>
    </row>
    <row r="877" spans="6:24" ht="15.75" customHeight="1" x14ac:dyDescent="0.2">
      <c r="F877" s="59"/>
      <c r="G877" s="59"/>
      <c r="J877" s="59"/>
      <c r="M877" s="84"/>
      <c r="N877" s="59"/>
      <c r="O877" s="59"/>
      <c r="P877" s="59"/>
      <c r="R877" s="59"/>
      <c r="T877" s="59"/>
      <c r="W877" s="59"/>
      <c r="X877" s="84"/>
    </row>
    <row r="878" spans="6:24" ht="15.75" customHeight="1" x14ac:dyDescent="0.2">
      <c r="F878" s="59"/>
      <c r="G878" s="59"/>
      <c r="J878" s="59"/>
      <c r="M878" s="84"/>
      <c r="N878" s="59"/>
      <c r="O878" s="59"/>
      <c r="P878" s="59"/>
      <c r="R878" s="59"/>
      <c r="T878" s="59"/>
      <c r="W878" s="59"/>
      <c r="X878" s="84"/>
    </row>
    <row r="879" spans="6:24" ht="15.75" customHeight="1" x14ac:dyDescent="0.2">
      <c r="F879" s="59"/>
      <c r="G879" s="59"/>
      <c r="J879" s="59"/>
      <c r="M879" s="84"/>
      <c r="N879" s="59"/>
      <c r="O879" s="59"/>
      <c r="P879" s="59"/>
      <c r="R879" s="59"/>
      <c r="T879" s="59"/>
      <c r="W879" s="59"/>
      <c r="X879" s="84"/>
    </row>
    <row r="880" spans="6:24" ht="15.75" customHeight="1" x14ac:dyDescent="0.2">
      <c r="F880" s="59"/>
      <c r="G880" s="59"/>
      <c r="J880" s="59"/>
      <c r="M880" s="84"/>
      <c r="N880" s="59"/>
      <c r="O880" s="59"/>
      <c r="P880" s="59"/>
      <c r="R880" s="59"/>
      <c r="T880" s="59"/>
      <c r="W880" s="59"/>
      <c r="X880" s="84"/>
    </row>
    <row r="881" spans="6:24" ht="15.75" customHeight="1" x14ac:dyDescent="0.2">
      <c r="F881" s="59"/>
      <c r="G881" s="59"/>
      <c r="J881" s="59"/>
      <c r="M881" s="84"/>
      <c r="N881" s="59"/>
      <c r="O881" s="59"/>
      <c r="P881" s="59"/>
      <c r="R881" s="59"/>
      <c r="T881" s="59"/>
      <c r="W881" s="59"/>
      <c r="X881" s="84"/>
    </row>
    <row r="882" spans="6:24" ht="15.75" customHeight="1" x14ac:dyDescent="0.2">
      <c r="F882" s="59"/>
      <c r="G882" s="59"/>
      <c r="J882" s="59"/>
      <c r="M882" s="84"/>
      <c r="N882" s="59"/>
      <c r="O882" s="59"/>
      <c r="P882" s="59"/>
      <c r="R882" s="59"/>
      <c r="T882" s="59"/>
      <c r="W882" s="59"/>
      <c r="X882" s="84"/>
    </row>
    <row r="883" spans="6:24" ht="15.75" customHeight="1" x14ac:dyDescent="0.2">
      <c r="F883" s="59"/>
      <c r="G883" s="59"/>
      <c r="J883" s="59"/>
      <c r="M883" s="84"/>
      <c r="N883" s="59"/>
      <c r="O883" s="59"/>
      <c r="P883" s="59"/>
      <c r="R883" s="59"/>
      <c r="T883" s="59"/>
      <c r="W883" s="59"/>
      <c r="X883" s="84"/>
    </row>
    <row r="884" spans="6:24" ht="15.75" customHeight="1" x14ac:dyDescent="0.2">
      <c r="F884" s="59"/>
      <c r="G884" s="59"/>
      <c r="J884" s="59"/>
      <c r="M884" s="84"/>
      <c r="N884" s="59"/>
      <c r="O884" s="59"/>
      <c r="P884" s="59"/>
      <c r="R884" s="59"/>
      <c r="T884" s="59"/>
      <c r="W884" s="59"/>
      <c r="X884" s="84"/>
    </row>
    <row r="885" spans="6:24" ht="15.75" customHeight="1" x14ac:dyDescent="0.2">
      <c r="F885" s="59"/>
      <c r="G885" s="59"/>
      <c r="J885" s="59"/>
      <c r="M885" s="84"/>
      <c r="N885" s="59"/>
      <c r="O885" s="59"/>
      <c r="P885" s="59"/>
      <c r="R885" s="59"/>
      <c r="T885" s="59"/>
      <c r="W885" s="59"/>
      <c r="X885" s="84"/>
    </row>
    <row r="886" spans="6:24" ht="15.75" customHeight="1" x14ac:dyDescent="0.2">
      <c r="F886" s="59"/>
      <c r="G886" s="59"/>
      <c r="J886" s="59"/>
      <c r="M886" s="84"/>
      <c r="N886" s="59"/>
      <c r="O886" s="59"/>
      <c r="P886" s="59"/>
      <c r="R886" s="59"/>
      <c r="T886" s="59"/>
      <c r="W886" s="59"/>
      <c r="X886" s="84"/>
    </row>
    <row r="887" spans="6:24" ht="15.75" customHeight="1" x14ac:dyDescent="0.2">
      <c r="F887" s="59"/>
      <c r="G887" s="59"/>
      <c r="J887" s="59"/>
      <c r="M887" s="84"/>
      <c r="N887" s="59"/>
      <c r="O887" s="59"/>
      <c r="P887" s="59"/>
      <c r="R887" s="59"/>
      <c r="T887" s="59"/>
      <c r="W887" s="59"/>
      <c r="X887" s="84"/>
    </row>
    <row r="888" spans="6:24" ht="15.75" customHeight="1" x14ac:dyDescent="0.2">
      <c r="F888" s="59"/>
      <c r="G888" s="59"/>
      <c r="J888" s="59"/>
      <c r="M888" s="84"/>
      <c r="N888" s="59"/>
      <c r="O888" s="59"/>
      <c r="P888" s="59"/>
      <c r="R888" s="59"/>
      <c r="T888" s="59"/>
      <c r="W888" s="59"/>
      <c r="X888" s="84"/>
    </row>
    <row r="889" spans="6:24" ht="15.75" customHeight="1" x14ac:dyDescent="0.2">
      <c r="F889" s="59"/>
      <c r="G889" s="59"/>
      <c r="J889" s="59"/>
      <c r="M889" s="84"/>
      <c r="N889" s="59"/>
      <c r="O889" s="59"/>
      <c r="P889" s="59"/>
      <c r="R889" s="59"/>
      <c r="T889" s="59"/>
      <c r="W889" s="59"/>
      <c r="X889" s="84"/>
    </row>
    <row r="890" spans="6:24" ht="15.75" customHeight="1" x14ac:dyDescent="0.2">
      <c r="F890" s="59"/>
      <c r="G890" s="59"/>
      <c r="J890" s="59"/>
      <c r="M890" s="84"/>
      <c r="N890" s="59"/>
      <c r="O890" s="59"/>
      <c r="P890" s="59"/>
      <c r="R890" s="59"/>
      <c r="T890" s="59"/>
      <c r="W890" s="59"/>
      <c r="X890" s="84"/>
    </row>
    <row r="891" spans="6:24" ht="15.75" customHeight="1" x14ac:dyDescent="0.2">
      <c r="F891" s="59"/>
      <c r="G891" s="59"/>
      <c r="J891" s="59"/>
      <c r="M891" s="84"/>
      <c r="N891" s="59"/>
      <c r="O891" s="59"/>
      <c r="P891" s="59"/>
      <c r="R891" s="59"/>
      <c r="T891" s="59"/>
      <c r="W891" s="59"/>
      <c r="X891" s="84"/>
    </row>
    <row r="892" spans="6:24" ht="15.75" customHeight="1" x14ac:dyDescent="0.2">
      <c r="F892" s="59"/>
      <c r="G892" s="59"/>
      <c r="J892" s="59"/>
      <c r="M892" s="84"/>
      <c r="N892" s="59"/>
      <c r="O892" s="59"/>
      <c r="P892" s="59"/>
      <c r="R892" s="59"/>
      <c r="T892" s="59"/>
      <c r="W892" s="59"/>
      <c r="X892" s="84"/>
    </row>
    <row r="893" spans="6:24" ht="15.75" customHeight="1" x14ac:dyDescent="0.2">
      <c r="F893" s="59"/>
      <c r="G893" s="59"/>
      <c r="J893" s="59"/>
      <c r="M893" s="84"/>
      <c r="N893" s="59"/>
      <c r="O893" s="59"/>
      <c r="P893" s="59"/>
      <c r="R893" s="59"/>
      <c r="T893" s="59"/>
      <c r="W893" s="59"/>
      <c r="X893" s="84"/>
    </row>
    <row r="894" spans="6:24" ht="15.75" customHeight="1" x14ac:dyDescent="0.2">
      <c r="F894" s="59"/>
      <c r="G894" s="59"/>
      <c r="J894" s="59"/>
      <c r="M894" s="84"/>
      <c r="N894" s="59"/>
      <c r="O894" s="59"/>
      <c r="P894" s="59"/>
      <c r="R894" s="59"/>
      <c r="T894" s="59"/>
      <c r="W894" s="59"/>
      <c r="X894" s="84"/>
    </row>
    <row r="895" spans="6:24" ht="15.75" customHeight="1" x14ac:dyDescent="0.2">
      <c r="F895" s="59"/>
      <c r="G895" s="59"/>
      <c r="J895" s="59"/>
      <c r="M895" s="84"/>
      <c r="N895" s="59"/>
      <c r="O895" s="59"/>
      <c r="P895" s="59"/>
      <c r="R895" s="59"/>
      <c r="T895" s="59"/>
      <c r="W895" s="59"/>
      <c r="X895" s="84"/>
    </row>
    <row r="896" spans="6:24" ht="15.75" customHeight="1" x14ac:dyDescent="0.2">
      <c r="F896" s="59"/>
      <c r="G896" s="59"/>
      <c r="J896" s="59"/>
      <c r="M896" s="84"/>
      <c r="N896" s="59"/>
      <c r="O896" s="59"/>
      <c r="P896" s="59"/>
      <c r="R896" s="59"/>
      <c r="T896" s="59"/>
      <c r="W896" s="59"/>
      <c r="X896" s="84"/>
    </row>
    <row r="897" spans="6:24" ht="15.75" customHeight="1" x14ac:dyDescent="0.2">
      <c r="F897" s="59"/>
      <c r="G897" s="59"/>
      <c r="J897" s="59"/>
      <c r="M897" s="84"/>
      <c r="N897" s="59"/>
      <c r="O897" s="59"/>
      <c r="P897" s="59"/>
      <c r="R897" s="59"/>
      <c r="T897" s="59"/>
      <c r="W897" s="59"/>
      <c r="X897" s="84"/>
    </row>
    <row r="898" spans="6:24" ht="15.75" customHeight="1" x14ac:dyDescent="0.2">
      <c r="F898" s="59"/>
      <c r="G898" s="59"/>
      <c r="J898" s="59"/>
      <c r="M898" s="84"/>
      <c r="N898" s="59"/>
      <c r="O898" s="59"/>
      <c r="P898" s="59"/>
      <c r="R898" s="59"/>
      <c r="T898" s="59"/>
      <c r="W898" s="59"/>
      <c r="X898" s="84"/>
    </row>
    <row r="899" spans="6:24" ht="15.75" customHeight="1" x14ac:dyDescent="0.2">
      <c r="F899" s="59"/>
      <c r="G899" s="59"/>
      <c r="J899" s="59"/>
      <c r="M899" s="84"/>
      <c r="N899" s="59"/>
      <c r="O899" s="59"/>
      <c r="P899" s="59"/>
      <c r="R899" s="59"/>
      <c r="T899" s="59"/>
      <c r="W899" s="59"/>
      <c r="X899" s="84"/>
    </row>
    <row r="900" spans="6:24" ht="15.75" customHeight="1" x14ac:dyDescent="0.2">
      <c r="F900" s="59"/>
      <c r="G900" s="59"/>
      <c r="J900" s="59"/>
      <c r="M900" s="84"/>
      <c r="N900" s="59"/>
      <c r="O900" s="59"/>
      <c r="P900" s="59"/>
      <c r="R900" s="59"/>
      <c r="T900" s="59"/>
      <c r="W900" s="59"/>
      <c r="X900" s="84"/>
    </row>
    <row r="901" spans="6:24" ht="15.75" customHeight="1" x14ac:dyDescent="0.2">
      <c r="F901" s="59"/>
      <c r="G901" s="59"/>
      <c r="J901" s="59"/>
      <c r="M901" s="84"/>
      <c r="N901" s="59"/>
      <c r="O901" s="59"/>
      <c r="P901" s="59"/>
      <c r="R901" s="59"/>
      <c r="T901" s="59"/>
      <c r="W901" s="59"/>
      <c r="X901" s="84"/>
    </row>
    <row r="902" spans="6:24" ht="15.75" customHeight="1" x14ac:dyDescent="0.2">
      <c r="F902" s="59"/>
      <c r="G902" s="59"/>
      <c r="J902" s="59"/>
      <c r="M902" s="84"/>
      <c r="N902" s="59"/>
      <c r="O902" s="59"/>
      <c r="P902" s="59"/>
      <c r="R902" s="59"/>
      <c r="T902" s="59"/>
      <c r="W902" s="59"/>
      <c r="X902" s="84"/>
    </row>
    <row r="903" spans="6:24" ht="15.75" customHeight="1" x14ac:dyDescent="0.2">
      <c r="F903" s="59"/>
      <c r="G903" s="59"/>
      <c r="J903" s="59"/>
      <c r="M903" s="84"/>
      <c r="N903" s="59"/>
      <c r="O903" s="59"/>
      <c r="P903" s="59"/>
      <c r="R903" s="59"/>
      <c r="T903" s="59"/>
      <c r="W903" s="59"/>
      <c r="X903" s="84"/>
    </row>
    <row r="904" spans="6:24" ht="15.75" customHeight="1" x14ac:dyDescent="0.2">
      <c r="F904" s="59"/>
      <c r="G904" s="59"/>
      <c r="J904" s="59"/>
      <c r="M904" s="84"/>
      <c r="N904" s="59"/>
      <c r="O904" s="59"/>
      <c r="P904" s="59"/>
      <c r="R904" s="59"/>
      <c r="T904" s="59"/>
      <c r="W904" s="59"/>
      <c r="X904" s="84"/>
    </row>
    <row r="905" spans="6:24" ht="15.75" customHeight="1" x14ac:dyDescent="0.2">
      <c r="F905" s="59"/>
      <c r="G905" s="59"/>
      <c r="J905" s="59"/>
      <c r="M905" s="84"/>
      <c r="N905" s="59"/>
      <c r="O905" s="59"/>
      <c r="P905" s="59"/>
      <c r="R905" s="59"/>
      <c r="T905" s="59"/>
      <c r="W905" s="59"/>
      <c r="X905" s="84"/>
    </row>
    <row r="906" spans="6:24" ht="15.75" customHeight="1" x14ac:dyDescent="0.2">
      <c r="F906" s="59"/>
      <c r="G906" s="59"/>
      <c r="J906" s="59"/>
      <c r="M906" s="84"/>
      <c r="N906" s="59"/>
      <c r="O906" s="59"/>
      <c r="P906" s="59"/>
      <c r="R906" s="59"/>
      <c r="T906" s="59"/>
      <c r="W906" s="59"/>
      <c r="X906" s="84"/>
    </row>
    <row r="907" spans="6:24" ht="15.75" customHeight="1" x14ac:dyDescent="0.2">
      <c r="F907" s="59"/>
      <c r="G907" s="59"/>
      <c r="J907" s="59"/>
      <c r="M907" s="84"/>
      <c r="N907" s="59"/>
      <c r="O907" s="59"/>
      <c r="P907" s="59"/>
      <c r="R907" s="59"/>
      <c r="T907" s="59"/>
      <c r="W907" s="59"/>
      <c r="X907" s="84"/>
    </row>
    <row r="908" spans="6:24" ht="15.75" customHeight="1" x14ac:dyDescent="0.2">
      <c r="F908" s="59"/>
      <c r="G908" s="59"/>
      <c r="J908" s="59"/>
      <c r="M908" s="84"/>
      <c r="N908" s="59"/>
      <c r="O908" s="59"/>
      <c r="P908" s="59"/>
      <c r="R908" s="59"/>
      <c r="T908" s="59"/>
      <c r="W908" s="59"/>
      <c r="X908" s="84"/>
    </row>
    <row r="909" spans="6:24" ht="15.75" customHeight="1" x14ac:dyDescent="0.2">
      <c r="F909" s="59"/>
      <c r="G909" s="59"/>
      <c r="J909" s="59"/>
      <c r="M909" s="84"/>
      <c r="N909" s="59"/>
      <c r="O909" s="59"/>
      <c r="P909" s="59"/>
      <c r="R909" s="59"/>
      <c r="T909" s="59"/>
      <c r="W909" s="59"/>
      <c r="X909" s="84"/>
    </row>
    <row r="910" spans="6:24" ht="15.75" customHeight="1" x14ac:dyDescent="0.2">
      <c r="F910" s="59"/>
      <c r="G910" s="59"/>
      <c r="J910" s="59"/>
      <c r="M910" s="84"/>
      <c r="N910" s="59"/>
      <c r="O910" s="59"/>
      <c r="P910" s="59"/>
      <c r="R910" s="59"/>
      <c r="T910" s="59"/>
      <c r="W910" s="59"/>
      <c r="X910" s="84"/>
    </row>
    <row r="911" spans="6:24" ht="15.75" customHeight="1" x14ac:dyDescent="0.2">
      <c r="F911" s="59"/>
      <c r="G911" s="59"/>
      <c r="J911" s="59"/>
      <c r="M911" s="84"/>
      <c r="N911" s="59"/>
      <c r="O911" s="59"/>
      <c r="P911" s="59"/>
      <c r="R911" s="59"/>
      <c r="T911" s="59"/>
      <c r="W911" s="59"/>
      <c r="X911" s="84"/>
    </row>
    <row r="912" spans="6:24" ht="15.75" customHeight="1" x14ac:dyDescent="0.2">
      <c r="F912" s="59"/>
      <c r="G912" s="59"/>
      <c r="J912" s="59"/>
      <c r="M912" s="84"/>
      <c r="N912" s="59"/>
      <c r="O912" s="59"/>
      <c r="P912" s="59"/>
      <c r="R912" s="59"/>
      <c r="T912" s="59"/>
      <c r="W912" s="59"/>
      <c r="X912" s="84"/>
    </row>
    <row r="913" spans="6:24" ht="15.75" customHeight="1" x14ac:dyDescent="0.2">
      <c r="F913" s="59"/>
      <c r="G913" s="59"/>
      <c r="J913" s="59"/>
      <c r="M913" s="84"/>
      <c r="N913" s="59"/>
      <c r="O913" s="59"/>
      <c r="P913" s="59"/>
      <c r="R913" s="59"/>
      <c r="T913" s="59"/>
      <c r="W913" s="59"/>
      <c r="X913" s="84"/>
    </row>
    <row r="914" spans="6:24" ht="15.75" customHeight="1" x14ac:dyDescent="0.2">
      <c r="F914" s="59"/>
      <c r="G914" s="59"/>
      <c r="J914" s="59"/>
      <c r="M914" s="84"/>
      <c r="N914" s="59"/>
      <c r="O914" s="59"/>
      <c r="P914" s="59"/>
      <c r="R914" s="59"/>
      <c r="T914" s="59"/>
      <c r="W914" s="59"/>
      <c r="X914" s="84"/>
    </row>
    <row r="915" spans="6:24" ht="15.75" customHeight="1" x14ac:dyDescent="0.2">
      <c r="F915" s="59"/>
      <c r="G915" s="59"/>
      <c r="J915" s="59"/>
      <c r="M915" s="84"/>
      <c r="N915" s="59"/>
      <c r="O915" s="59"/>
      <c r="P915" s="59"/>
      <c r="R915" s="59"/>
      <c r="T915" s="59"/>
      <c r="W915" s="59"/>
      <c r="X915" s="84"/>
    </row>
    <row r="916" spans="6:24" ht="15.75" customHeight="1" x14ac:dyDescent="0.2">
      <c r="F916" s="59"/>
      <c r="G916" s="59"/>
      <c r="J916" s="59"/>
      <c r="M916" s="84"/>
      <c r="N916" s="59"/>
      <c r="O916" s="59"/>
      <c r="P916" s="59"/>
      <c r="R916" s="59"/>
      <c r="T916" s="59"/>
      <c r="W916" s="59"/>
      <c r="X916" s="84"/>
    </row>
    <row r="917" spans="6:24" ht="15.75" customHeight="1" x14ac:dyDescent="0.2">
      <c r="F917" s="59"/>
      <c r="G917" s="59"/>
      <c r="J917" s="59"/>
      <c r="M917" s="84"/>
      <c r="N917" s="59"/>
      <c r="O917" s="59"/>
      <c r="P917" s="59"/>
      <c r="R917" s="59"/>
      <c r="T917" s="59"/>
      <c r="W917" s="59"/>
      <c r="X917" s="84"/>
    </row>
    <row r="918" spans="6:24" ht="15.75" customHeight="1" x14ac:dyDescent="0.2">
      <c r="F918" s="59"/>
      <c r="G918" s="59"/>
      <c r="J918" s="59"/>
      <c r="M918" s="84"/>
      <c r="N918" s="59"/>
      <c r="O918" s="59"/>
      <c r="P918" s="59"/>
      <c r="R918" s="59"/>
      <c r="T918" s="59"/>
      <c r="W918" s="59"/>
      <c r="X918" s="84"/>
    </row>
    <row r="919" spans="6:24" ht="15.75" customHeight="1" x14ac:dyDescent="0.2">
      <c r="F919" s="59"/>
      <c r="G919" s="59"/>
      <c r="J919" s="59"/>
      <c r="M919" s="84"/>
      <c r="N919" s="59"/>
      <c r="O919" s="59"/>
      <c r="P919" s="59"/>
      <c r="R919" s="59"/>
      <c r="T919" s="59"/>
      <c r="W919" s="59"/>
      <c r="X919" s="84"/>
    </row>
    <row r="920" spans="6:24" ht="15.75" customHeight="1" x14ac:dyDescent="0.2">
      <c r="F920" s="59"/>
      <c r="G920" s="59"/>
      <c r="J920" s="59"/>
      <c r="M920" s="84"/>
      <c r="N920" s="59"/>
      <c r="O920" s="59"/>
      <c r="P920" s="59"/>
      <c r="R920" s="59"/>
      <c r="T920" s="59"/>
      <c r="W920" s="59"/>
      <c r="X920" s="84"/>
    </row>
    <row r="921" spans="6:24" ht="15.75" customHeight="1" x14ac:dyDescent="0.2">
      <c r="F921" s="59"/>
      <c r="G921" s="59"/>
      <c r="J921" s="59"/>
      <c r="M921" s="84"/>
      <c r="N921" s="59"/>
      <c r="O921" s="59"/>
      <c r="P921" s="59"/>
      <c r="R921" s="59"/>
      <c r="T921" s="59"/>
      <c r="W921" s="59"/>
      <c r="X921" s="84"/>
    </row>
    <row r="922" spans="6:24" ht="15.75" customHeight="1" x14ac:dyDescent="0.2">
      <c r="F922" s="59"/>
      <c r="G922" s="59"/>
      <c r="J922" s="59"/>
      <c r="M922" s="84"/>
      <c r="N922" s="59"/>
      <c r="O922" s="59"/>
      <c r="P922" s="59"/>
      <c r="R922" s="59"/>
      <c r="T922" s="59"/>
      <c r="W922" s="59"/>
      <c r="X922" s="84"/>
    </row>
    <row r="923" spans="6:24" ht="15.75" customHeight="1" x14ac:dyDescent="0.2">
      <c r="F923" s="59"/>
      <c r="G923" s="59"/>
      <c r="J923" s="59"/>
      <c r="M923" s="84"/>
      <c r="N923" s="59"/>
      <c r="O923" s="59"/>
      <c r="P923" s="59"/>
      <c r="R923" s="59"/>
      <c r="T923" s="59"/>
      <c r="W923" s="59"/>
      <c r="X923" s="84"/>
    </row>
    <row r="924" spans="6:24" ht="15.75" customHeight="1" x14ac:dyDescent="0.2">
      <c r="F924" s="59"/>
      <c r="G924" s="59"/>
      <c r="J924" s="59"/>
      <c r="M924" s="84"/>
      <c r="N924" s="59"/>
      <c r="O924" s="59"/>
      <c r="P924" s="59"/>
      <c r="R924" s="59"/>
      <c r="T924" s="59"/>
      <c r="W924" s="59"/>
      <c r="X924" s="84"/>
    </row>
    <row r="925" spans="6:24" ht="15.75" customHeight="1" x14ac:dyDescent="0.2">
      <c r="F925" s="59"/>
      <c r="G925" s="59"/>
      <c r="J925" s="59"/>
      <c r="M925" s="84"/>
      <c r="N925" s="59"/>
      <c r="O925" s="59"/>
      <c r="P925" s="59"/>
      <c r="R925" s="59"/>
      <c r="T925" s="59"/>
      <c r="W925" s="59"/>
      <c r="X925" s="84"/>
    </row>
    <row r="926" spans="6:24" ht="15.75" customHeight="1" x14ac:dyDescent="0.2">
      <c r="F926" s="59"/>
      <c r="G926" s="59"/>
      <c r="J926" s="59"/>
      <c r="M926" s="84"/>
      <c r="N926" s="59"/>
      <c r="O926" s="59"/>
      <c r="P926" s="59"/>
      <c r="R926" s="59"/>
      <c r="T926" s="59"/>
      <c r="W926" s="59"/>
      <c r="X926" s="84"/>
    </row>
    <row r="927" spans="6:24" ht="15.75" customHeight="1" x14ac:dyDescent="0.2">
      <c r="F927" s="59"/>
      <c r="G927" s="59"/>
      <c r="J927" s="59"/>
      <c r="M927" s="84"/>
      <c r="N927" s="59"/>
      <c r="O927" s="59"/>
      <c r="P927" s="59"/>
      <c r="R927" s="59"/>
      <c r="T927" s="59"/>
      <c r="W927" s="59"/>
      <c r="X927" s="84"/>
    </row>
    <row r="928" spans="6:24" ht="15.75" customHeight="1" x14ac:dyDescent="0.2">
      <c r="F928" s="59"/>
      <c r="G928" s="59"/>
      <c r="J928" s="59"/>
      <c r="M928" s="84"/>
      <c r="N928" s="59"/>
      <c r="O928" s="59"/>
      <c r="P928" s="59"/>
      <c r="R928" s="59"/>
      <c r="T928" s="59"/>
      <c r="W928" s="59"/>
      <c r="X928" s="84"/>
    </row>
    <row r="929" spans="6:24" ht="15.75" customHeight="1" x14ac:dyDescent="0.2">
      <c r="F929" s="59"/>
      <c r="G929" s="59"/>
      <c r="J929" s="59"/>
      <c r="M929" s="84"/>
      <c r="N929" s="59"/>
      <c r="O929" s="59"/>
      <c r="P929" s="59"/>
      <c r="R929" s="59"/>
      <c r="T929" s="59"/>
      <c r="W929" s="59"/>
      <c r="X929" s="84"/>
    </row>
    <row r="930" spans="6:24" ht="15.75" customHeight="1" x14ac:dyDescent="0.2">
      <c r="F930" s="59"/>
      <c r="G930" s="59"/>
      <c r="J930" s="59"/>
      <c r="M930" s="84"/>
      <c r="N930" s="59"/>
      <c r="O930" s="59"/>
      <c r="P930" s="59"/>
      <c r="R930" s="59"/>
      <c r="T930" s="59"/>
      <c r="W930" s="59"/>
      <c r="X930" s="84"/>
    </row>
    <row r="931" spans="6:24" ht="15.75" customHeight="1" x14ac:dyDescent="0.2">
      <c r="F931" s="59"/>
      <c r="G931" s="59"/>
      <c r="J931" s="59"/>
      <c r="M931" s="84"/>
      <c r="N931" s="59"/>
      <c r="O931" s="59"/>
      <c r="P931" s="59"/>
      <c r="R931" s="59"/>
      <c r="T931" s="59"/>
      <c r="W931" s="59"/>
      <c r="X931" s="84"/>
    </row>
    <row r="932" spans="6:24" ht="15.75" customHeight="1" x14ac:dyDescent="0.2">
      <c r="F932" s="59"/>
      <c r="G932" s="59"/>
      <c r="J932" s="59"/>
      <c r="M932" s="84"/>
      <c r="N932" s="59"/>
      <c r="O932" s="59"/>
      <c r="P932" s="59"/>
      <c r="R932" s="59"/>
      <c r="T932" s="59"/>
      <c r="W932" s="59"/>
      <c r="X932" s="84"/>
    </row>
    <row r="933" spans="6:24" ht="15.75" customHeight="1" x14ac:dyDescent="0.2">
      <c r="F933" s="59"/>
      <c r="G933" s="59"/>
      <c r="J933" s="59"/>
      <c r="M933" s="84"/>
      <c r="N933" s="59"/>
      <c r="O933" s="59"/>
      <c r="P933" s="59"/>
      <c r="R933" s="59"/>
      <c r="T933" s="59"/>
      <c r="W933" s="59"/>
      <c r="X933" s="84"/>
    </row>
    <row r="934" spans="6:24" ht="15.75" customHeight="1" x14ac:dyDescent="0.2">
      <c r="F934" s="59"/>
      <c r="G934" s="59"/>
      <c r="J934" s="59"/>
      <c r="M934" s="84"/>
      <c r="N934" s="59"/>
      <c r="O934" s="59"/>
      <c r="P934" s="59"/>
      <c r="R934" s="59"/>
      <c r="T934" s="59"/>
      <c r="W934" s="59"/>
      <c r="X934" s="84"/>
    </row>
    <row r="935" spans="6:24" ht="15.75" customHeight="1" x14ac:dyDescent="0.2">
      <c r="F935" s="59"/>
      <c r="G935" s="59"/>
      <c r="J935" s="59"/>
      <c r="M935" s="84"/>
      <c r="N935" s="59"/>
      <c r="O935" s="59"/>
      <c r="P935" s="59"/>
      <c r="R935" s="59"/>
      <c r="T935" s="59"/>
      <c r="W935" s="59"/>
      <c r="X935" s="84"/>
    </row>
    <row r="936" spans="6:24" ht="15.75" customHeight="1" x14ac:dyDescent="0.2">
      <c r="F936" s="59"/>
      <c r="G936" s="59"/>
      <c r="J936" s="59"/>
      <c r="M936" s="84"/>
      <c r="N936" s="59"/>
      <c r="O936" s="59"/>
      <c r="P936" s="59"/>
      <c r="R936" s="59"/>
      <c r="T936" s="59"/>
      <c r="W936" s="59"/>
      <c r="X936" s="84"/>
    </row>
    <row r="937" spans="6:24" ht="15.75" customHeight="1" x14ac:dyDescent="0.2">
      <c r="F937" s="59"/>
      <c r="G937" s="59"/>
      <c r="J937" s="59"/>
      <c r="M937" s="84"/>
      <c r="N937" s="59"/>
      <c r="O937" s="59"/>
      <c r="P937" s="59"/>
      <c r="R937" s="59"/>
      <c r="T937" s="59"/>
      <c r="W937" s="59"/>
      <c r="X937" s="84"/>
    </row>
    <row r="938" spans="6:24" ht="15.75" customHeight="1" x14ac:dyDescent="0.2">
      <c r="F938" s="59"/>
      <c r="G938" s="59"/>
      <c r="J938" s="59"/>
      <c r="M938" s="84"/>
      <c r="N938" s="59"/>
      <c r="O938" s="59"/>
      <c r="P938" s="59"/>
      <c r="R938" s="59"/>
      <c r="T938" s="59"/>
      <c r="W938" s="59"/>
      <c r="X938" s="84"/>
    </row>
    <row r="939" spans="6:24" ht="15.75" customHeight="1" x14ac:dyDescent="0.2">
      <c r="F939" s="59"/>
      <c r="G939" s="59"/>
      <c r="J939" s="59"/>
      <c r="M939" s="84"/>
      <c r="N939" s="59"/>
      <c r="O939" s="59"/>
      <c r="P939" s="59"/>
      <c r="R939" s="59"/>
      <c r="T939" s="59"/>
      <c r="W939" s="59"/>
      <c r="X939" s="84"/>
    </row>
    <row r="940" spans="6:24" ht="15.75" customHeight="1" x14ac:dyDescent="0.2">
      <c r="F940" s="59"/>
      <c r="G940" s="59"/>
      <c r="J940" s="59"/>
      <c r="M940" s="84"/>
      <c r="N940" s="59"/>
      <c r="O940" s="59"/>
      <c r="P940" s="59"/>
      <c r="R940" s="59"/>
      <c r="T940" s="59"/>
      <c r="W940" s="59"/>
      <c r="X940" s="84"/>
    </row>
    <row r="941" spans="6:24" ht="15.75" customHeight="1" x14ac:dyDescent="0.2">
      <c r="F941" s="59"/>
      <c r="G941" s="59"/>
      <c r="J941" s="59"/>
      <c r="M941" s="84"/>
      <c r="N941" s="59"/>
      <c r="O941" s="59"/>
      <c r="P941" s="59"/>
      <c r="R941" s="59"/>
      <c r="T941" s="59"/>
      <c r="W941" s="59"/>
      <c r="X941" s="84"/>
    </row>
    <row r="942" spans="6:24" ht="15.75" customHeight="1" x14ac:dyDescent="0.2">
      <c r="F942" s="59"/>
      <c r="G942" s="59"/>
      <c r="J942" s="59"/>
      <c r="M942" s="84"/>
      <c r="N942" s="59"/>
      <c r="O942" s="59"/>
      <c r="P942" s="59"/>
      <c r="R942" s="59"/>
      <c r="T942" s="59"/>
      <c r="W942" s="59"/>
      <c r="X942" s="84"/>
    </row>
    <row r="943" spans="6:24" ht="15.75" customHeight="1" x14ac:dyDescent="0.2">
      <c r="F943" s="59"/>
      <c r="G943" s="59"/>
      <c r="J943" s="59"/>
      <c r="M943" s="84"/>
      <c r="N943" s="59"/>
      <c r="O943" s="59"/>
      <c r="P943" s="59"/>
      <c r="R943" s="59"/>
      <c r="T943" s="59"/>
      <c r="W943" s="59"/>
      <c r="X943" s="84"/>
    </row>
    <row r="944" spans="6:24" ht="15.75" customHeight="1" x14ac:dyDescent="0.2">
      <c r="F944" s="59"/>
      <c r="G944" s="59"/>
      <c r="J944" s="59"/>
      <c r="M944" s="84"/>
      <c r="N944" s="59"/>
      <c r="O944" s="59"/>
      <c r="P944" s="59"/>
      <c r="R944" s="59"/>
      <c r="T944" s="59"/>
      <c r="W944" s="59"/>
      <c r="X944" s="84"/>
    </row>
    <row r="945" spans="6:24" ht="15.75" customHeight="1" x14ac:dyDescent="0.2">
      <c r="F945" s="59"/>
      <c r="J945" s="59"/>
      <c r="M945" s="84"/>
      <c r="N945" s="59"/>
      <c r="O945" s="59"/>
      <c r="P945" s="59"/>
      <c r="R945" s="59"/>
      <c r="T945" s="59"/>
      <c r="W945" s="59"/>
      <c r="X945" s="84"/>
    </row>
    <row r="946" spans="6:24" ht="15.75" customHeight="1" x14ac:dyDescent="0.2">
      <c r="F946" s="59"/>
      <c r="J946" s="59"/>
      <c r="M946" s="84"/>
      <c r="N946" s="59"/>
      <c r="O946" s="59"/>
      <c r="P946" s="59"/>
      <c r="R946" s="59"/>
      <c r="T946" s="59"/>
      <c r="W946" s="59"/>
      <c r="X946" s="84"/>
    </row>
    <row r="947" spans="6:24" ht="15.75" customHeight="1" x14ac:dyDescent="0.2">
      <c r="F947" s="59"/>
      <c r="J947" s="59"/>
      <c r="M947" s="84"/>
      <c r="N947" s="59"/>
      <c r="O947" s="59"/>
      <c r="P947" s="59"/>
      <c r="R947" s="59"/>
      <c r="T947" s="59"/>
      <c r="W947" s="59"/>
      <c r="X947" s="84"/>
    </row>
    <row r="948" spans="6:24" ht="15.75" customHeight="1" x14ac:dyDescent="0.2">
      <c r="F948" s="59"/>
      <c r="J948" s="59"/>
      <c r="M948" s="84"/>
      <c r="N948" s="59"/>
      <c r="O948" s="59"/>
      <c r="P948" s="59"/>
      <c r="R948" s="59"/>
      <c r="T948" s="59"/>
      <c r="W948" s="59"/>
      <c r="X948" s="84"/>
    </row>
    <row r="949" spans="6:24" ht="15.75" customHeight="1" x14ac:dyDescent="0.2">
      <c r="F949" s="59"/>
      <c r="J949" s="59"/>
      <c r="M949" s="84"/>
      <c r="N949" s="59"/>
      <c r="O949" s="59"/>
      <c r="P949" s="59"/>
      <c r="R949" s="59"/>
      <c r="T949" s="59"/>
      <c r="W949" s="59"/>
      <c r="X949" s="84"/>
    </row>
    <row r="950" spans="6:24" ht="15.75" customHeight="1" x14ac:dyDescent="0.2">
      <c r="F950" s="59"/>
      <c r="J950" s="59"/>
      <c r="M950" s="84"/>
      <c r="N950" s="59"/>
      <c r="O950" s="59"/>
      <c r="P950" s="59"/>
      <c r="R950" s="59"/>
      <c r="T950" s="59"/>
      <c r="W950" s="59"/>
      <c r="X950" s="84"/>
    </row>
  </sheetData>
  <autoFilter ref="A1:AI228" xr:uid="{00000000-0009-0000-0000-000002000000}"/>
  <dataValidations count="4">
    <dataValidation type="list" allowBlank="1" showErrorMessage="1" sqref="P2:P950" xr:uid="{00000000-0002-0000-0200-000001000000}">
      <formula1>"A mano,Anzuelos,Cerbatana,Cuchillo,Escopeta,Machete,Motosierra,Pala,Perros,Redes,Tijeras de poda,Trampa,Flechas,Hacha,A mano | cuchillo | machete,A mano | Machete,Anzuelos | Redes | Otros,cuchillo | machete,Motosierra | Hacha | Machete,Motosierra | Machet"&amp;"e"</formula1>
    </dataValidation>
    <dataValidation type="list" allowBlank="1" showErrorMessage="1" sqref="R2:R950" xr:uid="{00000000-0002-0000-0200-000003000000}">
      <formula1>"arrobas,batetas,brazadas,carretilladas,frutos,gramos,hojas,hojas secas,kilos,libras,manojos,pedazos de corteza,pepa | cogollos,Postas | Tablas,postes,puñados,rolas,toneladas,unidades,zorrada,Cuarta,Ramas,Flores,Cuarta"</formula1>
    </dataValidation>
    <dataValidation type="list" allowBlank="1" showErrorMessage="1" sqref="T2:T950" xr:uid="{00000000-0002-0000-0200-000004000000}">
      <formula1>"mañana,lluvia moderada,noche,nublado,soleado,tarde,veranillo"</formula1>
    </dataValidation>
    <dataValidation type="list" allowBlank="1" sqref="X2:X950" xr:uid="{00000000-0002-0000-0200-000007000000}">
      <formula1>"Bosque,Caño,Huerta o cultivo,Montaña,Otro,Patio,Potrero,Rastrojo,Represa,Río guayabero,Sabana,bosque | huerta ,bosque | rastrojo,caño | rastrojo,Huerta o cultivo | Potrero,Otro, Represa,Potrero, Represa"</formula1>
    </dataValidation>
  </dataValidations>
  <pageMargins left="0.7" right="0.7" top="0.75" bottom="0.75" header="0" footer="0"/>
  <pageSetup orientation="landscape"/>
  <legacyDrawing r:id="rId1"/>
  <extLst>
    <ext xmlns:x14="http://schemas.microsoft.com/office/spreadsheetml/2009/9/main" uri="{CCE6A557-97BC-4b89-ADB6-D9C93CAAB3DF}">
      <x14:dataValidations xmlns:xm="http://schemas.microsoft.com/office/excel/2006/main" count="7">
        <x14:dataValidation type="list" allowBlank="1" xr:uid="{00000000-0002-0000-0200-000000000000}">
          <x14:formula1>
            <xm:f>Referencias!$R$5:$R950</xm:f>
          </x14:formula1>
          <xm:sqref>J2:J950</xm:sqref>
        </x14:dataValidation>
        <x14:dataValidation type="list" allowBlank="1" showErrorMessage="1" xr:uid="{00000000-0002-0000-0200-000002000000}">
          <x14:formula1>
            <xm:f>Referencias!$T$5:$T$18</xm:f>
          </x14:formula1>
          <xm:sqref>F2:F950</xm:sqref>
        </x14:dataValidation>
        <x14:dataValidation type="list" allowBlank="1" showErrorMessage="1" xr:uid="{00000000-0002-0000-0200-000005000000}">
          <x14:formula1>
            <xm:f>Referencias!$V$5:$V950</xm:f>
          </x14:formula1>
          <xm:sqref>O2:O950</xm:sqref>
        </x14:dataValidation>
        <x14:dataValidation type="list" allowBlank="1" showErrorMessage="1" xr:uid="{00000000-0002-0000-0200-000006000000}">
          <x14:formula1>
            <xm:f>Referencias!$X$5:$X$97</xm:f>
          </x14:formula1>
          <xm:sqref>W2:W7 W9:W950</xm:sqref>
        </x14:dataValidation>
        <x14:dataValidation type="list" allowBlank="1" showErrorMessage="1" xr:uid="{00000000-0002-0000-0200-000008000000}">
          <x14:formula1>
            <xm:f>Referencias!$P$5:$P950</xm:f>
          </x14:formula1>
          <xm:sqref>M2:M950</xm:sqref>
        </x14:dataValidation>
        <x14:dataValidation type="list" allowBlank="1" showErrorMessage="1" xr:uid="{00000000-0002-0000-0200-000009000000}">
          <x14:formula1>
            <xm:f>Especie!$H$2:$H$96</xm:f>
          </x14:formula1>
          <xm:sqref>G2:G944</xm:sqref>
        </x14:dataValidation>
        <x14:dataValidation type="list" allowBlank="1" showErrorMessage="1" xr:uid="{00000000-0002-0000-0200-00000A000000}">
          <x14:formula1>
            <xm:f>Referencias!$Z$5:$Z$18</xm:f>
          </x14:formula1>
          <xm:sqref>N2:N950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5F981"/>
    <outlinePr summaryBelow="0" summaryRight="0"/>
  </sheetPr>
  <dimension ref="A1:AW933"/>
  <sheetViews>
    <sheetView workbookViewId="0">
      <pane ySplit="1" topLeftCell="A2" activePane="bottomLeft" state="frozen"/>
      <selection pane="bottomLeft" activeCell="J39" sqref="J39"/>
    </sheetView>
  </sheetViews>
  <sheetFormatPr baseColWidth="10" defaultColWidth="12.5703125" defaultRowHeight="15" customHeight="1" x14ac:dyDescent="0.2"/>
  <cols>
    <col min="7" max="7" width="14.42578125" customWidth="1"/>
    <col min="8" max="8" width="22.5703125" customWidth="1"/>
    <col min="9" max="9" width="20.5703125" customWidth="1"/>
    <col min="10" max="10" width="15" customWidth="1"/>
    <col min="11" max="11" width="13.5703125" customWidth="1"/>
    <col min="12" max="12" width="29.28515625" customWidth="1"/>
    <col min="13" max="13" width="37.140625" customWidth="1"/>
    <col min="14" max="17" width="20.28515625" customWidth="1"/>
    <col min="18" max="18" width="17.85546875" customWidth="1"/>
    <col min="19" max="19" width="18.7109375" customWidth="1"/>
  </cols>
  <sheetData>
    <row r="1" spans="1:24" ht="24.75" customHeight="1" x14ac:dyDescent="0.2">
      <c r="A1" s="146" t="s">
        <v>97</v>
      </c>
      <c r="B1" s="147" t="s">
        <v>794</v>
      </c>
      <c r="C1" s="147" t="s">
        <v>795</v>
      </c>
      <c r="D1" s="147" t="s">
        <v>796</v>
      </c>
      <c r="E1" s="147" t="s">
        <v>797</v>
      </c>
      <c r="F1" s="147" t="s">
        <v>798</v>
      </c>
      <c r="G1" s="147" t="s">
        <v>43</v>
      </c>
      <c r="H1" s="146" t="s">
        <v>99</v>
      </c>
      <c r="I1" s="146" t="s">
        <v>799</v>
      </c>
      <c r="J1" s="146" t="s">
        <v>800</v>
      </c>
      <c r="K1" s="146" t="s">
        <v>801</v>
      </c>
      <c r="L1" s="148" t="s">
        <v>802</v>
      </c>
      <c r="M1" s="73" t="s">
        <v>803</v>
      </c>
      <c r="N1" s="149" t="s">
        <v>804</v>
      </c>
      <c r="O1" s="149" t="s">
        <v>805</v>
      </c>
      <c r="P1" s="149" t="s">
        <v>806</v>
      </c>
      <c r="Q1" s="149" t="s">
        <v>807</v>
      </c>
      <c r="R1" s="42" t="s">
        <v>58</v>
      </c>
      <c r="S1" s="42" t="s">
        <v>59</v>
      </c>
      <c r="T1" s="42" t="s">
        <v>60</v>
      </c>
      <c r="U1" s="42" t="s">
        <v>61</v>
      </c>
    </row>
    <row r="2" spans="1:24" ht="15.75" customHeight="1" x14ac:dyDescent="0.25">
      <c r="A2" s="96" t="s">
        <v>808</v>
      </c>
      <c r="B2" s="96" t="s">
        <v>809</v>
      </c>
      <c r="C2" s="96" t="s">
        <v>810</v>
      </c>
      <c r="D2" s="96" t="s">
        <v>811</v>
      </c>
      <c r="E2" s="96" t="s">
        <v>812</v>
      </c>
      <c r="F2" s="96" t="s">
        <v>813</v>
      </c>
      <c r="G2" s="150" t="s">
        <v>814</v>
      </c>
      <c r="H2" s="151" t="s">
        <v>141</v>
      </c>
      <c r="I2" s="96" t="s">
        <v>815</v>
      </c>
      <c r="J2" s="96" t="s">
        <v>142</v>
      </c>
      <c r="K2" s="96" t="s">
        <v>816</v>
      </c>
      <c r="L2" s="152" t="s">
        <v>816</v>
      </c>
      <c r="M2" s="50"/>
      <c r="N2" s="50"/>
      <c r="O2" s="50"/>
      <c r="P2" s="50"/>
      <c r="Q2" s="50" t="s">
        <v>817</v>
      </c>
      <c r="R2" s="48" t="s">
        <v>139</v>
      </c>
      <c r="S2" s="153">
        <v>46062</v>
      </c>
      <c r="T2" s="59" t="s">
        <v>70</v>
      </c>
      <c r="U2" s="48" t="s">
        <v>140</v>
      </c>
      <c r="V2" s="50"/>
      <c r="W2" s="50"/>
      <c r="X2" s="50"/>
    </row>
    <row r="3" spans="1:24" ht="32.25" customHeight="1" x14ac:dyDescent="0.25">
      <c r="A3" s="96" t="s">
        <v>818</v>
      </c>
      <c r="B3" s="50" t="s">
        <v>819</v>
      </c>
      <c r="C3" s="50" t="s">
        <v>820</v>
      </c>
      <c r="D3" s="50" t="s">
        <v>821</v>
      </c>
      <c r="E3" s="50" t="s">
        <v>822</v>
      </c>
      <c r="F3" s="50" t="s">
        <v>823</v>
      </c>
      <c r="G3" s="154" t="s">
        <v>824</v>
      </c>
      <c r="H3" s="104" t="s">
        <v>167</v>
      </c>
      <c r="I3" s="155" t="s">
        <v>825</v>
      </c>
      <c r="J3" s="155" t="s">
        <v>168</v>
      </c>
      <c r="K3" s="102" t="s">
        <v>826</v>
      </c>
      <c r="L3" s="156" t="s">
        <v>827</v>
      </c>
      <c r="M3" s="50"/>
      <c r="N3" s="50"/>
      <c r="O3" s="96"/>
      <c r="P3" s="50"/>
      <c r="Q3" s="85" t="s">
        <v>828</v>
      </c>
      <c r="R3" s="48" t="s">
        <v>139</v>
      </c>
      <c r="S3" s="153">
        <v>46062</v>
      </c>
      <c r="T3" s="59" t="s">
        <v>70</v>
      </c>
      <c r="U3" s="48" t="s">
        <v>140</v>
      </c>
      <c r="V3" s="50"/>
      <c r="W3" s="50"/>
      <c r="X3" s="50"/>
    </row>
    <row r="4" spans="1:24" ht="15.75" customHeight="1" x14ac:dyDescent="0.25">
      <c r="A4" s="96" t="s">
        <v>829</v>
      </c>
      <c r="B4" s="96" t="s">
        <v>809</v>
      </c>
      <c r="C4" s="96" t="s">
        <v>810</v>
      </c>
      <c r="D4" s="96" t="s">
        <v>811</v>
      </c>
      <c r="E4" s="96" t="s">
        <v>830</v>
      </c>
      <c r="F4" s="111" t="s">
        <v>831</v>
      </c>
      <c r="G4" s="150" t="s">
        <v>832</v>
      </c>
      <c r="H4" s="151" t="s">
        <v>180</v>
      </c>
      <c r="I4" s="96" t="s">
        <v>833</v>
      </c>
      <c r="J4" s="96" t="s">
        <v>181</v>
      </c>
      <c r="K4" s="96" t="s">
        <v>816</v>
      </c>
      <c r="L4" s="152" t="s">
        <v>816</v>
      </c>
      <c r="M4" s="50"/>
      <c r="N4" s="50"/>
      <c r="O4" s="50"/>
      <c r="P4" s="50"/>
      <c r="Q4" s="50"/>
      <c r="R4" s="48" t="s">
        <v>139</v>
      </c>
      <c r="S4" s="153">
        <v>46062</v>
      </c>
      <c r="T4" s="59" t="s">
        <v>70</v>
      </c>
      <c r="U4" s="48" t="s">
        <v>140</v>
      </c>
      <c r="V4" s="50"/>
      <c r="W4" s="50"/>
      <c r="X4" s="50"/>
    </row>
    <row r="5" spans="1:24" ht="15.75" customHeight="1" x14ac:dyDescent="0.25">
      <c r="A5" s="96" t="s">
        <v>834</v>
      </c>
      <c r="B5" s="50" t="s">
        <v>809</v>
      </c>
      <c r="C5" s="50" t="s">
        <v>810</v>
      </c>
      <c r="D5" s="50" t="s">
        <v>811</v>
      </c>
      <c r="E5" s="50" t="s">
        <v>835</v>
      </c>
      <c r="F5" s="50" t="s">
        <v>836</v>
      </c>
      <c r="G5" s="154" t="s">
        <v>837</v>
      </c>
      <c r="H5" s="151" t="s">
        <v>221</v>
      </c>
      <c r="I5" s="48" t="s">
        <v>838</v>
      </c>
      <c r="J5" s="48" t="s">
        <v>222</v>
      </c>
      <c r="K5" s="48" t="s">
        <v>816</v>
      </c>
      <c r="L5" s="152" t="s">
        <v>816</v>
      </c>
      <c r="M5" s="50"/>
      <c r="N5" s="50"/>
      <c r="O5" s="50"/>
      <c r="P5" s="50"/>
      <c r="Q5" s="50"/>
      <c r="R5" s="48" t="s">
        <v>139</v>
      </c>
      <c r="S5" s="153">
        <v>46062</v>
      </c>
      <c r="T5" s="59" t="s">
        <v>70</v>
      </c>
      <c r="U5" s="48" t="s">
        <v>140</v>
      </c>
      <c r="V5" s="50"/>
      <c r="W5" s="50"/>
      <c r="X5" s="50"/>
    </row>
    <row r="6" spans="1:24" ht="15.75" customHeight="1" x14ac:dyDescent="0.25">
      <c r="A6" s="96" t="s">
        <v>839</v>
      </c>
      <c r="B6" s="50" t="s">
        <v>809</v>
      </c>
      <c r="C6" s="50" t="s">
        <v>810</v>
      </c>
      <c r="D6" s="50" t="s">
        <v>811</v>
      </c>
      <c r="E6" s="50" t="s">
        <v>835</v>
      </c>
      <c r="F6" s="50" t="s">
        <v>840</v>
      </c>
      <c r="G6" s="154" t="s">
        <v>841</v>
      </c>
      <c r="H6" s="151" t="s">
        <v>188</v>
      </c>
      <c r="I6" s="48" t="s">
        <v>842</v>
      </c>
      <c r="J6" s="48" t="s">
        <v>189</v>
      </c>
      <c r="K6" s="48" t="s">
        <v>843</v>
      </c>
      <c r="L6" s="152" t="s">
        <v>843</v>
      </c>
      <c r="M6" s="50"/>
      <c r="N6" s="50"/>
      <c r="O6" s="50"/>
      <c r="P6" s="50"/>
      <c r="Q6" s="50"/>
      <c r="R6" s="48" t="s">
        <v>139</v>
      </c>
      <c r="S6" s="153">
        <v>46062</v>
      </c>
      <c r="T6" s="59" t="s">
        <v>70</v>
      </c>
      <c r="U6" s="48" t="s">
        <v>140</v>
      </c>
      <c r="V6" s="50"/>
      <c r="W6" s="50"/>
      <c r="X6" s="50"/>
    </row>
    <row r="7" spans="1:24" ht="15.75" customHeight="1" x14ac:dyDescent="0.25">
      <c r="A7" s="96" t="s">
        <v>844</v>
      </c>
      <c r="B7" s="50" t="s">
        <v>809</v>
      </c>
      <c r="C7" s="50" t="s">
        <v>810</v>
      </c>
      <c r="D7" s="50" t="s">
        <v>811</v>
      </c>
      <c r="E7" s="50" t="s">
        <v>845</v>
      </c>
      <c r="F7" s="50" t="s">
        <v>846</v>
      </c>
      <c r="G7" s="154" t="s">
        <v>847</v>
      </c>
      <c r="H7" s="151" t="s">
        <v>196</v>
      </c>
      <c r="I7" s="48" t="s">
        <v>833</v>
      </c>
      <c r="J7" s="48" t="s">
        <v>197</v>
      </c>
      <c r="K7" s="48" t="s">
        <v>816</v>
      </c>
      <c r="L7" s="152" t="s">
        <v>816</v>
      </c>
      <c r="M7" s="50"/>
      <c r="N7" s="50"/>
      <c r="O7" s="50"/>
      <c r="P7" s="50"/>
      <c r="Q7" s="102" t="s">
        <v>848</v>
      </c>
      <c r="R7" s="48" t="s">
        <v>139</v>
      </c>
      <c r="S7" s="153">
        <v>46062</v>
      </c>
      <c r="T7" s="59" t="s">
        <v>70</v>
      </c>
      <c r="U7" s="48" t="s">
        <v>140</v>
      </c>
      <c r="V7" s="50"/>
      <c r="W7" s="50"/>
      <c r="X7" s="50"/>
    </row>
    <row r="8" spans="1:24" ht="15.75" customHeight="1" x14ac:dyDescent="0.25">
      <c r="A8" s="96" t="s">
        <v>849</v>
      </c>
      <c r="B8" s="50" t="s">
        <v>819</v>
      </c>
      <c r="C8" s="50" t="s">
        <v>820</v>
      </c>
      <c r="D8" s="50" t="s">
        <v>821</v>
      </c>
      <c r="E8" s="50" t="s">
        <v>850</v>
      </c>
      <c r="F8" s="50" t="s">
        <v>851</v>
      </c>
      <c r="G8" s="154" t="s">
        <v>852</v>
      </c>
      <c r="H8" s="107" t="s">
        <v>204</v>
      </c>
      <c r="I8" s="48" t="s">
        <v>853</v>
      </c>
      <c r="J8" s="48" t="s">
        <v>205</v>
      </c>
      <c r="K8" s="48" t="s">
        <v>843</v>
      </c>
      <c r="L8" s="152" t="s">
        <v>843</v>
      </c>
      <c r="M8" s="50"/>
      <c r="N8" s="50"/>
      <c r="O8" s="96"/>
      <c r="P8" s="50"/>
      <c r="Q8" s="50"/>
      <c r="R8" s="48" t="s">
        <v>139</v>
      </c>
      <c r="S8" s="153">
        <v>46062</v>
      </c>
      <c r="T8" s="59" t="s">
        <v>70</v>
      </c>
      <c r="U8" s="48" t="s">
        <v>140</v>
      </c>
      <c r="V8" s="50"/>
      <c r="W8" s="50"/>
      <c r="X8" s="50"/>
    </row>
    <row r="9" spans="1:24" ht="15.75" customHeight="1" x14ac:dyDescent="0.25">
      <c r="A9" s="96" t="s">
        <v>854</v>
      </c>
      <c r="B9" s="50" t="s">
        <v>809</v>
      </c>
      <c r="C9" s="50" t="s">
        <v>810</v>
      </c>
      <c r="D9" s="50" t="s">
        <v>855</v>
      </c>
      <c r="E9" s="50" t="s">
        <v>856</v>
      </c>
      <c r="F9" s="50" t="s">
        <v>857</v>
      </c>
      <c r="G9" s="154" t="s">
        <v>858</v>
      </c>
      <c r="H9" s="151" t="s">
        <v>228</v>
      </c>
      <c r="I9" s="48" t="s">
        <v>859</v>
      </c>
      <c r="J9" s="48" t="s">
        <v>229</v>
      </c>
      <c r="K9" s="48" t="s">
        <v>816</v>
      </c>
      <c r="L9" s="152" t="s">
        <v>816</v>
      </c>
      <c r="M9" s="50"/>
      <c r="N9" s="50"/>
      <c r="O9" s="96"/>
      <c r="P9" s="50"/>
      <c r="Q9" s="50"/>
      <c r="R9" s="48" t="s">
        <v>139</v>
      </c>
      <c r="S9" s="153">
        <v>46062</v>
      </c>
      <c r="T9" s="59" t="s">
        <v>70</v>
      </c>
      <c r="U9" s="48" t="s">
        <v>140</v>
      </c>
      <c r="V9" s="50"/>
      <c r="W9" s="50"/>
      <c r="X9" s="50"/>
    </row>
    <row r="10" spans="1:24" ht="15.75" customHeight="1" x14ac:dyDescent="0.25">
      <c r="A10" s="96" t="s">
        <v>860</v>
      </c>
      <c r="B10" s="50" t="s">
        <v>809</v>
      </c>
      <c r="C10" s="50" t="s">
        <v>810</v>
      </c>
      <c r="D10" s="50" t="s">
        <v>811</v>
      </c>
      <c r="E10" s="50" t="s">
        <v>861</v>
      </c>
      <c r="F10" s="50" t="s">
        <v>862</v>
      </c>
      <c r="G10" s="154" t="s">
        <v>863</v>
      </c>
      <c r="H10" s="151" t="s">
        <v>232</v>
      </c>
      <c r="I10" s="48" t="s">
        <v>864</v>
      </c>
      <c r="J10" s="48" t="s">
        <v>233</v>
      </c>
      <c r="K10" s="48" t="s">
        <v>816</v>
      </c>
      <c r="L10" s="152" t="s">
        <v>816</v>
      </c>
      <c r="M10" s="50"/>
      <c r="N10" s="50"/>
      <c r="O10" s="50"/>
      <c r="P10" s="50"/>
      <c r="Q10" s="50"/>
      <c r="R10" s="48" t="s">
        <v>139</v>
      </c>
      <c r="S10" s="153">
        <v>46062</v>
      </c>
      <c r="T10" s="59" t="s">
        <v>70</v>
      </c>
      <c r="U10" s="48" t="s">
        <v>140</v>
      </c>
      <c r="V10" s="50"/>
      <c r="W10" s="50"/>
      <c r="X10" s="50"/>
    </row>
    <row r="11" spans="1:24" ht="15.75" customHeight="1" x14ac:dyDescent="0.25">
      <c r="A11" s="96" t="s">
        <v>865</v>
      </c>
      <c r="B11" s="50" t="s">
        <v>809</v>
      </c>
      <c r="C11" s="50" t="s">
        <v>810</v>
      </c>
      <c r="D11" s="50" t="s">
        <v>811</v>
      </c>
      <c r="E11" s="50" t="s">
        <v>861</v>
      </c>
      <c r="F11" s="50" t="s">
        <v>866</v>
      </c>
      <c r="G11" s="154" t="s">
        <v>867</v>
      </c>
      <c r="H11" s="104" t="s">
        <v>788</v>
      </c>
      <c r="I11" s="48" t="s">
        <v>868</v>
      </c>
      <c r="J11" s="48" t="s">
        <v>869</v>
      </c>
      <c r="K11" s="48" t="s">
        <v>843</v>
      </c>
      <c r="L11" s="152" t="s">
        <v>870</v>
      </c>
      <c r="M11" s="50"/>
      <c r="N11" s="50"/>
      <c r="O11" s="50"/>
      <c r="P11" s="50"/>
      <c r="Q11" s="50"/>
      <c r="R11" s="48" t="s">
        <v>139</v>
      </c>
      <c r="S11" s="153">
        <v>46062</v>
      </c>
      <c r="T11" s="59" t="s">
        <v>70</v>
      </c>
      <c r="U11" s="48" t="s">
        <v>140</v>
      </c>
      <c r="V11" s="50"/>
      <c r="W11" s="50"/>
      <c r="X11" s="50"/>
    </row>
    <row r="12" spans="1:24" ht="15.75" customHeight="1" x14ac:dyDescent="0.25">
      <c r="A12" s="96" t="s">
        <v>871</v>
      </c>
      <c r="B12" s="50" t="s">
        <v>809</v>
      </c>
      <c r="C12" s="50" t="s">
        <v>810</v>
      </c>
      <c r="D12" s="50" t="s">
        <v>811</v>
      </c>
      <c r="E12" s="50" t="s">
        <v>872</v>
      </c>
      <c r="F12" s="50" t="s">
        <v>873</v>
      </c>
      <c r="G12" s="154" t="s">
        <v>874</v>
      </c>
      <c r="H12" s="104" t="s">
        <v>241</v>
      </c>
      <c r="I12" s="48" t="s">
        <v>815</v>
      </c>
      <c r="J12" s="48" t="s">
        <v>242</v>
      </c>
      <c r="K12" s="48" t="s">
        <v>816</v>
      </c>
      <c r="L12" s="152" t="s">
        <v>816</v>
      </c>
      <c r="M12" s="50"/>
      <c r="N12" s="50"/>
      <c r="O12" s="50"/>
      <c r="P12" s="50"/>
      <c r="Q12" s="50"/>
      <c r="R12" s="48" t="s">
        <v>139</v>
      </c>
      <c r="S12" s="153">
        <v>46062</v>
      </c>
      <c r="T12" s="59" t="s">
        <v>70</v>
      </c>
      <c r="U12" s="48" t="s">
        <v>140</v>
      </c>
      <c r="V12" s="50"/>
      <c r="W12" s="50"/>
      <c r="X12" s="50"/>
    </row>
    <row r="13" spans="1:24" ht="15.75" customHeight="1" x14ac:dyDescent="0.25">
      <c r="A13" s="96" t="s">
        <v>875</v>
      </c>
      <c r="B13" s="50" t="s">
        <v>809</v>
      </c>
      <c r="C13" s="50" t="s">
        <v>810</v>
      </c>
      <c r="D13" s="50" t="s">
        <v>811</v>
      </c>
      <c r="E13" s="50" t="s">
        <v>876</v>
      </c>
      <c r="F13" s="111" t="s">
        <v>877</v>
      </c>
      <c r="G13" s="154" t="s">
        <v>878</v>
      </c>
      <c r="H13" s="151" t="s">
        <v>125</v>
      </c>
      <c r="I13" s="48" t="s">
        <v>879</v>
      </c>
      <c r="J13" s="48" t="s">
        <v>126</v>
      </c>
      <c r="K13" s="48" t="s">
        <v>816</v>
      </c>
      <c r="L13" s="152" t="s">
        <v>816</v>
      </c>
      <c r="M13" s="50"/>
      <c r="N13" s="50"/>
      <c r="O13" s="50"/>
      <c r="P13" s="50"/>
      <c r="Q13" s="50"/>
      <c r="R13" s="48" t="s">
        <v>139</v>
      </c>
      <c r="S13" s="153">
        <v>46062</v>
      </c>
      <c r="T13" s="59" t="s">
        <v>70</v>
      </c>
      <c r="U13" s="48" t="s">
        <v>140</v>
      </c>
      <c r="V13" s="50"/>
      <c r="W13" s="50"/>
      <c r="X13" s="50"/>
    </row>
    <row r="14" spans="1:24" ht="15.75" customHeight="1" x14ac:dyDescent="0.25">
      <c r="A14" s="96" t="s">
        <v>880</v>
      </c>
      <c r="B14" s="50" t="s">
        <v>809</v>
      </c>
      <c r="C14" s="50" t="s">
        <v>810</v>
      </c>
      <c r="D14" s="50" t="s">
        <v>811</v>
      </c>
      <c r="E14" s="50" t="s">
        <v>881</v>
      </c>
      <c r="F14" s="154" t="s">
        <v>882</v>
      </c>
      <c r="G14" s="88" t="s">
        <v>883</v>
      </c>
      <c r="H14" s="110" t="s">
        <v>359</v>
      </c>
      <c r="I14" s="48" t="s">
        <v>884</v>
      </c>
      <c r="J14" s="48" t="s">
        <v>360</v>
      </c>
      <c r="K14" s="48"/>
      <c r="L14" s="157"/>
      <c r="M14" s="50"/>
      <c r="N14" s="50"/>
      <c r="O14" s="50"/>
      <c r="P14" s="50"/>
      <c r="Q14" s="50"/>
      <c r="R14" s="48" t="s">
        <v>139</v>
      </c>
      <c r="S14" s="153">
        <v>46062</v>
      </c>
      <c r="T14" s="59" t="s">
        <v>70</v>
      </c>
      <c r="U14" s="48" t="s">
        <v>140</v>
      </c>
      <c r="V14" s="50"/>
      <c r="W14" s="50"/>
      <c r="X14" s="50"/>
    </row>
    <row r="15" spans="1:24" ht="15.75" customHeight="1" x14ac:dyDescent="0.25">
      <c r="A15" s="96" t="s">
        <v>885</v>
      </c>
      <c r="B15" s="50" t="s">
        <v>819</v>
      </c>
      <c r="C15" s="50" t="s">
        <v>820</v>
      </c>
      <c r="D15" s="50" t="s">
        <v>886</v>
      </c>
      <c r="E15" s="50" t="s">
        <v>887</v>
      </c>
      <c r="F15" s="50" t="s">
        <v>888</v>
      </c>
      <c r="G15" s="154" t="s">
        <v>889</v>
      </c>
      <c r="H15" s="104" t="s">
        <v>258</v>
      </c>
      <c r="I15" s="48" t="s">
        <v>890</v>
      </c>
      <c r="J15" s="48" t="s">
        <v>259</v>
      </c>
      <c r="K15" s="48" t="s">
        <v>843</v>
      </c>
      <c r="L15" s="152" t="s">
        <v>843</v>
      </c>
      <c r="M15" s="50"/>
      <c r="N15" s="50"/>
      <c r="O15" s="50"/>
      <c r="P15" s="50"/>
      <c r="Q15" s="50" t="s">
        <v>891</v>
      </c>
      <c r="R15" s="48" t="s">
        <v>139</v>
      </c>
      <c r="S15" s="153">
        <v>46062</v>
      </c>
      <c r="T15" s="59" t="s">
        <v>70</v>
      </c>
      <c r="U15" s="48" t="s">
        <v>140</v>
      </c>
      <c r="V15" s="50"/>
      <c r="W15" s="50"/>
      <c r="X15" s="50"/>
    </row>
    <row r="16" spans="1:24" ht="15.75" customHeight="1" x14ac:dyDescent="0.25">
      <c r="A16" s="96" t="s">
        <v>892</v>
      </c>
      <c r="B16" s="50" t="s">
        <v>809</v>
      </c>
      <c r="C16" s="50" t="s">
        <v>810</v>
      </c>
      <c r="D16" s="50" t="s">
        <v>811</v>
      </c>
      <c r="E16" s="50" t="s">
        <v>830</v>
      </c>
      <c r="F16" s="50" t="s">
        <v>893</v>
      </c>
      <c r="G16" s="154" t="s">
        <v>894</v>
      </c>
      <c r="H16" s="104" t="s">
        <v>327</v>
      </c>
      <c r="I16" s="48" t="s">
        <v>895</v>
      </c>
      <c r="J16" s="48" t="s">
        <v>328</v>
      </c>
      <c r="K16" s="48" t="s">
        <v>816</v>
      </c>
      <c r="L16" s="152" t="s">
        <v>816</v>
      </c>
      <c r="M16" s="50"/>
      <c r="N16" s="50"/>
      <c r="O16" s="50"/>
      <c r="P16" s="50"/>
      <c r="Q16" s="50"/>
      <c r="R16" s="48" t="s">
        <v>139</v>
      </c>
      <c r="S16" s="153">
        <v>46062</v>
      </c>
      <c r="T16" s="59" t="s">
        <v>70</v>
      </c>
      <c r="U16" s="48" t="s">
        <v>140</v>
      </c>
      <c r="V16" s="50"/>
      <c r="W16" s="50"/>
      <c r="X16" s="50"/>
    </row>
    <row r="17" spans="1:49" ht="15.75" customHeight="1" x14ac:dyDescent="0.25">
      <c r="A17" s="96" t="s">
        <v>896</v>
      </c>
      <c r="B17" s="50" t="s">
        <v>809</v>
      </c>
      <c r="C17" s="50" t="s">
        <v>810</v>
      </c>
      <c r="D17" s="50" t="s">
        <v>811</v>
      </c>
      <c r="E17" s="50" t="s">
        <v>872</v>
      </c>
      <c r="F17" s="50" t="s">
        <v>873</v>
      </c>
      <c r="G17" s="154" t="s">
        <v>897</v>
      </c>
      <c r="H17" s="104" t="s">
        <v>285</v>
      </c>
      <c r="I17" s="48" t="s">
        <v>898</v>
      </c>
      <c r="J17" s="48" t="s">
        <v>374</v>
      </c>
      <c r="K17" s="48" t="s">
        <v>843</v>
      </c>
      <c r="L17" s="152" t="s">
        <v>870</v>
      </c>
      <c r="M17" s="50"/>
      <c r="N17" s="50"/>
      <c r="O17" s="50"/>
      <c r="P17" s="50"/>
      <c r="Q17" s="50" t="s">
        <v>899</v>
      </c>
      <c r="R17" s="48" t="s">
        <v>139</v>
      </c>
      <c r="S17" s="153">
        <v>46062</v>
      </c>
      <c r="T17" s="59" t="s">
        <v>70</v>
      </c>
      <c r="U17" s="48" t="s">
        <v>140</v>
      </c>
      <c r="V17" s="50"/>
      <c r="W17" s="50"/>
      <c r="X17" s="50"/>
    </row>
    <row r="18" spans="1:49" ht="15.75" customHeight="1" x14ac:dyDescent="0.25">
      <c r="A18" s="96" t="s">
        <v>900</v>
      </c>
      <c r="B18" s="50" t="s">
        <v>809</v>
      </c>
      <c r="C18" s="50" t="s">
        <v>810</v>
      </c>
      <c r="D18" s="50" t="s">
        <v>811</v>
      </c>
      <c r="E18" s="50" t="s">
        <v>830</v>
      </c>
      <c r="F18" s="50" t="s">
        <v>831</v>
      </c>
      <c r="G18" s="154" t="s">
        <v>901</v>
      </c>
      <c r="H18" s="104" t="s">
        <v>459</v>
      </c>
      <c r="I18" s="48" t="s">
        <v>833</v>
      </c>
      <c r="J18" s="48" t="s">
        <v>460</v>
      </c>
      <c r="K18" s="48" t="s">
        <v>816</v>
      </c>
      <c r="L18" s="152" t="s">
        <v>816</v>
      </c>
      <c r="M18" s="50"/>
      <c r="N18" s="50"/>
      <c r="O18" s="50"/>
      <c r="P18" s="50"/>
      <c r="Q18" s="50"/>
      <c r="R18" s="48" t="s">
        <v>139</v>
      </c>
      <c r="S18" s="153">
        <v>46062</v>
      </c>
      <c r="T18" s="59" t="s">
        <v>70</v>
      </c>
      <c r="U18" s="48" t="s">
        <v>140</v>
      </c>
      <c r="V18" s="50"/>
      <c r="W18" s="50"/>
      <c r="X18" s="50"/>
    </row>
    <row r="19" spans="1:49" ht="15.75" customHeight="1" x14ac:dyDescent="0.25">
      <c r="A19" s="96" t="s">
        <v>902</v>
      </c>
      <c r="B19" s="50" t="s">
        <v>809</v>
      </c>
      <c r="C19" s="50" t="s">
        <v>810</v>
      </c>
      <c r="D19" s="50" t="s">
        <v>855</v>
      </c>
      <c r="E19" s="50" t="s">
        <v>903</v>
      </c>
      <c r="F19" s="50" t="s">
        <v>904</v>
      </c>
      <c r="G19" s="154" t="s">
        <v>905</v>
      </c>
      <c r="H19" s="104" t="s">
        <v>248</v>
      </c>
      <c r="I19" s="48" t="s">
        <v>906</v>
      </c>
      <c r="J19" s="48" t="s">
        <v>249</v>
      </c>
      <c r="K19" s="48"/>
      <c r="L19" s="157"/>
      <c r="M19" s="50"/>
      <c r="N19" s="50"/>
      <c r="O19" s="50"/>
      <c r="P19" s="50"/>
      <c r="Q19" s="50" t="s">
        <v>907</v>
      </c>
      <c r="R19" s="48" t="s">
        <v>139</v>
      </c>
      <c r="S19" s="153">
        <v>46062</v>
      </c>
      <c r="T19" s="59" t="s">
        <v>70</v>
      </c>
      <c r="U19" s="48" t="s">
        <v>140</v>
      </c>
      <c r="V19" s="50"/>
      <c r="W19" s="50"/>
      <c r="X19" s="50"/>
    </row>
    <row r="20" spans="1:49" ht="15.75" customHeight="1" x14ac:dyDescent="0.25">
      <c r="A20" s="96" t="s">
        <v>908</v>
      </c>
      <c r="B20" s="50" t="s">
        <v>809</v>
      </c>
      <c r="C20" s="50" t="s">
        <v>810</v>
      </c>
      <c r="D20" s="50" t="s">
        <v>811</v>
      </c>
      <c r="E20" s="50" t="s">
        <v>909</v>
      </c>
      <c r="F20" s="50" t="s">
        <v>910</v>
      </c>
      <c r="G20" s="154" t="s">
        <v>911</v>
      </c>
      <c r="H20" s="104" t="s">
        <v>356</v>
      </c>
      <c r="I20" s="48" t="s">
        <v>833</v>
      </c>
      <c r="J20" s="48" t="s">
        <v>357</v>
      </c>
      <c r="K20" s="48" t="s">
        <v>816</v>
      </c>
      <c r="L20" s="152" t="s">
        <v>816</v>
      </c>
      <c r="M20" s="50"/>
      <c r="N20" s="50"/>
      <c r="O20" s="50"/>
      <c r="P20" s="50"/>
      <c r="Q20" s="50"/>
      <c r="R20" s="48" t="s">
        <v>139</v>
      </c>
      <c r="S20" s="153">
        <v>46062</v>
      </c>
      <c r="T20" s="59" t="s">
        <v>70</v>
      </c>
      <c r="U20" s="48" t="s">
        <v>140</v>
      </c>
      <c r="V20" s="50"/>
      <c r="W20" s="50"/>
      <c r="X20" s="50"/>
    </row>
    <row r="21" spans="1:49" ht="15.75" customHeight="1" x14ac:dyDescent="0.25">
      <c r="A21" s="96" t="s">
        <v>912</v>
      </c>
      <c r="B21" s="50" t="s">
        <v>809</v>
      </c>
      <c r="C21" s="50" t="s">
        <v>810</v>
      </c>
      <c r="D21" s="50" t="s">
        <v>811</v>
      </c>
      <c r="E21" s="50" t="s">
        <v>835</v>
      </c>
      <c r="F21" s="50" t="s">
        <v>913</v>
      </c>
      <c r="G21" s="154" t="s">
        <v>914</v>
      </c>
      <c r="H21" s="104" t="s">
        <v>278</v>
      </c>
      <c r="I21" s="48" t="s">
        <v>915</v>
      </c>
      <c r="J21" s="48" t="s">
        <v>279</v>
      </c>
      <c r="K21" s="48" t="s">
        <v>843</v>
      </c>
      <c r="L21" s="152" t="s">
        <v>870</v>
      </c>
      <c r="M21" s="50"/>
      <c r="N21" s="50"/>
      <c r="O21" s="50"/>
      <c r="P21" s="50"/>
      <c r="Q21" s="50" t="s">
        <v>916</v>
      </c>
      <c r="R21" s="48" t="s">
        <v>139</v>
      </c>
      <c r="S21" s="153">
        <v>46062</v>
      </c>
      <c r="T21" s="59" t="s">
        <v>70</v>
      </c>
      <c r="U21" s="48" t="s">
        <v>140</v>
      </c>
      <c r="V21" s="50"/>
      <c r="W21" s="50"/>
      <c r="X21" s="50"/>
    </row>
    <row r="22" spans="1:49" ht="15.75" customHeight="1" x14ac:dyDescent="0.25">
      <c r="A22" s="96" t="s">
        <v>917</v>
      </c>
      <c r="B22" s="50" t="s">
        <v>809</v>
      </c>
      <c r="C22" s="50" t="s">
        <v>810</v>
      </c>
      <c r="D22" s="50" t="s">
        <v>811</v>
      </c>
      <c r="E22" s="50" t="s">
        <v>918</v>
      </c>
      <c r="F22" s="50" t="s">
        <v>919</v>
      </c>
      <c r="G22" s="154" t="s">
        <v>920</v>
      </c>
      <c r="H22" s="104" t="s">
        <v>309</v>
      </c>
      <c r="I22" s="48" t="s">
        <v>921</v>
      </c>
      <c r="J22" s="48" t="s">
        <v>310</v>
      </c>
      <c r="K22" s="48" t="s">
        <v>843</v>
      </c>
      <c r="L22" s="152" t="s">
        <v>843</v>
      </c>
      <c r="M22" s="50"/>
      <c r="N22" s="50"/>
      <c r="O22" s="50"/>
      <c r="P22" s="50"/>
      <c r="Q22" s="50" t="s">
        <v>922</v>
      </c>
      <c r="R22" s="48" t="s">
        <v>139</v>
      </c>
      <c r="S22" s="153">
        <v>46062</v>
      </c>
      <c r="T22" s="59" t="s">
        <v>70</v>
      </c>
      <c r="U22" s="48" t="s">
        <v>140</v>
      </c>
      <c r="V22" s="50"/>
      <c r="W22" s="50"/>
      <c r="X22" s="50"/>
    </row>
    <row r="23" spans="1:49" ht="15.75" customHeight="1" x14ac:dyDescent="0.25">
      <c r="A23" s="96" t="s">
        <v>923</v>
      </c>
      <c r="B23" s="50" t="s">
        <v>809</v>
      </c>
      <c r="C23" s="50" t="s">
        <v>810</v>
      </c>
      <c r="D23" s="50" t="s">
        <v>811</v>
      </c>
      <c r="E23" s="50" t="s">
        <v>812</v>
      </c>
      <c r="F23" s="50" t="s">
        <v>813</v>
      </c>
      <c r="G23" s="154" t="s">
        <v>924</v>
      </c>
      <c r="H23" s="107" t="s">
        <v>305</v>
      </c>
      <c r="I23" s="48" t="s">
        <v>925</v>
      </c>
      <c r="J23" s="48" t="s">
        <v>306</v>
      </c>
      <c r="K23" s="48" t="s">
        <v>816</v>
      </c>
      <c r="L23" s="152" t="s">
        <v>816</v>
      </c>
      <c r="M23" s="50"/>
      <c r="N23" s="50"/>
      <c r="O23" s="50"/>
      <c r="P23" s="50"/>
      <c r="Q23" s="50"/>
      <c r="R23" s="48" t="s">
        <v>139</v>
      </c>
      <c r="S23" s="153">
        <v>46062</v>
      </c>
      <c r="T23" s="59" t="s">
        <v>70</v>
      </c>
      <c r="U23" s="48" t="s">
        <v>140</v>
      </c>
      <c r="V23" s="50"/>
      <c r="W23" s="50"/>
      <c r="X23" s="50"/>
    </row>
    <row r="24" spans="1:49" ht="15.75" customHeight="1" x14ac:dyDescent="0.25">
      <c r="A24" s="96" t="s">
        <v>926</v>
      </c>
      <c r="B24" s="50" t="s">
        <v>819</v>
      </c>
      <c r="C24" s="50" t="s">
        <v>820</v>
      </c>
      <c r="D24" s="50" t="s">
        <v>886</v>
      </c>
      <c r="E24" s="50" t="s">
        <v>887</v>
      </c>
      <c r="F24" s="50" t="s">
        <v>927</v>
      </c>
      <c r="G24" s="154" t="s">
        <v>928</v>
      </c>
      <c r="H24" s="104" t="s">
        <v>299</v>
      </c>
      <c r="I24" s="48" t="s">
        <v>929</v>
      </c>
      <c r="J24" s="48" t="s">
        <v>300</v>
      </c>
      <c r="K24" s="48" t="s">
        <v>843</v>
      </c>
      <c r="L24" s="152" t="s">
        <v>843</v>
      </c>
      <c r="M24" s="50"/>
      <c r="N24" s="50"/>
      <c r="O24" s="50"/>
      <c r="P24" s="50"/>
      <c r="Q24" s="50"/>
      <c r="R24" s="48" t="s">
        <v>139</v>
      </c>
      <c r="S24" s="153">
        <v>46062</v>
      </c>
      <c r="T24" s="59" t="s">
        <v>70</v>
      </c>
      <c r="U24" s="48" t="s">
        <v>140</v>
      </c>
      <c r="V24" s="50"/>
      <c r="W24" s="50"/>
      <c r="X24" s="50"/>
    </row>
    <row r="25" spans="1:49" ht="15.75" customHeight="1" x14ac:dyDescent="0.25">
      <c r="A25" s="96" t="s">
        <v>930</v>
      </c>
      <c r="B25" s="158" t="s">
        <v>819</v>
      </c>
      <c r="C25" s="158" t="s">
        <v>820</v>
      </c>
      <c r="D25" s="158" t="s">
        <v>886</v>
      </c>
      <c r="E25" s="158" t="s">
        <v>931</v>
      </c>
      <c r="F25" s="158" t="s">
        <v>932</v>
      </c>
      <c r="G25" s="159" t="s">
        <v>933</v>
      </c>
      <c r="H25" s="104" t="s">
        <v>320</v>
      </c>
      <c r="I25" s="121" t="s">
        <v>929</v>
      </c>
      <c r="J25" s="121" t="s">
        <v>934</v>
      </c>
      <c r="K25" s="121"/>
      <c r="L25" s="157"/>
      <c r="M25" s="158"/>
      <c r="N25" s="158"/>
      <c r="O25" s="158"/>
      <c r="P25" s="158"/>
      <c r="Q25" s="158"/>
      <c r="R25" s="48" t="s">
        <v>139</v>
      </c>
      <c r="S25" s="153">
        <v>46062</v>
      </c>
      <c r="T25" s="59" t="s">
        <v>70</v>
      </c>
      <c r="U25" s="48" t="s">
        <v>140</v>
      </c>
      <c r="V25" s="160"/>
      <c r="W25" s="160"/>
      <c r="X25" s="160"/>
      <c r="Y25" s="117"/>
      <c r="Z25" s="117"/>
      <c r="AA25" s="117"/>
      <c r="AB25" s="117"/>
      <c r="AC25" s="117"/>
      <c r="AD25" s="117"/>
      <c r="AE25" s="117"/>
      <c r="AF25" s="117"/>
      <c r="AG25" s="117"/>
      <c r="AH25" s="117"/>
      <c r="AI25" s="117"/>
      <c r="AJ25" s="117"/>
      <c r="AK25" s="117"/>
      <c r="AL25" s="117"/>
      <c r="AM25" s="117"/>
      <c r="AN25" s="117"/>
      <c r="AO25" s="117"/>
      <c r="AP25" s="117"/>
      <c r="AQ25" s="117"/>
      <c r="AR25" s="117"/>
      <c r="AS25" s="117"/>
      <c r="AT25" s="117"/>
      <c r="AU25" s="117"/>
      <c r="AV25" s="117"/>
      <c r="AW25" s="117"/>
    </row>
    <row r="26" spans="1:49" ht="15.75" customHeight="1" x14ac:dyDescent="0.25">
      <c r="A26" s="96" t="s">
        <v>935</v>
      </c>
      <c r="B26" s="50" t="s">
        <v>809</v>
      </c>
      <c r="C26" s="50" t="s">
        <v>810</v>
      </c>
      <c r="D26" s="50" t="s">
        <v>811</v>
      </c>
      <c r="E26" s="50" t="s">
        <v>876</v>
      </c>
      <c r="F26" s="50" t="s">
        <v>936</v>
      </c>
      <c r="G26" s="154" t="s">
        <v>937</v>
      </c>
      <c r="H26" s="104" t="s">
        <v>383</v>
      </c>
      <c r="I26" s="48" t="s">
        <v>938</v>
      </c>
      <c r="J26" s="48" t="s">
        <v>654</v>
      </c>
      <c r="K26" s="121" t="s">
        <v>843</v>
      </c>
      <c r="L26" s="152" t="s">
        <v>870</v>
      </c>
      <c r="M26" s="96"/>
      <c r="N26" s="96"/>
      <c r="O26" s="96"/>
      <c r="P26" s="96"/>
      <c r="Q26" s="96"/>
      <c r="R26" s="48" t="s">
        <v>139</v>
      </c>
      <c r="S26" s="153">
        <v>46062</v>
      </c>
      <c r="T26" s="59" t="s">
        <v>70</v>
      </c>
      <c r="U26" s="48" t="s">
        <v>140</v>
      </c>
      <c r="V26" s="50"/>
      <c r="W26" s="50"/>
      <c r="X26" s="50"/>
    </row>
    <row r="27" spans="1:49" ht="15.75" customHeight="1" x14ac:dyDescent="0.25">
      <c r="A27" s="96" t="s">
        <v>939</v>
      </c>
      <c r="B27" s="50" t="s">
        <v>809</v>
      </c>
      <c r="C27" s="50"/>
      <c r="D27" s="96"/>
      <c r="E27" s="96"/>
      <c r="F27" s="96"/>
      <c r="G27" s="150"/>
      <c r="H27" s="50" t="s">
        <v>399</v>
      </c>
      <c r="I27" s="48"/>
      <c r="J27" s="48" t="s">
        <v>381</v>
      </c>
      <c r="K27" s="48"/>
      <c r="L27" s="157"/>
      <c r="M27" s="96"/>
      <c r="N27" s="96"/>
      <c r="O27" s="96"/>
      <c r="P27" s="96"/>
      <c r="Q27" s="96"/>
      <c r="R27" s="48" t="s">
        <v>139</v>
      </c>
      <c r="S27" s="153">
        <v>46062</v>
      </c>
      <c r="T27" s="59" t="s">
        <v>70</v>
      </c>
      <c r="U27" s="48" t="s">
        <v>140</v>
      </c>
      <c r="V27" s="50"/>
      <c r="W27" s="50"/>
      <c r="X27" s="50"/>
    </row>
    <row r="28" spans="1:49" ht="15.75" customHeight="1" x14ac:dyDescent="0.25">
      <c r="A28" s="96" t="s">
        <v>940</v>
      </c>
      <c r="B28" s="96" t="s">
        <v>809</v>
      </c>
      <c r="C28" s="96" t="s">
        <v>810</v>
      </c>
      <c r="D28" s="96" t="s">
        <v>811</v>
      </c>
      <c r="E28" s="96" t="s">
        <v>941</v>
      </c>
      <c r="F28" s="96" t="s">
        <v>942</v>
      </c>
      <c r="G28" s="150" t="s">
        <v>943</v>
      </c>
      <c r="H28" s="104" t="s">
        <v>406</v>
      </c>
      <c r="I28" s="48" t="s">
        <v>833</v>
      </c>
      <c r="J28" s="48" t="s">
        <v>944</v>
      </c>
      <c r="K28" s="48" t="s">
        <v>843</v>
      </c>
      <c r="L28" s="152" t="s">
        <v>843</v>
      </c>
      <c r="M28" s="96"/>
      <c r="N28" s="96"/>
      <c r="O28" s="96"/>
      <c r="P28" s="96"/>
      <c r="Q28" s="96"/>
      <c r="R28" s="48" t="s">
        <v>139</v>
      </c>
      <c r="S28" s="153">
        <v>46062</v>
      </c>
      <c r="T28" s="59" t="s">
        <v>70</v>
      </c>
      <c r="U28" s="48" t="s">
        <v>140</v>
      </c>
      <c r="V28" s="50"/>
      <c r="W28" s="50"/>
      <c r="X28" s="50"/>
    </row>
    <row r="29" spans="1:49" ht="15.75" customHeight="1" x14ac:dyDescent="0.25">
      <c r="A29" s="96" t="s">
        <v>945</v>
      </c>
      <c r="B29" s="96" t="s">
        <v>819</v>
      </c>
      <c r="C29" s="96" t="s">
        <v>820</v>
      </c>
      <c r="D29" s="96" t="s">
        <v>821</v>
      </c>
      <c r="E29" s="96" t="s">
        <v>850</v>
      </c>
      <c r="F29" s="96" t="s">
        <v>946</v>
      </c>
      <c r="G29" s="150" t="s">
        <v>947</v>
      </c>
      <c r="H29" s="104" t="s">
        <v>413</v>
      </c>
      <c r="I29" s="48" t="s">
        <v>948</v>
      </c>
      <c r="J29" s="48" t="s">
        <v>949</v>
      </c>
      <c r="K29" s="48" t="s">
        <v>843</v>
      </c>
      <c r="L29" s="152" t="s">
        <v>870</v>
      </c>
      <c r="M29" s="96"/>
      <c r="N29" s="96"/>
      <c r="O29" s="96"/>
      <c r="P29" s="96"/>
      <c r="Q29" s="96"/>
      <c r="R29" s="48" t="s">
        <v>139</v>
      </c>
      <c r="S29" s="153">
        <v>46062</v>
      </c>
      <c r="T29" s="59" t="s">
        <v>70</v>
      </c>
      <c r="U29" s="48" t="s">
        <v>140</v>
      </c>
      <c r="V29" s="50"/>
      <c r="W29" s="50"/>
      <c r="X29" s="50"/>
    </row>
    <row r="30" spans="1:49" ht="15.75" customHeight="1" x14ac:dyDescent="0.25">
      <c r="A30" s="96" t="s">
        <v>950</v>
      </c>
      <c r="B30" s="96" t="s">
        <v>809</v>
      </c>
      <c r="C30" s="96" t="s">
        <v>810</v>
      </c>
      <c r="D30" s="96" t="s">
        <v>855</v>
      </c>
      <c r="E30" s="96" t="s">
        <v>856</v>
      </c>
      <c r="F30" s="96" t="s">
        <v>857</v>
      </c>
      <c r="G30" s="150" t="s">
        <v>451</v>
      </c>
      <c r="H30" s="104" t="s">
        <v>450</v>
      </c>
      <c r="I30" s="48" t="s">
        <v>951</v>
      </c>
      <c r="J30" s="48" t="s">
        <v>451</v>
      </c>
      <c r="K30" s="48" t="s">
        <v>816</v>
      </c>
      <c r="L30" s="152" t="s">
        <v>816</v>
      </c>
      <c r="M30" s="96"/>
      <c r="N30" s="96"/>
      <c r="O30" s="96"/>
      <c r="P30" s="96"/>
      <c r="Q30" s="96"/>
      <c r="R30" s="48" t="s">
        <v>139</v>
      </c>
      <c r="S30" s="153">
        <v>46062</v>
      </c>
      <c r="T30" s="59" t="s">
        <v>70</v>
      </c>
      <c r="U30" s="48" t="s">
        <v>140</v>
      </c>
      <c r="V30" s="50"/>
      <c r="W30" s="50"/>
      <c r="X30" s="50"/>
    </row>
    <row r="31" spans="1:49" ht="15.75" customHeight="1" x14ac:dyDescent="0.25">
      <c r="A31" s="96" t="s">
        <v>952</v>
      </c>
      <c r="B31" s="96" t="s">
        <v>819</v>
      </c>
      <c r="C31" s="96" t="s">
        <v>820</v>
      </c>
      <c r="D31" s="96" t="s">
        <v>821</v>
      </c>
      <c r="E31" s="96" t="s">
        <v>850</v>
      </c>
      <c r="F31" s="96" t="s">
        <v>953</v>
      </c>
      <c r="G31" s="150" t="s">
        <v>954</v>
      </c>
      <c r="H31" s="109" t="s">
        <v>416</v>
      </c>
      <c r="I31" s="102" t="s">
        <v>955</v>
      </c>
      <c r="J31" s="102" t="s">
        <v>417</v>
      </c>
      <c r="K31" s="96" t="s">
        <v>956</v>
      </c>
      <c r="L31" s="152" t="s">
        <v>956</v>
      </c>
      <c r="M31" s="96"/>
      <c r="N31" s="96"/>
      <c r="O31" s="96"/>
      <c r="P31" s="96"/>
      <c r="Q31" s="96"/>
      <c r="R31" s="48" t="s">
        <v>139</v>
      </c>
      <c r="S31" s="153">
        <v>46062</v>
      </c>
      <c r="T31" s="59" t="s">
        <v>70</v>
      </c>
      <c r="U31" s="48" t="s">
        <v>140</v>
      </c>
      <c r="V31" s="50"/>
      <c r="W31" s="50"/>
      <c r="X31" s="50"/>
    </row>
    <row r="32" spans="1:49" ht="15.75" customHeight="1" x14ac:dyDescent="0.25">
      <c r="A32" s="96" t="s">
        <v>957</v>
      </c>
      <c r="B32" s="96" t="s">
        <v>809</v>
      </c>
      <c r="C32" s="96" t="s">
        <v>810</v>
      </c>
      <c r="D32" s="96" t="s">
        <v>811</v>
      </c>
      <c r="E32" s="96" t="s">
        <v>872</v>
      </c>
      <c r="F32" s="96" t="s">
        <v>873</v>
      </c>
      <c r="G32" s="150" t="s">
        <v>958</v>
      </c>
      <c r="H32" s="109" t="s">
        <v>333</v>
      </c>
      <c r="I32" s="96" t="s">
        <v>951</v>
      </c>
      <c r="J32" s="111" t="s">
        <v>396</v>
      </c>
      <c r="K32" s="96" t="s">
        <v>843</v>
      </c>
      <c r="L32" s="152" t="s">
        <v>843</v>
      </c>
      <c r="M32" s="96"/>
      <c r="N32" s="96"/>
      <c r="O32" s="96"/>
      <c r="P32" s="96"/>
      <c r="Q32" s="96"/>
      <c r="R32" s="48" t="s">
        <v>139</v>
      </c>
      <c r="S32" s="153">
        <v>46062</v>
      </c>
      <c r="T32" s="59" t="s">
        <v>70</v>
      </c>
      <c r="U32" s="48" t="s">
        <v>140</v>
      </c>
      <c r="V32" s="50"/>
      <c r="W32" s="50"/>
      <c r="X32" s="50"/>
    </row>
    <row r="33" spans="1:49" ht="15.75" customHeight="1" x14ac:dyDescent="0.25">
      <c r="A33" s="96" t="s">
        <v>959</v>
      </c>
      <c r="B33" s="96" t="s">
        <v>809</v>
      </c>
      <c r="C33" s="96" t="s">
        <v>810</v>
      </c>
      <c r="D33" s="96" t="s">
        <v>811</v>
      </c>
      <c r="E33" s="96" t="s">
        <v>960</v>
      </c>
      <c r="F33" s="96" t="s">
        <v>961</v>
      </c>
      <c r="G33" s="150" t="s">
        <v>962</v>
      </c>
      <c r="H33" s="109" t="s">
        <v>336</v>
      </c>
      <c r="I33" s="96" t="s">
        <v>963</v>
      </c>
      <c r="J33" s="96" t="s">
        <v>337</v>
      </c>
      <c r="K33" s="96" t="s">
        <v>843</v>
      </c>
      <c r="L33" s="152" t="s">
        <v>870</v>
      </c>
      <c r="M33" s="96"/>
      <c r="N33" s="96"/>
      <c r="O33" s="96"/>
      <c r="P33" s="96"/>
      <c r="Q33" s="96"/>
      <c r="R33" s="48" t="s">
        <v>139</v>
      </c>
      <c r="S33" s="153">
        <v>46062</v>
      </c>
      <c r="T33" s="59" t="s">
        <v>70</v>
      </c>
      <c r="U33" s="48" t="s">
        <v>140</v>
      </c>
      <c r="V33" s="50"/>
      <c r="W33" s="50"/>
      <c r="X33" s="50"/>
    </row>
    <row r="34" spans="1:49" ht="15.75" customHeight="1" x14ac:dyDescent="0.25">
      <c r="A34" s="96" t="s">
        <v>964</v>
      </c>
      <c r="B34" s="50" t="s">
        <v>819</v>
      </c>
      <c r="C34" s="50" t="s">
        <v>820</v>
      </c>
      <c r="D34" s="50" t="s">
        <v>886</v>
      </c>
      <c r="E34" s="50" t="s">
        <v>965</v>
      </c>
      <c r="F34" s="50" t="s">
        <v>966</v>
      </c>
      <c r="G34" s="154" t="s">
        <v>967</v>
      </c>
      <c r="H34" s="109" t="s">
        <v>364</v>
      </c>
      <c r="I34" s="96" t="s">
        <v>968</v>
      </c>
      <c r="J34" s="96" t="s">
        <v>969</v>
      </c>
      <c r="K34" s="96" t="s">
        <v>843</v>
      </c>
      <c r="L34" s="152" t="s">
        <v>870</v>
      </c>
      <c r="M34" s="50"/>
      <c r="N34" s="50"/>
      <c r="O34" s="50"/>
      <c r="P34" s="50"/>
      <c r="Q34" s="50"/>
      <c r="R34" s="48" t="s">
        <v>139</v>
      </c>
      <c r="S34" s="153">
        <v>46062</v>
      </c>
      <c r="T34" s="59" t="s">
        <v>70</v>
      </c>
      <c r="U34" s="48" t="s">
        <v>140</v>
      </c>
      <c r="V34" s="50"/>
      <c r="W34" s="50"/>
      <c r="X34" s="50"/>
    </row>
    <row r="35" spans="1:49" ht="15.75" customHeight="1" x14ac:dyDescent="0.25">
      <c r="A35" s="161" t="s">
        <v>970</v>
      </c>
      <c r="B35" s="162" t="s">
        <v>809</v>
      </c>
      <c r="C35" s="162" t="s">
        <v>810</v>
      </c>
      <c r="D35" s="162" t="s">
        <v>811</v>
      </c>
      <c r="E35" s="162" t="s">
        <v>861</v>
      </c>
      <c r="F35" s="163" t="s">
        <v>971</v>
      </c>
      <c r="G35" s="164" t="s">
        <v>972</v>
      </c>
      <c r="H35" s="109" t="s">
        <v>434</v>
      </c>
      <c r="I35" s="161" t="s">
        <v>973</v>
      </c>
      <c r="J35" s="161" t="s">
        <v>435</v>
      </c>
      <c r="K35" s="161" t="s">
        <v>843</v>
      </c>
      <c r="L35" s="152" t="s">
        <v>870</v>
      </c>
      <c r="M35" s="162"/>
      <c r="N35" s="162"/>
      <c r="O35" s="162"/>
      <c r="P35" s="162"/>
      <c r="Q35" s="162" t="s">
        <v>974</v>
      </c>
      <c r="R35" s="48" t="s">
        <v>139</v>
      </c>
      <c r="S35" s="153">
        <v>46062</v>
      </c>
      <c r="T35" s="59" t="s">
        <v>70</v>
      </c>
      <c r="U35" s="48" t="s">
        <v>140</v>
      </c>
      <c r="V35" s="162"/>
      <c r="W35" s="162"/>
      <c r="X35" s="162"/>
      <c r="Y35" s="165"/>
      <c r="Z35" s="165"/>
      <c r="AA35" s="165"/>
      <c r="AB35" s="165"/>
      <c r="AC35" s="165"/>
      <c r="AD35" s="165"/>
      <c r="AE35" s="165"/>
      <c r="AF35" s="165"/>
      <c r="AG35" s="165"/>
      <c r="AH35" s="165"/>
      <c r="AI35" s="165"/>
      <c r="AJ35" s="165"/>
      <c r="AK35" s="165"/>
      <c r="AL35" s="165"/>
      <c r="AM35" s="165"/>
      <c r="AN35" s="165"/>
      <c r="AO35" s="165"/>
      <c r="AP35" s="165"/>
      <c r="AQ35" s="165"/>
      <c r="AR35" s="165"/>
      <c r="AS35" s="165"/>
      <c r="AT35" s="165"/>
      <c r="AU35" s="165"/>
      <c r="AV35" s="165"/>
      <c r="AW35" s="165"/>
    </row>
    <row r="36" spans="1:49" ht="15.75" customHeight="1" x14ac:dyDescent="0.25">
      <c r="A36" s="161" t="s">
        <v>975</v>
      </c>
      <c r="B36" s="162" t="s">
        <v>809</v>
      </c>
      <c r="C36" s="162" t="s">
        <v>810</v>
      </c>
      <c r="D36" s="162" t="s">
        <v>855</v>
      </c>
      <c r="E36" s="162" t="s">
        <v>976</v>
      </c>
      <c r="F36" s="162" t="s">
        <v>977</v>
      </c>
      <c r="G36" s="164" t="s">
        <v>978</v>
      </c>
      <c r="H36" s="109" t="s">
        <v>456</v>
      </c>
      <c r="I36" s="166" t="s">
        <v>979</v>
      </c>
      <c r="J36" s="166" t="s">
        <v>980</v>
      </c>
      <c r="K36" s="166" t="s">
        <v>843</v>
      </c>
      <c r="L36" s="152" t="s">
        <v>870</v>
      </c>
      <c r="M36" s="162"/>
      <c r="N36" s="162"/>
      <c r="O36" s="162"/>
      <c r="P36" s="162"/>
      <c r="Q36" s="162" t="s">
        <v>981</v>
      </c>
      <c r="R36" s="48" t="s">
        <v>139</v>
      </c>
      <c r="S36" s="153">
        <v>46062</v>
      </c>
      <c r="T36" s="59" t="s">
        <v>70</v>
      </c>
      <c r="U36" s="48" t="s">
        <v>140</v>
      </c>
      <c r="V36" s="162"/>
      <c r="W36" s="162"/>
      <c r="X36" s="162"/>
      <c r="Y36" s="165"/>
      <c r="Z36" s="165"/>
      <c r="AA36" s="165"/>
      <c r="AB36" s="165"/>
      <c r="AC36" s="165"/>
      <c r="AD36" s="165"/>
      <c r="AE36" s="165"/>
      <c r="AF36" s="165"/>
      <c r="AG36" s="165"/>
      <c r="AH36" s="165"/>
      <c r="AI36" s="165"/>
      <c r="AJ36" s="165"/>
      <c r="AK36" s="165"/>
      <c r="AL36" s="165"/>
      <c r="AM36" s="165"/>
      <c r="AN36" s="165"/>
      <c r="AO36" s="165"/>
      <c r="AP36" s="165"/>
      <c r="AQ36" s="165"/>
      <c r="AR36" s="165"/>
      <c r="AS36" s="165"/>
      <c r="AT36" s="165"/>
      <c r="AU36" s="165"/>
      <c r="AV36" s="165"/>
      <c r="AW36" s="165"/>
    </row>
    <row r="37" spans="1:49" ht="15.75" customHeight="1" x14ac:dyDescent="0.25">
      <c r="A37" s="161" t="s">
        <v>982</v>
      </c>
      <c r="B37" s="162" t="s">
        <v>809</v>
      </c>
      <c r="C37" s="162"/>
      <c r="D37" s="162"/>
      <c r="E37" s="162"/>
      <c r="F37" s="162"/>
      <c r="G37" s="164"/>
      <c r="H37" s="50" t="s">
        <v>507</v>
      </c>
      <c r="I37" s="166"/>
      <c r="J37" s="166"/>
      <c r="K37" s="161"/>
      <c r="L37" s="157"/>
      <c r="M37" s="162"/>
      <c r="N37" s="162"/>
      <c r="O37" s="162"/>
      <c r="P37" s="162"/>
      <c r="Q37" s="162"/>
      <c r="R37" s="48" t="s">
        <v>139</v>
      </c>
      <c r="S37" s="153">
        <v>46062</v>
      </c>
      <c r="T37" s="59" t="s">
        <v>70</v>
      </c>
      <c r="U37" s="48" t="s">
        <v>140</v>
      </c>
      <c r="V37" s="162"/>
      <c r="W37" s="162"/>
      <c r="X37" s="162"/>
      <c r="Y37" s="165"/>
      <c r="Z37" s="165"/>
      <c r="AA37" s="165"/>
      <c r="AB37" s="165"/>
      <c r="AC37" s="165"/>
      <c r="AD37" s="165"/>
      <c r="AE37" s="165"/>
      <c r="AF37" s="165"/>
      <c r="AG37" s="165"/>
      <c r="AH37" s="165"/>
      <c r="AI37" s="165"/>
      <c r="AJ37" s="165"/>
      <c r="AK37" s="165"/>
      <c r="AL37" s="165"/>
      <c r="AM37" s="165"/>
      <c r="AN37" s="165"/>
      <c r="AO37" s="165"/>
      <c r="AP37" s="165"/>
      <c r="AQ37" s="165"/>
      <c r="AR37" s="165"/>
      <c r="AS37" s="165"/>
      <c r="AT37" s="165"/>
      <c r="AU37" s="165"/>
      <c r="AV37" s="165"/>
      <c r="AW37" s="165"/>
    </row>
    <row r="38" spans="1:49" ht="15.75" customHeight="1" x14ac:dyDescent="0.25">
      <c r="A38" s="161" t="s">
        <v>983</v>
      </c>
      <c r="B38" s="162" t="s">
        <v>809</v>
      </c>
      <c r="C38" s="162"/>
      <c r="D38" s="162"/>
      <c r="E38" s="162"/>
      <c r="F38" s="162"/>
      <c r="G38" s="164"/>
      <c r="H38" s="50" t="s">
        <v>501</v>
      </c>
      <c r="I38" s="166"/>
      <c r="J38" s="166" t="s">
        <v>502</v>
      </c>
      <c r="K38" s="166"/>
      <c r="L38" s="157"/>
      <c r="M38" s="162"/>
      <c r="N38" s="162"/>
      <c r="O38" s="162"/>
      <c r="P38" s="162"/>
      <c r="Q38" s="162"/>
      <c r="R38" s="48" t="s">
        <v>139</v>
      </c>
      <c r="S38" s="153">
        <v>46062</v>
      </c>
      <c r="T38" s="59" t="s">
        <v>70</v>
      </c>
      <c r="U38" s="48" t="s">
        <v>140</v>
      </c>
      <c r="V38" s="162"/>
      <c r="W38" s="162"/>
      <c r="X38" s="162"/>
      <c r="Y38" s="165"/>
      <c r="Z38" s="165"/>
      <c r="AA38" s="165"/>
      <c r="AB38" s="165"/>
      <c r="AC38" s="165"/>
      <c r="AD38" s="165"/>
      <c r="AE38" s="165"/>
      <c r="AF38" s="165"/>
      <c r="AG38" s="165"/>
      <c r="AH38" s="165"/>
      <c r="AI38" s="165"/>
      <c r="AJ38" s="165"/>
      <c r="AK38" s="165"/>
      <c r="AL38" s="165"/>
      <c r="AM38" s="165"/>
      <c r="AN38" s="165"/>
      <c r="AO38" s="165"/>
      <c r="AP38" s="165"/>
      <c r="AQ38" s="165"/>
      <c r="AR38" s="165"/>
      <c r="AS38" s="165"/>
      <c r="AT38" s="165"/>
      <c r="AU38" s="165"/>
      <c r="AV38" s="165"/>
      <c r="AW38" s="165"/>
    </row>
    <row r="39" spans="1:49" ht="15.75" customHeight="1" x14ac:dyDescent="0.25">
      <c r="A39" s="161" t="s">
        <v>984</v>
      </c>
      <c r="B39" s="369" t="s">
        <v>809</v>
      </c>
      <c r="C39" s="162"/>
      <c r="D39" s="162"/>
      <c r="E39" s="162"/>
      <c r="F39" s="162"/>
      <c r="G39" s="164"/>
      <c r="H39" s="369" t="s">
        <v>369</v>
      </c>
      <c r="I39" s="161"/>
      <c r="J39" s="370" t="s">
        <v>370</v>
      </c>
      <c r="K39" s="161"/>
      <c r="L39" s="157"/>
      <c r="M39" s="162"/>
      <c r="N39" s="162"/>
      <c r="O39" s="162"/>
      <c r="P39" s="162"/>
      <c r="Q39" s="162"/>
      <c r="R39" s="48" t="s">
        <v>139</v>
      </c>
      <c r="S39" s="153">
        <v>46062</v>
      </c>
      <c r="T39" s="59" t="s">
        <v>70</v>
      </c>
      <c r="U39" s="48" t="s">
        <v>140</v>
      </c>
      <c r="V39" s="162"/>
      <c r="W39" s="162"/>
      <c r="X39" s="162"/>
      <c r="Y39" s="165"/>
      <c r="Z39" s="165"/>
      <c r="AA39" s="165"/>
      <c r="AB39" s="165"/>
      <c r="AC39" s="165"/>
      <c r="AD39" s="165"/>
      <c r="AE39" s="165"/>
      <c r="AF39" s="165"/>
      <c r="AG39" s="165"/>
      <c r="AH39" s="165"/>
      <c r="AI39" s="165"/>
      <c r="AJ39" s="165"/>
      <c r="AK39" s="165"/>
      <c r="AL39" s="165"/>
      <c r="AM39" s="165"/>
      <c r="AN39" s="165"/>
      <c r="AO39" s="165"/>
      <c r="AP39" s="165"/>
      <c r="AQ39" s="165"/>
      <c r="AR39" s="165"/>
      <c r="AS39" s="165"/>
      <c r="AT39" s="165"/>
      <c r="AU39" s="165"/>
      <c r="AV39" s="165"/>
      <c r="AW39" s="165"/>
    </row>
    <row r="40" spans="1:49" ht="15.75" customHeight="1" x14ac:dyDescent="0.25">
      <c r="A40" s="96" t="s">
        <v>985</v>
      </c>
      <c r="B40" s="50" t="s">
        <v>819</v>
      </c>
      <c r="C40" s="50" t="s">
        <v>820</v>
      </c>
      <c r="D40" s="50" t="s">
        <v>821</v>
      </c>
      <c r="E40" s="50" t="s">
        <v>822</v>
      </c>
      <c r="F40" s="50" t="s">
        <v>823</v>
      </c>
      <c r="G40" s="154" t="s">
        <v>986</v>
      </c>
      <c r="H40" s="109" t="s">
        <v>427</v>
      </c>
      <c r="I40" s="155" t="s">
        <v>987</v>
      </c>
      <c r="J40" s="155" t="s">
        <v>988</v>
      </c>
      <c r="K40" s="155" t="s">
        <v>843</v>
      </c>
      <c r="L40" s="152" t="s">
        <v>989</v>
      </c>
      <c r="M40" s="50"/>
      <c r="N40" s="50"/>
      <c r="O40" s="50"/>
      <c r="P40" s="50"/>
      <c r="Q40" s="50"/>
      <c r="R40" s="48" t="s">
        <v>139</v>
      </c>
      <c r="S40" s="153">
        <v>46062</v>
      </c>
      <c r="T40" s="59" t="s">
        <v>70</v>
      </c>
      <c r="U40" s="48" t="s">
        <v>140</v>
      </c>
      <c r="V40" s="50"/>
      <c r="W40" s="50"/>
      <c r="X40" s="50"/>
    </row>
    <row r="41" spans="1:49" ht="15.75" customHeight="1" x14ac:dyDescent="0.25">
      <c r="A41" s="96" t="s">
        <v>990</v>
      </c>
      <c r="B41" s="50" t="s">
        <v>809</v>
      </c>
      <c r="C41" s="50" t="s">
        <v>810</v>
      </c>
      <c r="D41" s="50" t="s">
        <v>811</v>
      </c>
      <c r="E41" s="50" t="s">
        <v>830</v>
      </c>
      <c r="F41" s="50" t="s">
        <v>893</v>
      </c>
      <c r="G41" s="154" t="s">
        <v>894</v>
      </c>
      <c r="H41" s="109" t="s">
        <v>561</v>
      </c>
      <c r="I41" s="155" t="s">
        <v>833</v>
      </c>
      <c r="J41" s="155" t="s">
        <v>562</v>
      </c>
      <c r="K41" s="155" t="s">
        <v>816</v>
      </c>
      <c r="L41" s="152" t="s">
        <v>816</v>
      </c>
      <c r="M41" s="50"/>
      <c r="N41" s="50"/>
      <c r="O41" s="50"/>
      <c r="P41" s="50"/>
      <c r="Q41" s="50"/>
      <c r="R41" s="48" t="s">
        <v>139</v>
      </c>
      <c r="S41" s="153">
        <v>46062</v>
      </c>
      <c r="T41" s="59" t="s">
        <v>70</v>
      </c>
      <c r="U41" s="48" t="s">
        <v>140</v>
      </c>
      <c r="V41" s="50"/>
      <c r="W41" s="50"/>
      <c r="X41" s="50"/>
    </row>
    <row r="42" spans="1:49" ht="15.75" customHeight="1" x14ac:dyDescent="0.25">
      <c r="A42" s="96" t="s">
        <v>991</v>
      </c>
      <c r="B42" s="50" t="s">
        <v>809</v>
      </c>
      <c r="C42" s="50" t="s">
        <v>810</v>
      </c>
      <c r="D42" s="50" t="s">
        <v>811</v>
      </c>
      <c r="E42" s="50" t="s">
        <v>918</v>
      </c>
      <c r="F42" s="50" t="s">
        <v>919</v>
      </c>
      <c r="G42" s="154" t="s">
        <v>992</v>
      </c>
      <c r="H42" s="109" t="s">
        <v>550</v>
      </c>
      <c r="I42" s="158" t="s">
        <v>993</v>
      </c>
      <c r="J42" s="158" t="s">
        <v>551</v>
      </c>
      <c r="K42" s="158" t="s">
        <v>816</v>
      </c>
      <c r="L42" s="152" t="s">
        <v>816</v>
      </c>
      <c r="M42" s="50"/>
      <c r="N42" s="50"/>
      <c r="O42" s="50"/>
      <c r="P42" s="50"/>
      <c r="Q42" s="50"/>
      <c r="R42" s="48" t="s">
        <v>139</v>
      </c>
      <c r="S42" s="153">
        <v>46062</v>
      </c>
      <c r="T42" s="59" t="s">
        <v>70</v>
      </c>
      <c r="U42" s="48" t="s">
        <v>140</v>
      </c>
      <c r="V42" s="50"/>
      <c r="W42" s="50"/>
      <c r="X42" s="50"/>
    </row>
    <row r="43" spans="1:49" ht="15.75" customHeight="1" x14ac:dyDescent="0.25">
      <c r="A43" s="96" t="s">
        <v>994</v>
      </c>
      <c r="B43" s="50" t="s">
        <v>809</v>
      </c>
      <c r="C43" s="50" t="s">
        <v>810</v>
      </c>
      <c r="D43" s="50" t="s">
        <v>811</v>
      </c>
      <c r="E43" s="50" t="s">
        <v>995</v>
      </c>
      <c r="F43" s="162" t="s">
        <v>996</v>
      </c>
      <c r="G43" s="154" t="s">
        <v>997</v>
      </c>
      <c r="H43" s="109" t="s">
        <v>487</v>
      </c>
      <c r="I43" s="155" t="s">
        <v>833</v>
      </c>
      <c r="J43" s="155" t="s">
        <v>488</v>
      </c>
      <c r="K43" s="155" t="s">
        <v>843</v>
      </c>
      <c r="L43" s="152" t="s">
        <v>843</v>
      </c>
      <c r="M43" s="50"/>
      <c r="N43" s="50"/>
      <c r="O43" s="50"/>
      <c r="P43" s="50"/>
      <c r="Q43" s="50"/>
      <c r="R43" s="48" t="s">
        <v>139</v>
      </c>
      <c r="S43" s="153">
        <v>46062</v>
      </c>
      <c r="T43" s="59" t="s">
        <v>70</v>
      </c>
      <c r="U43" s="48" t="s">
        <v>140</v>
      </c>
      <c r="V43" s="50"/>
      <c r="W43" s="50"/>
      <c r="X43" s="50"/>
    </row>
    <row r="44" spans="1:49" ht="15.75" customHeight="1" x14ac:dyDescent="0.25">
      <c r="A44" s="96" t="s">
        <v>998</v>
      </c>
      <c r="B44" s="50" t="s">
        <v>809</v>
      </c>
      <c r="C44" s="50" t="s">
        <v>810</v>
      </c>
      <c r="D44" s="50" t="s">
        <v>811</v>
      </c>
      <c r="E44" s="50" t="s">
        <v>999</v>
      </c>
      <c r="F44" s="50" t="s">
        <v>1000</v>
      </c>
      <c r="G44" s="154" t="s">
        <v>1001</v>
      </c>
      <c r="H44" s="109" t="s">
        <v>531</v>
      </c>
      <c r="I44" s="155" t="s">
        <v>833</v>
      </c>
      <c r="J44" s="155" t="s">
        <v>532</v>
      </c>
      <c r="K44" s="155" t="s">
        <v>816</v>
      </c>
      <c r="L44" s="152" t="s">
        <v>816</v>
      </c>
      <c r="M44" s="50"/>
      <c r="N44" s="50"/>
      <c r="O44" s="50"/>
      <c r="P44" s="50"/>
      <c r="Q44" s="50"/>
      <c r="R44" s="48" t="s">
        <v>139</v>
      </c>
      <c r="S44" s="153">
        <v>46062</v>
      </c>
      <c r="T44" s="59" t="s">
        <v>70</v>
      </c>
      <c r="U44" s="48" t="s">
        <v>140</v>
      </c>
      <c r="V44" s="50"/>
      <c r="W44" s="50"/>
      <c r="X44" s="50"/>
    </row>
    <row r="45" spans="1:49" ht="15.75" customHeight="1" x14ac:dyDescent="0.25">
      <c r="A45" s="96" t="s">
        <v>1002</v>
      </c>
      <c r="B45" s="96" t="s">
        <v>809</v>
      </c>
      <c r="C45" s="96" t="s">
        <v>810</v>
      </c>
      <c r="D45" s="96" t="s">
        <v>811</v>
      </c>
      <c r="E45" s="50" t="s">
        <v>1003</v>
      </c>
      <c r="F45" s="50" t="s">
        <v>1004</v>
      </c>
      <c r="G45" s="154" t="s">
        <v>1005</v>
      </c>
      <c r="H45" s="109" t="s">
        <v>598</v>
      </c>
      <c r="I45" s="155" t="s">
        <v>833</v>
      </c>
      <c r="J45" s="155" t="s">
        <v>599</v>
      </c>
      <c r="K45" s="155" t="s">
        <v>843</v>
      </c>
      <c r="L45" s="152" t="s">
        <v>843</v>
      </c>
      <c r="M45" s="50"/>
      <c r="N45" s="50"/>
      <c r="O45" s="50"/>
      <c r="P45" s="50"/>
      <c r="Q45" s="50"/>
      <c r="R45" s="48" t="s">
        <v>139</v>
      </c>
      <c r="S45" s="153">
        <v>46062</v>
      </c>
      <c r="T45" s="59" t="s">
        <v>70</v>
      </c>
      <c r="U45" s="48" t="s">
        <v>140</v>
      </c>
      <c r="V45" s="50"/>
      <c r="W45" s="50"/>
      <c r="X45" s="50"/>
    </row>
    <row r="46" spans="1:49" ht="15.75" customHeight="1" x14ac:dyDescent="0.25">
      <c r="A46" s="96" t="s">
        <v>1006</v>
      </c>
      <c r="B46" s="50" t="s">
        <v>809</v>
      </c>
      <c r="C46" s="50" t="s">
        <v>810</v>
      </c>
      <c r="D46" s="50" t="s">
        <v>811</v>
      </c>
      <c r="E46" s="50" t="s">
        <v>861</v>
      </c>
      <c r="F46" s="50" t="s">
        <v>866</v>
      </c>
      <c r="G46" s="154" t="s">
        <v>1007</v>
      </c>
      <c r="H46" s="109" t="s">
        <v>607</v>
      </c>
      <c r="I46" s="155" t="s">
        <v>833</v>
      </c>
      <c r="J46" s="155" t="s">
        <v>608</v>
      </c>
      <c r="K46" s="155" t="s">
        <v>843</v>
      </c>
      <c r="L46" s="152" t="s">
        <v>870</v>
      </c>
      <c r="M46" s="50"/>
      <c r="N46" s="50"/>
      <c r="O46" s="50"/>
      <c r="P46" s="50"/>
      <c r="Q46" s="50"/>
      <c r="R46" s="48" t="s">
        <v>139</v>
      </c>
      <c r="S46" s="153">
        <v>46062</v>
      </c>
      <c r="T46" s="59" t="s">
        <v>70</v>
      </c>
      <c r="U46" s="48" t="s">
        <v>140</v>
      </c>
      <c r="V46" s="50"/>
      <c r="W46" s="50"/>
      <c r="X46" s="50"/>
    </row>
    <row r="47" spans="1:49" ht="15.75" customHeight="1" x14ac:dyDescent="0.25">
      <c r="A47" s="96" t="s">
        <v>1008</v>
      </c>
      <c r="B47" s="96" t="s">
        <v>819</v>
      </c>
      <c r="C47" s="96" t="s">
        <v>820</v>
      </c>
      <c r="D47" s="96" t="s">
        <v>821</v>
      </c>
      <c r="E47" s="96" t="s">
        <v>850</v>
      </c>
      <c r="F47" s="50" t="s">
        <v>851</v>
      </c>
      <c r="G47" s="154" t="s">
        <v>1009</v>
      </c>
      <c r="H47" s="164" t="s">
        <v>666</v>
      </c>
      <c r="I47" s="155" t="s">
        <v>1010</v>
      </c>
      <c r="J47" s="155" t="s">
        <v>667</v>
      </c>
      <c r="K47" s="155"/>
      <c r="L47" s="157"/>
      <c r="M47" s="50"/>
      <c r="N47" s="50"/>
      <c r="O47" s="50"/>
      <c r="P47" s="50"/>
      <c r="Q47" s="50"/>
      <c r="R47" s="48" t="s">
        <v>139</v>
      </c>
      <c r="S47" s="153">
        <v>46062</v>
      </c>
      <c r="T47" s="59" t="s">
        <v>70</v>
      </c>
      <c r="U47" s="48" t="s">
        <v>140</v>
      </c>
      <c r="V47" s="50"/>
      <c r="W47" s="50"/>
      <c r="X47" s="50"/>
    </row>
    <row r="48" spans="1:49" ht="15.75" customHeight="1" x14ac:dyDescent="0.25">
      <c r="A48" s="96" t="s">
        <v>1011</v>
      </c>
      <c r="B48" s="50" t="s">
        <v>809</v>
      </c>
      <c r="C48" s="50"/>
      <c r="D48" s="50"/>
      <c r="E48" s="50"/>
      <c r="F48" s="50"/>
      <c r="G48" s="154"/>
      <c r="H48" s="50" t="s">
        <v>573</v>
      </c>
      <c r="I48" s="155"/>
      <c r="J48" s="155"/>
      <c r="K48" s="155"/>
      <c r="L48" s="157"/>
      <c r="M48" s="50"/>
      <c r="N48" s="50"/>
      <c r="O48" s="50"/>
      <c r="P48" s="50"/>
      <c r="Q48" s="50"/>
      <c r="R48" s="48" t="s">
        <v>139</v>
      </c>
      <c r="S48" s="153">
        <v>46062</v>
      </c>
      <c r="T48" s="59" t="s">
        <v>70</v>
      </c>
      <c r="U48" s="48" t="s">
        <v>140</v>
      </c>
      <c r="V48" s="50"/>
      <c r="W48" s="50"/>
      <c r="X48" s="50"/>
    </row>
    <row r="49" spans="1:49" ht="15.75" customHeight="1" x14ac:dyDescent="0.25">
      <c r="A49" s="96" t="s">
        <v>1012</v>
      </c>
      <c r="B49" s="50" t="s">
        <v>809</v>
      </c>
      <c r="C49" s="50" t="s">
        <v>810</v>
      </c>
      <c r="D49" s="50" t="s">
        <v>811</v>
      </c>
      <c r="E49" s="50" t="s">
        <v>861</v>
      </c>
      <c r="F49" s="50" t="s">
        <v>866</v>
      </c>
      <c r="G49" s="154" t="s">
        <v>1007</v>
      </c>
      <c r="H49" s="109" t="s">
        <v>620</v>
      </c>
      <c r="I49" s="155" t="s">
        <v>1013</v>
      </c>
      <c r="J49" s="155" t="s">
        <v>621</v>
      </c>
      <c r="K49" s="155"/>
      <c r="L49" s="157"/>
      <c r="M49" s="50"/>
      <c r="N49" s="50"/>
      <c r="O49" s="50"/>
      <c r="P49" s="50"/>
      <c r="Q49" s="50"/>
      <c r="R49" s="48" t="s">
        <v>139</v>
      </c>
      <c r="S49" s="153">
        <v>46062</v>
      </c>
      <c r="T49" s="59" t="s">
        <v>70</v>
      </c>
      <c r="U49" s="48" t="s">
        <v>140</v>
      </c>
      <c r="V49" s="50"/>
      <c r="W49" s="50"/>
      <c r="X49" s="50"/>
    </row>
    <row r="50" spans="1:49" ht="15.75" customHeight="1" x14ac:dyDescent="0.25">
      <c r="A50" s="96" t="s">
        <v>1014</v>
      </c>
      <c r="B50" s="50" t="s">
        <v>819</v>
      </c>
      <c r="C50" s="50" t="s">
        <v>820</v>
      </c>
      <c r="D50" s="50" t="s">
        <v>821</v>
      </c>
      <c r="E50" s="50" t="s">
        <v>822</v>
      </c>
      <c r="F50" s="50" t="s">
        <v>823</v>
      </c>
      <c r="G50" s="154" t="s">
        <v>1015</v>
      </c>
      <c r="H50" s="109" t="s">
        <v>521</v>
      </c>
      <c r="I50" s="88" t="s">
        <v>1016</v>
      </c>
      <c r="J50" s="155" t="s">
        <v>522</v>
      </c>
      <c r="K50" s="155" t="s">
        <v>816</v>
      </c>
      <c r="L50" s="152" t="s">
        <v>816</v>
      </c>
      <c r="M50" s="50"/>
      <c r="N50" s="50"/>
      <c r="O50" s="50"/>
      <c r="P50" s="50"/>
      <c r="Q50" s="50"/>
      <c r="R50" s="48" t="s">
        <v>139</v>
      </c>
      <c r="S50" s="153">
        <v>46062</v>
      </c>
      <c r="T50" s="59" t="s">
        <v>70</v>
      </c>
      <c r="U50" s="48" t="s">
        <v>140</v>
      </c>
      <c r="V50" s="50"/>
      <c r="W50" s="50"/>
      <c r="X50" s="50"/>
    </row>
    <row r="51" spans="1:49" ht="15.75" customHeight="1" x14ac:dyDescent="0.25">
      <c r="A51" s="96" t="s">
        <v>1017</v>
      </c>
      <c r="B51" s="50" t="s">
        <v>809</v>
      </c>
      <c r="C51" s="50"/>
      <c r="D51" s="50"/>
      <c r="E51" s="50"/>
      <c r="F51" s="50"/>
      <c r="G51" s="50"/>
      <c r="H51" s="50" t="s">
        <v>519</v>
      </c>
      <c r="I51" s="50"/>
      <c r="J51" s="50" t="s">
        <v>520</v>
      </c>
      <c r="K51" s="50"/>
      <c r="L51" s="157"/>
      <c r="M51" s="50"/>
      <c r="N51" s="50"/>
      <c r="O51" s="50"/>
      <c r="P51" s="50"/>
      <c r="Q51" s="50"/>
      <c r="R51" s="48" t="s">
        <v>139</v>
      </c>
      <c r="S51" s="153">
        <v>46062</v>
      </c>
      <c r="T51" s="59" t="s">
        <v>70</v>
      </c>
      <c r="U51" s="48" t="s">
        <v>140</v>
      </c>
      <c r="V51" s="50"/>
      <c r="W51" s="50"/>
      <c r="X51" s="50"/>
    </row>
    <row r="52" spans="1:49" ht="15.75" customHeight="1" x14ac:dyDescent="0.25">
      <c r="A52" s="161" t="s">
        <v>1018</v>
      </c>
      <c r="B52" s="162" t="s">
        <v>819</v>
      </c>
      <c r="C52" s="162"/>
      <c r="D52" s="162"/>
      <c r="E52" s="162"/>
      <c r="F52" s="162"/>
      <c r="G52" s="162"/>
      <c r="H52" s="161" t="s">
        <v>526</v>
      </c>
      <c r="I52" s="162"/>
      <c r="J52" s="133" t="s">
        <v>672</v>
      </c>
      <c r="K52" s="162"/>
      <c r="L52" s="157"/>
      <c r="M52" s="162"/>
      <c r="N52" s="162"/>
      <c r="O52" s="162"/>
      <c r="P52" s="162"/>
      <c r="Q52" s="162"/>
      <c r="R52" s="48" t="s">
        <v>139</v>
      </c>
      <c r="S52" s="153">
        <v>46062</v>
      </c>
      <c r="T52" s="59" t="s">
        <v>70</v>
      </c>
      <c r="U52" s="48" t="s">
        <v>140</v>
      </c>
      <c r="V52" s="162"/>
      <c r="W52" s="162"/>
      <c r="X52" s="162"/>
      <c r="Y52" s="165"/>
      <c r="Z52" s="165"/>
      <c r="AA52" s="165"/>
      <c r="AB52" s="165"/>
      <c r="AC52" s="165"/>
      <c r="AD52" s="165"/>
      <c r="AE52" s="165"/>
      <c r="AF52" s="165"/>
      <c r="AG52" s="165"/>
      <c r="AH52" s="165"/>
      <c r="AI52" s="165"/>
      <c r="AJ52" s="165"/>
      <c r="AK52" s="165"/>
      <c r="AL52" s="165"/>
      <c r="AM52" s="165"/>
      <c r="AN52" s="165"/>
      <c r="AO52" s="165"/>
      <c r="AP52" s="165"/>
      <c r="AQ52" s="165"/>
      <c r="AR52" s="165"/>
      <c r="AS52" s="165"/>
      <c r="AT52" s="165"/>
      <c r="AU52" s="165"/>
      <c r="AV52" s="165"/>
      <c r="AW52" s="165"/>
    </row>
    <row r="53" spans="1:49" ht="15.75" customHeight="1" x14ac:dyDescent="0.25">
      <c r="A53" s="96" t="s">
        <v>1019</v>
      </c>
      <c r="B53" s="50" t="s">
        <v>809</v>
      </c>
      <c r="C53" s="50" t="s">
        <v>810</v>
      </c>
      <c r="D53" s="50" t="s">
        <v>811</v>
      </c>
      <c r="E53" s="50" t="s">
        <v>1020</v>
      </c>
      <c r="F53" s="167" t="s">
        <v>1021</v>
      </c>
      <c r="G53" s="154" t="s">
        <v>1022</v>
      </c>
      <c r="H53" s="168" t="s">
        <v>513</v>
      </c>
      <c r="I53" s="50" t="s">
        <v>1023</v>
      </c>
      <c r="J53" s="50" t="s">
        <v>514</v>
      </c>
      <c r="K53" s="50" t="s">
        <v>843</v>
      </c>
      <c r="L53" s="152" t="s">
        <v>843</v>
      </c>
      <c r="M53" s="50"/>
      <c r="N53" s="50"/>
      <c r="O53" s="50"/>
      <c r="P53" s="50"/>
      <c r="Q53" s="50"/>
      <c r="R53" s="48" t="s">
        <v>139</v>
      </c>
      <c r="S53" s="153">
        <v>46062</v>
      </c>
      <c r="T53" s="59" t="s">
        <v>70</v>
      </c>
      <c r="U53" s="48" t="s">
        <v>140</v>
      </c>
      <c r="V53" s="50"/>
      <c r="W53" s="50"/>
      <c r="X53" s="50"/>
    </row>
    <row r="54" spans="1:49" ht="15.75" customHeight="1" x14ac:dyDescent="0.25">
      <c r="A54" s="96" t="s">
        <v>1024</v>
      </c>
      <c r="B54" s="50" t="s">
        <v>809</v>
      </c>
      <c r="C54" s="50" t="s">
        <v>810</v>
      </c>
      <c r="D54" s="50" t="s">
        <v>811</v>
      </c>
      <c r="E54" s="50" t="s">
        <v>876</v>
      </c>
      <c r="F54" s="50" t="s">
        <v>1025</v>
      </c>
      <c r="G54" s="50" t="s">
        <v>1026</v>
      </c>
      <c r="H54" s="82" t="s">
        <v>266</v>
      </c>
      <c r="I54" s="50" t="s">
        <v>1027</v>
      </c>
      <c r="J54" s="50" t="s">
        <v>267</v>
      </c>
      <c r="K54" s="50" t="s">
        <v>843</v>
      </c>
      <c r="L54" s="152" t="s">
        <v>870</v>
      </c>
      <c r="M54" s="50"/>
      <c r="N54" s="50"/>
      <c r="O54" s="50"/>
      <c r="P54" s="50"/>
      <c r="Q54" s="50"/>
      <c r="R54" s="48" t="s">
        <v>139</v>
      </c>
      <c r="S54" s="153">
        <v>46062</v>
      </c>
      <c r="T54" s="59" t="s">
        <v>70</v>
      </c>
      <c r="U54" s="48" t="s">
        <v>140</v>
      </c>
      <c r="V54" s="50"/>
      <c r="W54" s="50"/>
      <c r="X54" s="50"/>
    </row>
    <row r="55" spans="1:49" ht="15.75" customHeight="1" x14ac:dyDescent="0.25">
      <c r="A55" s="96" t="s">
        <v>1028</v>
      </c>
      <c r="B55" s="50" t="s">
        <v>809</v>
      </c>
      <c r="C55" s="50" t="s">
        <v>810</v>
      </c>
      <c r="D55" s="50" t="s">
        <v>811</v>
      </c>
      <c r="E55" s="50" t="s">
        <v>830</v>
      </c>
      <c r="F55" s="50" t="s">
        <v>1029</v>
      </c>
      <c r="G55" s="50" t="s">
        <v>1030</v>
      </c>
      <c r="H55" s="164" t="s">
        <v>515</v>
      </c>
      <c r="I55" s="50" t="s">
        <v>1031</v>
      </c>
      <c r="J55" s="50" t="s">
        <v>516</v>
      </c>
      <c r="K55" s="50" t="s">
        <v>843</v>
      </c>
      <c r="L55" s="152" t="s">
        <v>870</v>
      </c>
      <c r="M55" s="50"/>
      <c r="N55" s="50"/>
      <c r="O55" s="50"/>
      <c r="P55" s="50"/>
      <c r="Q55" s="50"/>
      <c r="R55" s="48" t="s">
        <v>139</v>
      </c>
      <c r="S55" s="153">
        <v>46062</v>
      </c>
      <c r="T55" s="59" t="s">
        <v>70</v>
      </c>
      <c r="U55" s="48" t="s">
        <v>140</v>
      </c>
      <c r="V55" s="50"/>
      <c r="W55" s="50"/>
      <c r="X55" s="50"/>
    </row>
    <row r="56" spans="1:49" ht="15.75" customHeight="1" x14ac:dyDescent="0.25">
      <c r="A56" s="96" t="s">
        <v>1032</v>
      </c>
      <c r="B56" s="50" t="s">
        <v>809</v>
      </c>
      <c r="C56" s="50" t="s">
        <v>1033</v>
      </c>
      <c r="D56" s="50" t="s">
        <v>855</v>
      </c>
      <c r="E56" s="50" t="s">
        <v>1034</v>
      </c>
      <c r="F56" s="50" t="s">
        <v>1035</v>
      </c>
      <c r="G56" s="50" t="s">
        <v>1036</v>
      </c>
      <c r="H56" s="109" t="s">
        <v>569</v>
      </c>
      <c r="I56" s="50" t="s">
        <v>1037</v>
      </c>
      <c r="J56" s="98" t="s">
        <v>570</v>
      </c>
      <c r="K56" s="98" t="s">
        <v>843</v>
      </c>
      <c r="L56" s="152" t="s">
        <v>843</v>
      </c>
      <c r="M56" s="50"/>
      <c r="N56" s="50"/>
      <c r="O56" s="50"/>
      <c r="P56" s="50"/>
      <c r="Q56" s="50"/>
      <c r="R56" s="48" t="s">
        <v>139</v>
      </c>
      <c r="S56" s="153">
        <v>46062</v>
      </c>
      <c r="T56" s="59" t="s">
        <v>70</v>
      </c>
      <c r="U56" s="48" t="s">
        <v>140</v>
      </c>
      <c r="V56" s="50"/>
      <c r="W56" s="50"/>
      <c r="X56" s="50"/>
    </row>
    <row r="57" spans="1:49" ht="15.75" customHeight="1" x14ac:dyDescent="0.25">
      <c r="A57" s="96" t="s">
        <v>1038</v>
      </c>
      <c r="B57" s="50" t="s">
        <v>809</v>
      </c>
      <c r="C57" s="50" t="s">
        <v>1033</v>
      </c>
      <c r="D57" s="50" t="s">
        <v>855</v>
      </c>
      <c r="E57" s="50" t="s">
        <v>1034</v>
      </c>
      <c r="F57" s="50" t="s">
        <v>1035</v>
      </c>
      <c r="G57" s="50" t="s">
        <v>1039</v>
      </c>
      <c r="H57" s="109" t="s">
        <v>571</v>
      </c>
      <c r="I57" s="59" t="s">
        <v>833</v>
      </c>
      <c r="J57" s="98" t="s">
        <v>572</v>
      </c>
      <c r="K57" s="98" t="s">
        <v>843</v>
      </c>
      <c r="L57" s="152" t="s">
        <v>843</v>
      </c>
      <c r="M57" s="50"/>
      <c r="R57" s="48" t="s">
        <v>139</v>
      </c>
      <c r="S57" s="153">
        <v>46062</v>
      </c>
      <c r="T57" s="59" t="s">
        <v>70</v>
      </c>
      <c r="U57" s="48" t="s">
        <v>140</v>
      </c>
    </row>
    <row r="58" spans="1:49" ht="15.75" customHeight="1" x14ac:dyDescent="0.25">
      <c r="A58" s="96" t="s">
        <v>1040</v>
      </c>
      <c r="B58" s="88" t="s">
        <v>819</v>
      </c>
      <c r="C58" s="88" t="s">
        <v>820</v>
      </c>
      <c r="D58" s="88" t="s">
        <v>886</v>
      </c>
      <c r="E58" s="50" t="s">
        <v>887</v>
      </c>
      <c r="F58" s="50" t="s">
        <v>927</v>
      </c>
      <c r="G58" s="88" t="s">
        <v>1041</v>
      </c>
      <c r="H58" s="88" t="s">
        <v>635</v>
      </c>
      <c r="I58" s="48" t="s">
        <v>1042</v>
      </c>
      <c r="J58" s="88" t="s">
        <v>636</v>
      </c>
      <c r="K58" s="50" t="s">
        <v>1043</v>
      </c>
      <c r="L58" s="152" t="s">
        <v>1044</v>
      </c>
      <c r="M58" s="50"/>
      <c r="R58" s="48" t="s">
        <v>139</v>
      </c>
      <c r="S58" s="153">
        <v>46062</v>
      </c>
      <c r="T58" s="59" t="s">
        <v>70</v>
      </c>
      <c r="U58" s="48" t="s">
        <v>140</v>
      </c>
    </row>
    <row r="59" spans="1:49" ht="15.75" customHeight="1" x14ac:dyDescent="0.25">
      <c r="A59" s="96" t="s">
        <v>1045</v>
      </c>
      <c r="B59" s="88" t="s">
        <v>819</v>
      </c>
      <c r="C59" s="88" t="s">
        <v>820</v>
      </c>
      <c r="D59" s="88" t="s">
        <v>821</v>
      </c>
      <c r="E59" s="88" t="s">
        <v>850</v>
      </c>
      <c r="F59" s="88" t="s">
        <v>851</v>
      </c>
      <c r="G59" s="88" t="s">
        <v>1046</v>
      </c>
      <c r="H59" s="150" t="s">
        <v>735</v>
      </c>
      <c r="I59" s="88" t="s">
        <v>1047</v>
      </c>
      <c r="J59" s="88" t="s">
        <v>736</v>
      </c>
      <c r="K59" s="50" t="s">
        <v>843</v>
      </c>
      <c r="L59" s="152" t="s">
        <v>843</v>
      </c>
      <c r="M59" s="50"/>
      <c r="R59" s="48" t="s">
        <v>139</v>
      </c>
      <c r="S59" s="153">
        <v>46062</v>
      </c>
      <c r="T59" s="59" t="s">
        <v>70</v>
      </c>
      <c r="U59" s="48" t="s">
        <v>140</v>
      </c>
    </row>
    <row r="60" spans="1:49" ht="15.75" customHeight="1" x14ac:dyDescent="0.25">
      <c r="A60" s="96" t="s">
        <v>1048</v>
      </c>
      <c r="B60" s="88" t="s">
        <v>809</v>
      </c>
      <c r="C60" s="88" t="s">
        <v>810</v>
      </c>
      <c r="D60" s="88" t="s">
        <v>811</v>
      </c>
      <c r="E60" s="88" t="s">
        <v>835</v>
      </c>
      <c r="F60" s="88" t="s">
        <v>836</v>
      </c>
      <c r="G60" s="88" t="s">
        <v>1049</v>
      </c>
      <c r="H60" s="169" t="s">
        <v>545</v>
      </c>
      <c r="I60" s="88" t="s">
        <v>1050</v>
      </c>
      <c r="J60" s="88" t="s">
        <v>1051</v>
      </c>
      <c r="K60" s="50" t="s">
        <v>843</v>
      </c>
      <c r="L60" s="152" t="s">
        <v>843</v>
      </c>
      <c r="M60" s="50"/>
      <c r="R60" s="48" t="s">
        <v>139</v>
      </c>
      <c r="S60" s="153">
        <v>46062</v>
      </c>
      <c r="T60" s="59" t="s">
        <v>70</v>
      </c>
      <c r="U60" s="48" t="s">
        <v>140</v>
      </c>
    </row>
    <row r="61" spans="1:49" ht="15.75" customHeight="1" x14ac:dyDescent="0.25">
      <c r="A61" s="96" t="s">
        <v>1052</v>
      </c>
      <c r="B61" s="88" t="s">
        <v>809</v>
      </c>
      <c r="C61" s="88" t="s">
        <v>810</v>
      </c>
      <c r="D61" s="88" t="s">
        <v>855</v>
      </c>
      <c r="E61" s="88" t="s">
        <v>903</v>
      </c>
      <c r="F61" s="88" t="s">
        <v>1053</v>
      </c>
      <c r="G61" s="88" t="s">
        <v>1054</v>
      </c>
      <c r="H61" s="170" t="s">
        <v>1055</v>
      </c>
      <c r="I61" s="126" t="s">
        <v>1056</v>
      </c>
      <c r="J61" s="88" t="s">
        <v>557</v>
      </c>
      <c r="K61" s="50" t="s">
        <v>843</v>
      </c>
      <c r="L61" s="152" t="s">
        <v>843</v>
      </c>
      <c r="M61" s="50"/>
      <c r="R61" s="48" t="s">
        <v>139</v>
      </c>
      <c r="S61" s="153">
        <v>46062</v>
      </c>
      <c r="T61" s="59" t="s">
        <v>70</v>
      </c>
      <c r="U61" s="48" t="s">
        <v>140</v>
      </c>
    </row>
    <row r="62" spans="1:49" ht="15.75" customHeight="1" x14ac:dyDescent="0.25">
      <c r="A62" s="96" t="s">
        <v>1057</v>
      </c>
      <c r="B62" s="88" t="s">
        <v>809</v>
      </c>
      <c r="C62" s="88" t="s">
        <v>810</v>
      </c>
      <c r="D62" s="88" t="s">
        <v>811</v>
      </c>
      <c r="E62" s="88" t="s">
        <v>872</v>
      </c>
      <c r="F62" s="88" t="s">
        <v>873</v>
      </c>
      <c r="G62" s="88" t="s">
        <v>1058</v>
      </c>
      <c r="H62" s="88" t="s">
        <v>639</v>
      </c>
      <c r="I62" s="88" t="s">
        <v>1059</v>
      </c>
      <c r="J62" s="88" t="s">
        <v>640</v>
      </c>
      <c r="K62" s="50" t="s">
        <v>843</v>
      </c>
      <c r="L62" s="152" t="s">
        <v>843</v>
      </c>
      <c r="M62" s="50"/>
      <c r="R62" s="48" t="s">
        <v>139</v>
      </c>
      <c r="S62" s="153">
        <v>46062</v>
      </c>
      <c r="T62" s="59" t="s">
        <v>70</v>
      </c>
      <c r="U62" s="48" t="s">
        <v>140</v>
      </c>
    </row>
    <row r="63" spans="1:49" ht="15.75" customHeight="1" x14ac:dyDescent="0.25">
      <c r="A63" s="96" t="s">
        <v>1060</v>
      </c>
      <c r="B63" s="88" t="s">
        <v>809</v>
      </c>
      <c r="H63" s="88" t="s">
        <v>741</v>
      </c>
      <c r="J63" s="88" t="s">
        <v>742</v>
      </c>
      <c r="K63" s="50"/>
      <c r="L63" s="157"/>
      <c r="M63" s="50"/>
      <c r="R63" s="48" t="s">
        <v>139</v>
      </c>
      <c r="S63" s="153">
        <v>46062</v>
      </c>
      <c r="T63" s="59" t="s">
        <v>70</v>
      </c>
      <c r="U63" s="48" t="s">
        <v>140</v>
      </c>
    </row>
    <row r="64" spans="1:49" ht="15.75" customHeight="1" x14ac:dyDescent="0.25">
      <c r="A64" s="96" t="s">
        <v>1061</v>
      </c>
      <c r="B64" s="88" t="s">
        <v>809</v>
      </c>
      <c r="H64" s="88" t="s">
        <v>754</v>
      </c>
      <c r="J64" s="88" t="s">
        <v>755</v>
      </c>
      <c r="K64" s="50"/>
      <c r="L64" s="157"/>
      <c r="M64" s="50"/>
      <c r="R64" s="48" t="s">
        <v>139</v>
      </c>
      <c r="S64" s="153">
        <v>46062</v>
      </c>
      <c r="T64" s="59" t="s">
        <v>70</v>
      </c>
      <c r="U64" s="48" t="s">
        <v>140</v>
      </c>
    </row>
    <row r="65" spans="1:21" ht="15.75" customHeight="1" x14ac:dyDescent="0.25">
      <c r="A65" s="96" t="s">
        <v>1062</v>
      </c>
      <c r="B65" s="88" t="s">
        <v>809</v>
      </c>
      <c r="C65" s="88" t="s">
        <v>810</v>
      </c>
      <c r="D65" s="88" t="s">
        <v>811</v>
      </c>
      <c r="E65" s="88" t="s">
        <v>830</v>
      </c>
      <c r="F65" s="88" t="s">
        <v>831</v>
      </c>
      <c r="G65" s="88" t="s">
        <v>1063</v>
      </c>
      <c r="H65" s="171" t="s">
        <v>379</v>
      </c>
      <c r="I65" s="88" t="s">
        <v>1050</v>
      </c>
      <c r="J65" s="88" t="s">
        <v>380</v>
      </c>
      <c r="K65" s="50" t="s">
        <v>956</v>
      </c>
      <c r="L65" s="152" t="s">
        <v>956</v>
      </c>
      <c r="M65" s="50"/>
      <c r="R65" s="48" t="s">
        <v>139</v>
      </c>
      <c r="S65" s="153">
        <v>46062</v>
      </c>
      <c r="T65" s="59" t="s">
        <v>70</v>
      </c>
      <c r="U65" s="48" t="s">
        <v>140</v>
      </c>
    </row>
    <row r="66" spans="1:21" ht="15.75" customHeight="1" x14ac:dyDescent="0.2">
      <c r="A66" s="96" t="s">
        <v>1064</v>
      </c>
      <c r="B66" s="88" t="s">
        <v>809</v>
      </c>
      <c r="C66" s="88" t="s">
        <v>810</v>
      </c>
      <c r="D66" s="88" t="s">
        <v>811</v>
      </c>
      <c r="E66" s="88" t="s">
        <v>1003</v>
      </c>
      <c r="F66" s="88" t="s">
        <v>1004</v>
      </c>
      <c r="G66" s="88" t="s">
        <v>1065</v>
      </c>
      <c r="H66" s="88" t="s">
        <v>156</v>
      </c>
      <c r="I66" s="88" t="s">
        <v>1066</v>
      </c>
      <c r="J66" s="88" t="s">
        <v>157</v>
      </c>
      <c r="K66" s="50"/>
      <c r="L66" s="88"/>
      <c r="M66" s="50"/>
      <c r="R66" s="48" t="s">
        <v>139</v>
      </c>
      <c r="S66" s="153">
        <v>46062</v>
      </c>
      <c r="T66" s="59" t="s">
        <v>70</v>
      </c>
      <c r="U66" s="48" t="s">
        <v>140</v>
      </c>
    </row>
    <row r="67" spans="1:21" ht="15.75" customHeight="1" x14ac:dyDescent="0.2">
      <c r="A67" s="96" t="s">
        <v>1067</v>
      </c>
      <c r="B67" s="88" t="s">
        <v>819</v>
      </c>
      <c r="H67" s="88" t="s">
        <v>697</v>
      </c>
      <c r="J67" s="88" t="s">
        <v>698</v>
      </c>
      <c r="K67" s="50"/>
      <c r="L67" s="88"/>
      <c r="M67" s="50"/>
      <c r="R67" s="48" t="s">
        <v>139</v>
      </c>
      <c r="S67" s="153">
        <v>46062</v>
      </c>
      <c r="T67" s="59" t="s">
        <v>70</v>
      </c>
      <c r="U67" s="48" t="s">
        <v>140</v>
      </c>
    </row>
    <row r="68" spans="1:21" ht="15.75" customHeight="1" x14ac:dyDescent="0.2">
      <c r="A68" s="96" t="s">
        <v>1068</v>
      </c>
      <c r="B68" s="50" t="s">
        <v>809</v>
      </c>
      <c r="C68" s="50" t="s">
        <v>810</v>
      </c>
      <c r="D68" s="50" t="s">
        <v>811</v>
      </c>
      <c r="E68" s="50" t="s">
        <v>872</v>
      </c>
      <c r="F68" s="50" t="s">
        <v>873</v>
      </c>
      <c r="G68" s="154" t="s">
        <v>874</v>
      </c>
      <c r="H68" s="88" t="s">
        <v>589</v>
      </c>
      <c r="I68" s="48" t="s">
        <v>815</v>
      </c>
      <c r="J68" s="88" t="s">
        <v>590</v>
      </c>
      <c r="K68" s="50"/>
      <c r="L68" s="88"/>
      <c r="M68" s="50"/>
      <c r="R68" s="48" t="s">
        <v>139</v>
      </c>
      <c r="S68" s="153">
        <v>46062</v>
      </c>
      <c r="T68" s="59" t="s">
        <v>70</v>
      </c>
      <c r="U68" s="48" t="s">
        <v>140</v>
      </c>
    </row>
    <row r="69" spans="1:21" ht="15.75" customHeight="1" x14ac:dyDescent="0.2">
      <c r="A69" s="96" t="s">
        <v>1069</v>
      </c>
      <c r="B69" s="88" t="s">
        <v>809</v>
      </c>
      <c r="C69" s="50" t="s">
        <v>810</v>
      </c>
      <c r="D69" s="50" t="s">
        <v>811</v>
      </c>
      <c r="E69" s="88" t="s">
        <v>918</v>
      </c>
      <c r="F69" s="88" t="s">
        <v>919</v>
      </c>
      <c r="G69" s="88" t="s">
        <v>1070</v>
      </c>
      <c r="H69" s="88" t="s">
        <v>677</v>
      </c>
      <c r="I69" s="88" t="s">
        <v>1071</v>
      </c>
      <c r="J69" s="88" t="s">
        <v>678</v>
      </c>
      <c r="K69" s="50"/>
      <c r="L69" s="88"/>
      <c r="M69" s="50"/>
      <c r="R69" s="48" t="s">
        <v>139</v>
      </c>
      <c r="S69" s="153">
        <v>46062</v>
      </c>
      <c r="T69" s="59" t="s">
        <v>70</v>
      </c>
      <c r="U69" s="48" t="s">
        <v>140</v>
      </c>
    </row>
    <row r="70" spans="1:21" ht="15.75" customHeight="1" x14ac:dyDescent="0.2">
      <c r="A70" s="96" t="s">
        <v>1072</v>
      </c>
      <c r="B70" s="88" t="s">
        <v>809</v>
      </c>
      <c r="C70" s="88" t="s">
        <v>1073</v>
      </c>
      <c r="H70" s="88" t="s">
        <v>611</v>
      </c>
      <c r="J70" s="88" t="s">
        <v>612</v>
      </c>
      <c r="K70" s="50"/>
      <c r="L70" s="88"/>
      <c r="M70" s="50"/>
      <c r="R70" s="48" t="s">
        <v>139</v>
      </c>
      <c r="S70" s="153">
        <v>46062</v>
      </c>
      <c r="T70" s="59" t="s">
        <v>70</v>
      </c>
      <c r="U70" s="48" t="s">
        <v>140</v>
      </c>
    </row>
    <row r="71" spans="1:21" ht="15.75" customHeight="1" x14ac:dyDescent="0.2">
      <c r="A71" s="96" t="s">
        <v>1074</v>
      </c>
      <c r="B71" s="88" t="s">
        <v>809</v>
      </c>
      <c r="H71" s="88" t="s">
        <v>659</v>
      </c>
      <c r="J71" s="88" t="s">
        <v>660</v>
      </c>
      <c r="K71" s="50"/>
      <c r="L71" s="88"/>
      <c r="M71" s="50"/>
      <c r="R71" s="48" t="s">
        <v>139</v>
      </c>
      <c r="S71" s="153">
        <v>46062</v>
      </c>
      <c r="T71" s="59" t="s">
        <v>70</v>
      </c>
      <c r="U71" s="48" t="s">
        <v>140</v>
      </c>
    </row>
    <row r="72" spans="1:21" ht="15.75" customHeight="1" x14ac:dyDescent="0.2">
      <c r="A72" s="96" t="s">
        <v>1075</v>
      </c>
      <c r="B72" s="50" t="s">
        <v>809</v>
      </c>
      <c r="C72" s="50" t="s">
        <v>810</v>
      </c>
      <c r="D72" s="50" t="s">
        <v>811</v>
      </c>
      <c r="E72" s="50" t="s">
        <v>861</v>
      </c>
      <c r="F72" s="50" t="s">
        <v>866</v>
      </c>
      <c r="G72" s="154" t="s">
        <v>1007</v>
      </c>
      <c r="H72" s="88" t="s">
        <v>762</v>
      </c>
      <c r="I72" s="88" t="s">
        <v>1050</v>
      </c>
      <c r="J72" s="88" t="s">
        <v>763</v>
      </c>
      <c r="K72" s="50"/>
      <c r="L72" s="88"/>
      <c r="M72" s="50"/>
      <c r="R72" s="48" t="s">
        <v>139</v>
      </c>
      <c r="S72" s="153">
        <v>46062</v>
      </c>
      <c r="T72" s="59" t="s">
        <v>70</v>
      </c>
      <c r="U72" s="48" t="s">
        <v>140</v>
      </c>
    </row>
    <row r="73" spans="1:21" ht="15.75" customHeight="1" x14ac:dyDescent="0.2">
      <c r="A73" s="96" t="s">
        <v>1076</v>
      </c>
      <c r="B73" s="88" t="s">
        <v>819</v>
      </c>
      <c r="C73" s="88" t="s">
        <v>820</v>
      </c>
      <c r="D73" s="88" t="s">
        <v>821</v>
      </c>
      <c r="E73" s="88" t="s">
        <v>850</v>
      </c>
      <c r="F73" s="88" t="s">
        <v>953</v>
      </c>
      <c r="G73" s="88" t="s">
        <v>954</v>
      </c>
      <c r="H73" s="88" t="s">
        <v>648</v>
      </c>
      <c r="I73" s="88" t="s">
        <v>1077</v>
      </c>
      <c r="J73" s="88" t="s">
        <v>649</v>
      </c>
      <c r="K73" s="50"/>
      <c r="L73" s="88"/>
      <c r="M73" s="50"/>
      <c r="R73" s="48" t="s">
        <v>139</v>
      </c>
      <c r="S73" s="153">
        <v>46062</v>
      </c>
      <c r="T73" s="59" t="s">
        <v>70</v>
      </c>
      <c r="U73" s="48" t="s">
        <v>140</v>
      </c>
    </row>
    <row r="74" spans="1:21" ht="15.75" customHeight="1" x14ac:dyDescent="0.2">
      <c r="A74" s="88" t="s">
        <v>1078</v>
      </c>
      <c r="B74" s="88" t="s">
        <v>809</v>
      </c>
      <c r="C74" s="88" t="s">
        <v>1033</v>
      </c>
      <c r="D74" s="88" t="s">
        <v>855</v>
      </c>
      <c r="E74" s="88" t="s">
        <v>903</v>
      </c>
      <c r="F74" s="88" t="s">
        <v>1053</v>
      </c>
      <c r="G74" s="88" t="s">
        <v>1079</v>
      </c>
      <c r="H74" s="88" t="s">
        <v>556</v>
      </c>
      <c r="I74" s="88" t="s">
        <v>1080</v>
      </c>
      <c r="J74" s="88" t="s">
        <v>557</v>
      </c>
      <c r="K74" s="88" t="s">
        <v>816</v>
      </c>
      <c r="M74" s="50"/>
    </row>
    <row r="75" spans="1:21" ht="15.75" customHeight="1" x14ac:dyDescent="0.2">
      <c r="K75" s="50"/>
      <c r="M75" s="50"/>
    </row>
    <row r="76" spans="1:21" ht="15.75" customHeight="1" x14ac:dyDescent="0.2">
      <c r="K76" s="50"/>
      <c r="M76" s="50"/>
    </row>
    <row r="77" spans="1:21" ht="15.75" customHeight="1" x14ac:dyDescent="0.2">
      <c r="K77" s="50"/>
      <c r="M77" s="50"/>
    </row>
    <row r="78" spans="1:21" ht="15.75" customHeight="1" x14ac:dyDescent="0.2">
      <c r="K78" s="50"/>
      <c r="M78" s="50"/>
    </row>
    <row r="79" spans="1:21" ht="15.75" customHeight="1" x14ac:dyDescent="0.2">
      <c r="K79" s="50"/>
      <c r="M79" s="50"/>
    </row>
    <row r="80" spans="1:21" ht="15.75" customHeight="1" x14ac:dyDescent="0.2">
      <c r="K80" s="50"/>
      <c r="M80" s="50"/>
    </row>
    <row r="81" spans="11:13" ht="15.75" customHeight="1" x14ac:dyDescent="0.2">
      <c r="K81" s="50"/>
      <c r="M81" s="50"/>
    </row>
    <row r="82" spans="11:13" ht="15.75" customHeight="1" x14ac:dyDescent="0.2">
      <c r="K82" s="50"/>
      <c r="M82" s="50"/>
    </row>
    <row r="83" spans="11:13" ht="15.75" customHeight="1" x14ac:dyDescent="0.2">
      <c r="K83" s="50"/>
      <c r="M83" s="50"/>
    </row>
    <row r="84" spans="11:13" ht="15.75" customHeight="1" x14ac:dyDescent="0.2">
      <c r="K84" s="50"/>
      <c r="M84" s="50"/>
    </row>
    <row r="85" spans="11:13" ht="15.75" customHeight="1" x14ac:dyDescent="0.2">
      <c r="K85" s="50"/>
      <c r="M85" s="50"/>
    </row>
    <row r="86" spans="11:13" ht="15.75" customHeight="1" x14ac:dyDescent="0.2">
      <c r="K86" s="50"/>
      <c r="M86" s="50"/>
    </row>
    <row r="87" spans="11:13" ht="15.75" customHeight="1" x14ac:dyDescent="0.2">
      <c r="K87" s="50"/>
      <c r="M87" s="50"/>
    </row>
    <row r="88" spans="11:13" ht="15.75" customHeight="1" x14ac:dyDescent="0.2">
      <c r="K88" s="50"/>
      <c r="M88" s="50"/>
    </row>
    <row r="89" spans="11:13" ht="15.75" customHeight="1" x14ac:dyDescent="0.2">
      <c r="K89" s="50"/>
      <c r="M89" s="50"/>
    </row>
    <row r="90" spans="11:13" ht="15.75" customHeight="1" x14ac:dyDescent="0.2">
      <c r="K90" s="50"/>
      <c r="M90" s="50"/>
    </row>
    <row r="91" spans="11:13" ht="15.75" customHeight="1" x14ac:dyDescent="0.2">
      <c r="K91" s="50"/>
      <c r="M91" s="50"/>
    </row>
    <row r="92" spans="11:13" ht="15.75" customHeight="1" x14ac:dyDescent="0.2">
      <c r="K92" s="50"/>
      <c r="M92" s="50"/>
    </row>
    <row r="93" spans="11:13" ht="15.75" customHeight="1" x14ac:dyDescent="0.2">
      <c r="K93" s="50"/>
      <c r="M93" s="50"/>
    </row>
    <row r="94" spans="11:13" ht="15.75" customHeight="1" x14ac:dyDescent="0.2">
      <c r="K94" s="50"/>
      <c r="M94" s="50"/>
    </row>
    <row r="95" spans="11:13" ht="15.75" customHeight="1" x14ac:dyDescent="0.2">
      <c r="K95" s="50"/>
      <c r="M95" s="50"/>
    </row>
    <row r="96" spans="11:13" ht="15.75" customHeight="1" x14ac:dyDescent="0.2">
      <c r="K96" s="50"/>
      <c r="M96" s="50"/>
    </row>
    <row r="97" spans="11:13" ht="15.75" customHeight="1" x14ac:dyDescent="0.2">
      <c r="K97" s="50"/>
      <c r="M97" s="50"/>
    </row>
    <row r="98" spans="11:13" ht="15.75" customHeight="1" x14ac:dyDescent="0.2">
      <c r="K98" s="50"/>
      <c r="M98" s="50"/>
    </row>
    <row r="99" spans="11:13" ht="15.75" customHeight="1" x14ac:dyDescent="0.2">
      <c r="K99" s="50"/>
      <c r="M99" s="50"/>
    </row>
    <row r="100" spans="11:13" ht="15.75" customHeight="1" x14ac:dyDescent="0.2">
      <c r="K100" s="50"/>
      <c r="M100" s="50"/>
    </row>
    <row r="101" spans="11:13" ht="15.75" customHeight="1" x14ac:dyDescent="0.2">
      <c r="K101" s="50"/>
      <c r="M101" s="50"/>
    </row>
    <row r="102" spans="11:13" ht="15.75" customHeight="1" x14ac:dyDescent="0.2">
      <c r="K102" s="50"/>
      <c r="M102" s="50"/>
    </row>
    <row r="103" spans="11:13" ht="15.75" customHeight="1" x14ac:dyDescent="0.2">
      <c r="K103" s="50"/>
      <c r="M103" s="50"/>
    </row>
    <row r="104" spans="11:13" ht="15.75" customHeight="1" x14ac:dyDescent="0.2">
      <c r="K104" s="50"/>
      <c r="M104" s="50"/>
    </row>
    <row r="105" spans="11:13" ht="15.75" customHeight="1" x14ac:dyDescent="0.2">
      <c r="K105" s="50"/>
      <c r="M105" s="50"/>
    </row>
    <row r="106" spans="11:13" ht="15.75" customHeight="1" x14ac:dyDescent="0.2">
      <c r="K106" s="50"/>
      <c r="M106" s="50"/>
    </row>
    <row r="107" spans="11:13" ht="15.75" customHeight="1" x14ac:dyDescent="0.2">
      <c r="K107" s="50"/>
      <c r="M107" s="50"/>
    </row>
    <row r="108" spans="11:13" ht="15.75" customHeight="1" x14ac:dyDescent="0.2">
      <c r="K108" s="50"/>
      <c r="M108" s="50"/>
    </row>
    <row r="109" spans="11:13" ht="15.75" customHeight="1" x14ac:dyDescent="0.2">
      <c r="K109" s="50"/>
      <c r="M109" s="50"/>
    </row>
    <row r="110" spans="11:13" ht="15.75" customHeight="1" x14ac:dyDescent="0.2">
      <c r="K110" s="50"/>
      <c r="M110" s="50"/>
    </row>
    <row r="111" spans="11:13" ht="15.75" customHeight="1" x14ac:dyDescent="0.2">
      <c r="K111" s="50"/>
      <c r="M111" s="50"/>
    </row>
    <row r="112" spans="11:13" ht="15.75" customHeight="1" x14ac:dyDescent="0.2">
      <c r="K112" s="50"/>
      <c r="M112" s="50"/>
    </row>
    <row r="113" spans="11:13" ht="15.75" customHeight="1" x14ac:dyDescent="0.2">
      <c r="K113" s="50"/>
      <c r="M113" s="50"/>
    </row>
    <row r="114" spans="11:13" ht="15.75" customHeight="1" x14ac:dyDescent="0.2">
      <c r="K114" s="50"/>
      <c r="M114" s="50"/>
    </row>
    <row r="115" spans="11:13" ht="15.75" customHeight="1" x14ac:dyDescent="0.2">
      <c r="K115" s="50"/>
      <c r="M115" s="50"/>
    </row>
    <row r="116" spans="11:13" ht="15.75" customHeight="1" x14ac:dyDescent="0.2">
      <c r="K116" s="50"/>
      <c r="M116" s="50"/>
    </row>
    <row r="117" spans="11:13" ht="15.75" customHeight="1" x14ac:dyDescent="0.2">
      <c r="K117" s="50"/>
      <c r="M117" s="50"/>
    </row>
    <row r="118" spans="11:13" ht="15.75" customHeight="1" x14ac:dyDescent="0.2">
      <c r="K118" s="50"/>
      <c r="M118" s="50"/>
    </row>
    <row r="119" spans="11:13" ht="15.75" customHeight="1" x14ac:dyDescent="0.2">
      <c r="K119" s="50"/>
      <c r="M119" s="50"/>
    </row>
    <row r="120" spans="11:13" ht="15.75" customHeight="1" x14ac:dyDescent="0.2">
      <c r="K120" s="50"/>
      <c r="M120" s="50"/>
    </row>
    <row r="121" spans="11:13" ht="15.75" customHeight="1" x14ac:dyDescent="0.2">
      <c r="K121" s="50"/>
      <c r="M121" s="50"/>
    </row>
    <row r="122" spans="11:13" ht="15.75" customHeight="1" x14ac:dyDescent="0.2">
      <c r="K122" s="50"/>
      <c r="M122" s="50"/>
    </row>
    <row r="123" spans="11:13" ht="15.75" customHeight="1" x14ac:dyDescent="0.2">
      <c r="K123" s="50"/>
      <c r="M123" s="50"/>
    </row>
    <row r="124" spans="11:13" ht="15.75" customHeight="1" x14ac:dyDescent="0.2">
      <c r="K124" s="50"/>
      <c r="M124" s="50"/>
    </row>
    <row r="125" spans="11:13" ht="15.75" customHeight="1" x14ac:dyDescent="0.2">
      <c r="K125" s="50"/>
      <c r="M125" s="50"/>
    </row>
    <row r="126" spans="11:13" ht="15.75" customHeight="1" x14ac:dyDescent="0.2">
      <c r="K126" s="50"/>
      <c r="M126" s="50"/>
    </row>
    <row r="127" spans="11:13" ht="15.75" customHeight="1" x14ac:dyDescent="0.2">
      <c r="K127" s="50"/>
      <c r="M127" s="50"/>
    </row>
    <row r="128" spans="11:13" ht="15.75" customHeight="1" x14ac:dyDescent="0.2">
      <c r="K128" s="50"/>
      <c r="M128" s="50"/>
    </row>
    <row r="129" spans="11:13" ht="15.75" customHeight="1" x14ac:dyDescent="0.2">
      <c r="K129" s="50"/>
      <c r="M129" s="50"/>
    </row>
    <row r="130" spans="11:13" ht="15.75" customHeight="1" x14ac:dyDescent="0.2">
      <c r="K130" s="50"/>
      <c r="M130" s="50"/>
    </row>
    <row r="131" spans="11:13" ht="15.75" customHeight="1" x14ac:dyDescent="0.2">
      <c r="K131" s="50"/>
      <c r="M131" s="50"/>
    </row>
    <row r="132" spans="11:13" ht="15.75" customHeight="1" x14ac:dyDescent="0.2">
      <c r="K132" s="50"/>
      <c r="M132" s="50"/>
    </row>
    <row r="133" spans="11:13" ht="15.75" customHeight="1" x14ac:dyDescent="0.2">
      <c r="K133" s="50"/>
      <c r="M133" s="50"/>
    </row>
    <row r="134" spans="11:13" ht="15.75" customHeight="1" x14ac:dyDescent="0.2">
      <c r="K134" s="50"/>
      <c r="M134" s="50"/>
    </row>
    <row r="135" spans="11:13" ht="15.75" customHeight="1" x14ac:dyDescent="0.2">
      <c r="K135" s="50"/>
      <c r="M135" s="50"/>
    </row>
    <row r="136" spans="11:13" ht="15.75" customHeight="1" x14ac:dyDescent="0.2">
      <c r="K136" s="50"/>
      <c r="M136" s="50"/>
    </row>
    <row r="137" spans="11:13" ht="15.75" customHeight="1" x14ac:dyDescent="0.2">
      <c r="K137" s="50"/>
      <c r="M137" s="50"/>
    </row>
    <row r="138" spans="11:13" ht="15.75" customHeight="1" x14ac:dyDescent="0.2">
      <c r="K138" s="50"/>
      <c r="M138" s="50"/>
    </row>
    <row r="139" spans="11:13" ht="15.75" customHeight="1" x14ac:dyDescent="0.2">
      <c r="K139" s="50"/>
      <c r="M139" s="50"/>
    </row>
    <row r="140" spans="11:13" ht="15.75" customHeight="1" x14ac:dyDescent="0.2">
      <c r="K140" s="50"/>
      <c r="M140" s="50"/>
    </row>
    <row r="141" spans="11:13" ht="15.75" customHeight="1" x14ac:dyDescent="0.2">
      <c r="K141" s="50"/>
      <c r="M141" s="50"/>
    </row>
    <row r="142" spans="11:13" ht="15.75" customHeight="1" x14ac:dyDescent="0.2">
      <c r="K142" s="50"/>
      <c r="M142" s="50"/>
    </row>
    <row r="143" spans="11:13" ht="15.75" customHeight="1" x14ac:dyDescent="0.2">
      <c r="K143" s="50"/>
      <c r="M143" s="50"/>
    </row>
    <row r="144" spans="11:13" ht="15.75" customHeight="1" x14ac:dyDescent="0.2">
      <c r="K144" s="50"/>
      <c r="M144" s="50"/>
    </row>
    <row r="145" spans="11:13" ht="15.75" customHeight="1" x14ac:dyDescent="0.2">
      <c r="K145" s="50"/>
      <c r="M145" s="50"/>
    </row>
    <row r="146" spans="11:13" ht="15.75" customHeight="1" x14ac:dyDescent="0.2">
      <c r="K146" s="50"/>
      <c r="M146" s="50"/>
    </row>
    <row r="147" spans="11:13" ht="15.75" customHeight="1" x14ac:dyDescent="0.2">
      <c r="K147" s="50"/>
      <c r="M147" s="50"/>
    </row>
    <row r="148" spans="11:13" ht="15.75" customHeight="1" x14ac:dyDescent="0.2">
      <c r="K148" s="50"/>
      <c r="M148" s="50"/>
    </row>
    <row r="149" spans="11:13" ht="15.75" customHeight="1" x14ac:dyDescent="0.2">
      <c r="K149" s="50"/>
      <c r="M149" s="50"/>
    </row>
    <row r="150" spans="11:13" ht="15.75" customHeight="1" x14ac:dyDescent="0.2">
      <c r="K150" s="50"/>
      <c r="M150" s="50"/>
    </row>
    <row r="151" spans="11:13" ht="15.75" customHeight="1" x14ac:dyDescent="0.2">
      <c r="K151" s="50"/>
      <c r="M151" s="50"/>
    </row>
    <row r="152" spans="11:13" ht="15.75" customHeight="1" x14ac:dyDescent="0.2">
      <c r="K152" s="50"/>
      <c r="M152" s="50"/>
    </row>
    <row r="153" spans="11:13" ht="15.75" customHeight="1" x14ac:dyDescent="0.2">
      <c r="K153" s="50"/>
      <c r="M153" s="50"/>
    </row>
    <row r="154" spans="11:13" ht="15.75" customHeight="1" x14ac:dyDescent="0.2">
      <c r="K154" s="50"/>
      <c r="M154" s="50"/>
    </row>
    <row r="155" spans="11:13" ht="15.75" customHeight="1" x14ac:dyDescent="0.2">
      <c r="K155" s="50"/>
      <c r="M155" s="50"/>
    </row>
    <row r="156" spans="11:13" ht="15.75" customHeight="1" x14ac:dyDescent="0.2">
      <c r="K156" s="50"/>
      <c r="M156" s="50"/>
    </row>
    <row r="157" spans="11:13" ht="15.75" customHeight="1" x14ac:dyDescent="0.2">
      <c r="K157" s="59"/>
      <c r="M157" s="59"/>
    </row>
    <row r="158" spans="11:13" ht="15.75" customHeight="1" x14ac:dyDescent="0.2">
      <c r="K158" s="59"/>
      <c r="M158" s="59"/>
    </row>
    <row r="159" spans="11:13" ht="15.75" customHeight="1" x14ac:dyDescent="0.2">
      <c r="K159" s="59"/>
      <c r="M159" s="59"/>
    </row>
    <row r="160" spans="11:13" ht="15.75" customHeight="1" x14ac:dyDescent="0.2">
      <c r="K160" s="59"/>
      <c r="M160" s="59"/>
    </row>
    <row r="161" spans="11:13" ht="15.75" customHeight="1" x14ac:dyDescent="0.2">
      <c r="K161" s="59"/>
      <c r="M161" s="59"/>
    </row>
    <row r="162" spans="11:13" ht="15.75" customHeight="1" x14ac:dyDescent="0.2">
      <c r="K162" s="59"/>
      <c r="M162" s="59"/>
    </row>
    <row r="163" spans="11:13" ht="15.75" customHeight="1" x14ac:dyDescent="0.2">
      <c r="K163" s="59"/>
      <c r="M163" s="59"/>
    </row>
    <row r="164" spans="11:13" ht="15.75" customHeight="1" x14ac:dyDescent="0.2">
      <c r="K164" s="59"/>
      <c r="M164" s="59"/>
    </row>
    <row r="165" spans="11:13" ht="15.75" customHeight="1" x14ac:dyDescent="0.2">
      <c r="K165" s="59"/>
      <c r="M165" s="59"/>
    </row>
    <row r="166" spans="11:13" ht="15.75" customHeight="1" x14ac:dyDescent="0.2">
      <c r="K166" s="59"/>
      <c r="M166" s="59"/>
    </row>
    <row r="167" spans="11:13" ht="15.75" customHeight="1" x14ac:dyDescent="0.2">
      <c r="K167" s="59"/>
      <c r="M167" s="59"/>
    </row>
    <row r="168" spans="11:13" ht="15.75" customHeight="1" x14ac:dyDescent="0.2">
      <c r="K168" s="59"/>
      <c r="M168" s="59"/>
    </row>
    <row r="169" spans="11:13" ht="15.75" customHeight="1" x14ac:dyDescent="0.2">
      <c r="K169" s="59"/>
      <c r="M169" s="59"/>
    </row>
    <row r="170" spans="11:13" ht="15.75" customHeight="1" x14ac:dyDescent="0.2">
      <c r="K170" s="59"/>
      <c r="M170" s="59"/>
    </row>
    <row r="171" spans="11:13" ht="15.75" customHeight="1" x14ac:dyDescent="0.2">
      <c r="K171" s="59"/>
      <c r="M171" s="59"/>
    </row>
    <row r="172" spans="11:13" ht="15.75" customHeight="1" x14ac:dyDescent="0.2">
      <c r="K172" s="59"/>
      <c r="M172" s="59"/>
    </row>
    <row r="173" spans="11:13" ht="15.75" customHeight="1" x14ac:dyDescent="0.2">
      <c r="K173" s="59"/>
      <c r="M173" s="59"/>
    </row>
    <row r="174" spans="11:13" ht="15.75" customHeight="1" x14ac:dyDescent="0.2">
      <c r="K174" s="59"/>
      <c r="M174" s="59"/>
    </row>
    <row r="175" spans="11:13" ht="15.75" customHeight="1" x14ac:dyDescent="0.2">
      <c r="K175" s="59"/>
      <c r="M175" s="59"/>
    </row>
    <row r="176" spans="11:13" ht="15.75" customHeight="1" x14ac:dyDescent="0.2">
      <c r="K176" s="59"/>
      <c r="M176" s="59"/>
    </row>
    <row r="177" spans="11:13" ht="15.75" customHeight="1" x14ac:dyDescent="0.2">
      <c r="K177" s="59"/>
      <c r="M177" s="59"/>
    </row>
    <row r="178" spans="11:13" ht="15.75" customHeight="1" x14ac:dyDescent="0.2">
      <c r="K178" s="59"/>
      <c r="M178" s="59"/>
    </row>
    <row r="179" spans="11:13" ht="15.75" customHeight="1" x14ac:dyDescent="0.2">
      <c r="K179" s="59"/>
      <c r="M179" s="59"/>
    </row>
    <row r="180" spans="11:13" ht="15.75" customHeight="1" x14ac:dyDescent="0.2">
      <c r="K180" s="59"/>
      <c r="M180" s="59"/>
    </row>
    <row r="181" spans="11:13" ht="15.75" customHeight="1" x14ac:dyDescent="0.2">
      <c r="K181" s="59"/>
      <c r="M181" s="59"/>
    </row>
    <row r="182" spans="11:13" ht="15.75" customHeight="1" x14ac:dyDescent="0.2">
      <c r="K182" s="59"/>
      <c r="M182" s="59"/>
    </row>
    <row r="183" spans="11:13" ht="15.75" customHeight="1" x14ac:dyDescent="0.2">
      <c r="K183" s="59"/>
      <c r="M183" s="59"/>
    </row>
    <row r="184" spans="11:13" ht="15.75" customHeight="1" x14ac:dyDescent="0.2">
      <c r="K184" s="59"/>
      <c r="M184" s="59"/>
    </row>
    <row r="185" spans="11:13" ht="15.75" customHeight="1" x14ac:dyDescent="0.2">
      <c r="K185" s="59"/>
      <c r="M185" s="59"/>
    </row>
    <row r="186" spans="11:13" ht="15.75" customHeight="1" x14ac:dyDescent="0.2">
      <c r="K186" s="59"/>
      <c r="M186" s="59"/>
    </row>
    <row r="187" spans="11:13" ht="15.75" customHeight="1" x14ac:dyDescent="0.2">
      <c r="K187" s="59"/>
      <c r="M187" s="59"/>
    </row>
    <row r="188" spans="11:13" ht="15.75" customHeight="1" x14ac:dyDescent="0.2">
      <c r="K188" s="59"/>
      <c r="M188" s="59"/>
    </row>
    <row r="189" spans="11:13" ht="15.75" customHeight="1" x14ac:dyDescent="0.2">
      <c r="K189" s="59"/>
      <c r="M189" s="59"/>
    </row>
    <row r="190" spans="11:13" ht="15.75" customHeight="1" x14ac:dyDescent="0.2">
      <c r="K190" s="59"/>
      <c r="M190" s="59"/>
    </row>
    <row r="191" spans="11:13" ht="15.75" customHeight="1" x14ac:dyDescent="0.2">
      <c r="K191" s="59"/>
      <c r="M191" s="59"/>
    </row>
    <row r="192" spans="11:13" ht="15.75" customHeight="1" x14ac:dyDescent="0.2">
      <c r="K192" s="59"/>
      <c r="M192" s="59"/>
    </row>
    <row r="193" spans="11:13" ht="15.75" customHeight="1" x14ac:dyDescent="0.2">
      <c r="K193" s="59"/>
      <c r="M193" s="59"/>
    </row>
    <row r="194" spans="11:13" ht="15.75" customHeight="1" x14ac:dyDescent="0.2">
      <c r="K194" s="59"/>
      <c r="M194" s="59"/>
    </row>
    <row r="195" spans="11:13" ht="15.75" customHeight="1" x14ac:dyDescent="0.2">
      <c r="K195" s="59"/>
      <c r="M195" s="59"/>
    </row>
    <row r="196" spans="11:13" ht="15.75" customHeight="1" x14ac:dyDescent="0.2">
      <c r="K196" s="59"/>
      <c r="M196" s="59"/>
    </row>
    <row r="197" spans="11:13" ht="15.75" customHeight="1" x14ac:dyDescent="0.2">
      <c r="K197" s="59"/>
      <c r="M197" s="59"/>
    </row>
    <row r="198" spans="11:13" ht="15.75" customHeight="1" x14ac:dyDescent="0.2">
      <c r="K198" s="59"/>
      <c r="M198" s="59"/>
    </row>
    <row r="199" spans="11:13" ht="15.75" customHeight="1" x14ac:dyDescent="0.2">
      <c r="K199" s="59"/>
      <c r="M199" s="59"/>
    </row>
    <row r="200" spans="11:13" ht="15.75" customHeight="1" x14ac:dyDescent="0.2">
      <c r="K200" s="59"/>
      <c r="M200" s="59"/>
    </row>
    <row r="201" spans="11:13" ht="15.75" customHeight="1" x14ac:dyDescent="0.2">
      <c r="K201" s="59"/>
      <c r="M201" s="59"/>
    </row>
    <row r="202" spans="11:13" ht="15.75" customHeight="1" x14ac:dyDescent="0.2">
      <c r="K202" s="59"/>
      <c r="M202" s="59"/>
    </row>
    <row r="203" spans="11:13" ht="15.75" customHeight="1" x14ac:dyDescent="0.2">
      <c r="K203" s="59"/>
      <c r="M203" s="59"/>
    </row>
    <row r="204" spans="11:13" ht="15.75" customHeight="1" x14ac:dyDescent="0.2">
      <c r="K204" s="59"/>
      <c r="M204" s="59"/>
    </row>
    <row r="205" spans="11:13" ht="15.75" customHeight="1" x14ac:dyDescent="0.2">
      <c r="K205" s="59"/>
      <c r="M205" s="59"/>
    </row>
    <row r="206" spans="11:13" ht="15.75" customHeight="1" x14ac:dyDescent="0.2">
      <c r="K206" s="59"/>
      <c r="M206" s="59"/>
    </row>
    <row r="207" spans="11:13" ht="15.75" customHeight="1" x14ac:dyDescent="0.2">
      <c r="K207" s="59"/>
      <c r="M207" s="59"/>
    </row>
    <row r="208" spans="11:13" ht="15.75" customHeight="1" x14ac:dyDescent="0.2">
      <c r="K208" s="59"/>
      <c r="M208" s="59"/>
    </row>
    <row r="209" spans="11:13" ht="15.75" customHeight="1" x14ac:dyDescent="0.2">
      <c r="K209" s="59"/>
      <c r="M209" s="59"/>
    </row>
    <row r="210" spans="11:13" ht="15.75" customHeight="1" x14ac:dyDescent="0.2">
      <c r="K210" s="59"/>
      <c r="M210" s="59"/>
    </row>
    <row r="211" spans="11:13" ht="15.75" customHeight="1" x14ac:dyDescent="0.2">
      <c r="K211" s="59"/>
      <c r="M211" s="59"/>
    </row>
    <row r="212" spans="11:13" ht="15.75" customHeight="1" x14ac:dyDescent="0.2">
      <c r="K212" s="59"/>
      <c r="M212" s="59"/>
    </row>
    <row r="213" spans="11:13" ht="15.75" customHeight="1" x14ac:dyDescent="0.2">
      <c r="K213" s="59"/>
      <c r="M213" s="59"/>
    </row>
    <row r="214" spans="11:13" ht="15.75" customHeight="1" x14ac:dyDescent="0.2">
      <c r="K214" s="59"/>
      <c r="M214" s="59"/>
    </row>
    <row r="215" spans="11:13" ht="15.75" customHeight="1" x14ac:dyDescent="0.2">
      <c r="K215" s="59"/>
      <c r="M215" s="59"/>
    </row>
    <row r="216" spans="11:13" ht="15.75" customHeight="1" x14ac:dyDescent="0.2">
      <c r="K216" s="59"/>
      <c r="M216" s="59"/>
    </row>
    <row r="217" spans="11:13" ht="15.75" customHeight="1" x14ac:dyDescent="0.2">
      <c r="K217" s="59"/>
      <c r="M217" s="59"/>
    </row>
    <row r="218" spans="11:13" ht="15.75" customHeight="1" x14ac:dyDescent="0.2">
      <c r="K218" s="59"/>
      <c r="M218" s="59"/>
    </row>
    <row r="219" spans="11:13" ht="15.75" customHeight="1" x14ac:dyDescent="0.2">
      <c r="K219" s="59"/>
      <c r="M219" s="59"/>
    </row>
    <row r="220" spans="11:13" ht="15.75" customHeight="1" x14ac:dyDescent="0.2">
      <c r="K220" s="59"/>
      <c r="M220" s="59"/>
    </row>
    <row r="221" spans="11:13" ht="15.75" customHeight="1" x14ac:dyDescent="0.2">
      <c r="K221" s="59"/>
      <c r="M221" s="59"/>
    </row>
    <row r="222" spans="11:13" ht="15.75" customHeight="1" x14ac:dyDescent="0.2">
      <c r="K222" s="59"/>
      <c r="M222" s="59"/>
    </row>
    <row r="223" spans="11:13" ht="15.75" customHeight="1" x14ac:dyDescent="0.2">
      <c r="K223" s="59"/>
      <c r="M223" s="59"/>
    </row>
    <row r="224" spans="11:13" ht="15.75" customHeight="1" x14ac:dyDescent="0.2">
      <c r="K224" s="59"/>
      <c r="M224" s="59"/>
    </row>
    <row r="225" spans="11:13" ht="15.75" customHeight="1" x14ac:dyDescent="0.2">
      <c r="K225" s="59"/>
      <c r="M225" s="59"/>
    </row>
    <row r="226" spans="11:13" ht="15.75" customHeight="1" x14ac:dyDescent="0.2">
      <c r="K226" s="59"/>
      <c r="M226" s="59"/>
    </row>
    <row r="227" spans="11:13" ht="15.75" customHeight="1" x14ac:dyDescent="0.2">
      <c r="K227" s="59"/>
      <c r="M227" s="59"/>
    </row>
    <row r="228" spans="11:13" ht="15.75" customHeight="1" x14ac:dyDescent="0.2">
      <c r="K228" s="59"/>
      <c r="M228" s="59"/>
    </row>
    <row r="229" spans="11:13" ht="15.75" customHeight="1" x14ac:dyDescent="0.2">
      <c r="K229" s="59"/>
      <c r="M229" s="59"/>
    </row>
    <row r="230" spans="11:13" ht="15.75" customHeight="1" x14ac:dyDescent="0.2">
      <c r="K230" s="59"/>
      <c r="M230" s="59"/>
    </row>
    <row r="231" spans="11:13" ht="15.75" customHeight="1" x14ac:dyDescent="0.2">
      <c r="K231" s="59"/>
      <c r="M231" s="59"/>
    </row>
    <row r="232" spans="11:13" ht="15.75" customHeight="1" x14ac:dyDescent="0.2">
      <c r="K232" s="59"/>
      <c r="M232" s="59"/>
    </row>
    <row r="233" spans="11:13" ht="15.75" customHeight="1" x14ac:dyDescent="0.2">
      <c r="K233" s="59"/>
      <c r="M233" s="59"/>
    </row>
    <row r="234" spans="11:13" ht="15.75" customHeight="1" x14ac:dyDescent="0.2">
      <c r="K234" s="59"/>
      <c r="M234" s="59"/>
    </row>
    <row r="235" spans="11:13" ht="15.75" customHeight="1" x14ac:dyDescent="0.2">
      <c r="K235" s="59"/>
      <c r="M235" s="59"/>
    </row>
    <row r="236" spans="11:13" ht="15.75" customHeight="1" x14ac:dyDescent="0.2">
      <c r="K236" s="59"/>
      <c r="M236" s="59"/>
    </row>
    <row r="237" spans="11:13" ht="15.75" customHeight="1" x14ac:dyDescent="0.2">
      <c r="K237" s="59"/>
      <c r="M237" s="59"/>
    </row>
    <row r="238" spans="11:13" ht="15.75" customHeight="1" x14ac:dyDescent="0.2">
      <c r="K238" s="59"/>
      <c r="M238" s="59"/>
    </row>
    <row r="239" spans="11:13" ht="15.75" customHeight="1" x14ac:dyDescent="0.2">
      <c r="K239" s="59"/>
      <c r="M239" s="59"/>
    </row>
    <row r="240" spans="11:13" ht="15.75" customHeight="1" x14ac:dyDescent="0.2">
      <c r="K240" s="59"/>
      <c r="M240" s="59"/>
    </row>
    <row r="241" spans="11:13" ht="15.75" customHeight="1" x14ac:dyDescent="0.2">
      <c r="K241" s="59"/>
      <c r="M241" s="59"/>
    </row>
    <row r="242" spans="11:13" ht="15.75" customHeight="1" x14ac:dyDescent="0.2">
      <c r="K242" s="59"/>
      <c r="M242" s="59"/>
    </row>
    <row r="243" spans="11:13" ht="15.75" customHeight="1" x14ac:dyDescent="0.2">
      <c r="K243" s="59"/>
      <c r="M243" s="59"/>
    </row>
    <row r="244" spans="11:13" ht="15.75" customHeight="1" x14ac:dyDescent="0.2">
      <c r="K244" s="59"/>
      <c r="M244" s="59"/>
    </row>
    <row r="245" spans="11:13" ht="15.75" customHeight="1" x14ac:dyDescent="0.2">
      <c r="K245" s="59"/>
      <c r="M245" s="59"/>
    </row>
    <row r="246" spans="11:13" ht="15.75" customHeight="1" x14ac:dyDescent="0.2">
      <c r="K246" s="59"/>
      <c r="M246" s="59"/>
    </row>
    <row r="247" spans="11:13" ht="15.75" customHeight="1" x14ac:dyDescent="0.2">
      <c r="K247" s="59"/>
      <c r="M247" s="59"/>
    </row>
    <row r="248" spans="11:13" ht="15.75" customHeight="1" x14ac:dyDescent="0.2">
      <c r="K248" s="59"/>
      <c r="M248" s="59"/>
    </row>
    <row r="249" spans="11:13" ht="15.75" customHeight="1" x14ac:dyDescent="0.2">
      <c r="K249" s="59"/>
      <c r="M249" s="59"/>
    </row>
    <row r="250" spans="11:13" ht="15.75" customHeight="1" x14ac:dyDescent="0.2">
      <c r="K250" s="59"/>
      <c r="M250" s="59"/>
    </row>
    <row r="251" spans="11:13" ht="15.75" customHeight="1" x14ac:dyDescent="0.2">
      <c r="K251" s="59"/>
      <c r="M251" s="59"/>
    </row>
    <row r="252" spans="11:13" ht="15.75" customHeight="1" x14ac:dyDescent="0.2">
      <c r="K252" s="59"/>
      <c r="M252" s="59"/>
    </row>
    <row r="253" spans="11:13" ht="15.75" customHeight="1" x14ac:dyDescent="0.2">
      <c r="K253" s="59"/>
      <c r="M253" s="59"/>
    </row>
    <row r="254" spans="11:13" ht="15.75" customHeight="1" x14ac:dyDescent="0.2">
      <c r="K254" s="59"/>
      <c r="M254" s="59"/>
    </row>
    <row r="255" spans="11:13" ht="15.75" customHeight="1" x14ac:dyDescent="0.2">
      <c r="K255" s="59"/>
      <c r="M255" s="59"/>
    </row>
    <row r="256" spans="11:13" ht="15.75" customHeight="1" x14ac:dyDescent="0.2">
      <c r="K256" s="59"/>
      <c r="M256" s="59"/>
    </row>
    <row r="257" spans="11:13" ht="15.75" customHeight="1" x14ac:dyDescent="0.2">
      <c r="K257" s="59"/>
      <c r="M257" s="59"/>
    </row>
    <row r="258" spans="11:13" ht="15.75" customHeight="1" x14ac:dyDescent="0.2">
      <c r="K258" s="59"/>
      <c r="M258" s="59"/>
    </row>
    <row r="259" spans="11:13" ht="15.75" customHeight="1" x14ac:dyDescent="0.2">
      <c r="K259" s="59"/>
      <c r="M259" s="59"/>
    </row>
    <row r="260" spans="11:13" ht="15.75" customHeight="1" x14ac:dyDescent="0.2">
      <c r="K260" s="59"/>
      <c r="M260" s="59"/>
    </row>
    <row r="261" spans="11:13" ht="15.75" customHeight="1" x14ac:dyDescent="0.2">
      <c r="K261" s="59"/>
      <c r="M261" s="59"/>
    </row>
    <row r="262" spans="11:13" ht="15.75" customHeight="1" x14ac:dyDescent="0.2">
      <c r="K262" s="59"/>
      <c r="M262" s="59"/>
    </row>
    <row r="263" spans="11:13" ht="15.75" customHeight="1" x14ac:dyDescent="0.2">
      <c r="K263" s="59"/>
      <c r="M263" s="59"/>
    </row>
    <row r="264" spans="11:13" ht="15.75" customHeight="1" x14ac:dyDescent="0.2">
      <c r="K264" s="59"/>
      <c r="M264" s="59"/>
    </row>
    <row r="265" spans="11:13" ht="15.75" customHeight="1" x14ac:dyDescent="0.2">
      <c r="K265" s="59"/>
      <c r="M265" s="59"/>
    </row>
    <row r="266" spans="11:13" ht="15.75" customHeight="1" x14ac:dyDescent="0.2">
      <c r="K266" s="59"/>
      <c r="M266" s="59"/>
    </row>
    <row r="267" spans="11:13" ht="15.75" customHeight="1" x14ac:dyDescent="0.2">
      <c r="K267" s="59"/>
      <c r="M267" s="59"/>
    </row>
    <row r="268" spans="11:13" ht="15.75" customHeight="1" x14ac:dyDescent="0.2">
      <c r="K268" s="59"/>
      <c r="M268" s="59"/>
    </row>
    <row r="269" spans="11:13" ht="15.75" customHeight="1" x14ac:dyDescent="0.2">
      <c r="K269" s="59"/>
      <c r="M269" s="59"/>
    </row>
    <row r="270" spans="11:13" ht="15.75" customHeight="1" x14ac:dyDescent="0.2">
      <c r="K270" s="59"/>
      <c r="M270" s="59"/>
    </row>
    <row r="271" spans="11:13" ht="15.75" customHeight="1" x14ac:dyDescent="0.2">
      <c r="K271" s="59"/>
      <c r="M271" s="59"/>
    </row>
    <row r="272" spans="11:13" ht="15.75" customHeight="1" x14ac:dyDescent="0.2">
      <c r="K272" s="59"/>
      <c r="M272" s="59"/>
    </row>
    <row r="273" spans="11:13" ht="15.75" customHeight="1" x14ac:dyDescent="0.2">
      <c r="K273" s="59"/>
      <c r="M273" s="59"/>
    </row>
    <row r="274" spans="11:13" ht="15.75" customHeight="1" x14ac:dyDescent="0.2">
      <c r="K274" s="59"/>
      <c r="M274" s="59"/>
    </row>
    <row r="275" spans="11:13" ht="15.75" customHeight="1" x14ac:dyDescent="0.2">
      <c r="K275" s="59"/>
      <c r="M275" s="59"/>
    </row>
    <row r="276" spans="11:13" ht="15.75" customHeight="1" x14ac:dyDescent="0.2">
      <c r="K276" s="59"/>
      <c r="M276" s="59"/>
    </row>
    <row r="277" spans="11:13" ht="15.75" customHeight="1" x14ac:dyDescent="0.2">
      <c r="K277" s="59"/>
      <c r="M277" s="59"/>
    </row>
    <row r="278" spans="11:13" ht="15.75" customHeight="1" x14ac:dyDescent="0.2">
      <c r="K278" s="59"/>
      <c r="M278" s="59"/>
    </row>
    <row r="279" spans="11:13" ht="15.75" customHeight="1" x14ac:dyDescent="0.2">
      <c r="K279" s="59"/>
      <c r="M279" s="59"/>
    </row>
    <row r="280" spans="11:13" ht="15.75" customHeight="1" x14ac:dyDescent="0.2">
      <c r="K280" s="59"/>
      <c r="M280" s="59"/>
    </row>
    <row r="281" spans="11:13" ht="15.75" customHeight="1" x14ac:dyDescent="0.2">
      <c r="K281" s="59"/>
      <c r="M281" s="59"/>
    </row>
    <row r="282" spans="11:13" ht="15.75" customHeight="1" x14ac:dyDescent="0.2">
      <c r="K282" s="59"/>
      <c r="M282" s="59"/>
    </row>
    <row r="283" spans="11:13" ht="15.75" customHeight="1" x14ac:dyDescent="0.2">
      <c r="K283" s="59"/>
      <c r="M283" s="59"/>
    </row>
    <row r="284" spans="11:13" ht="15.75" customHeight="1" x14ac:dyDescent="0.2">
      <c r="K284" s="59"/>
      <c r="M284" s="59"/>
    </row>
    <row r="285" spans="11:13" ht="15.75" customHeight="1" x14ac:dyDescent="0.2">
      <c r="K285" s="59"/>
      <c r="M285" s="59"/>
    </row>
    <row r="286" spans="11:13" ht="15.75" customHeight="1" x14ac:dyDescent="0.2">
      <c r="K286" s="59"/>
      <c r="M286" s="59"/>
    </row>
    <row r="287" spans="11:13" ht="15.75" customHeight="1" x14ac:dyDescent="0.2">
      <c r="K287" s="59"/>
      <c r="M287" s="59"/>
    </row>
    <row r="288" spans="11:13" ht="15.75" customHeight="1" x14ac:dyDescent="0.2">
      <c r="K288" s="59"/>
      <c r="M288" s="59"/>
    </row>
    <row r="289" spans="11:13" ht="15.75" customHeight="1" x14ac:dyDescent="0.2">
      <c r="K289" s="59"/>
      <c r="M289" s="59"/>
    </row>
    <row r="290" spans="11:13" ht="15.75" customHeight="1" x14ac:dyDescent="0.2">
      <c r="K290" s="59"/>
      <c r="M290" s="59"/>
    </row>
    <row r="291" spans="11:13" ht="15.75" customHeight="1" x14ac:dyDescent="0.2">
      <c r="K291" s="59"/>
      <c r="M291" s="59"/>
    </row>
    <row r="292" spans="11:13" ht="15.75" customHeight="1" x14ac:dyDescent="0.2">
      <c r="K292" s="59"/>
      <c r="M292" s="59"/>
    </row>
    <row r="293" spans="11:13" ht="15.75" customHeight="1" x14ac:dyDescent="0.2">
      <c r="K293" s="59"/>
      <c r="M293" s="59"/>
    </row>
    <row r="294" spans="11:13" ht="15.75" customHeight="1" x14ac:dyDescent="0.2">
      <c r="K294" s="59"/>
      <c r="M294" s="59"/>
    </row>
    <row r="295" spans="11:13" ht="15.75" customHeight="1" x14ac:dyDescent="0.2">
      <c r="K295" s="59"/>
      <c r="M295" s="59"/>
    </row>
    <row r="296" spans="11:13" ht="15.75" customHeight="1" x14ac:dyDescent="0.2">
      <c r="K296" s="59"/>
      <c r="M296" s="59"/>
    </row>
    <row r="297" spans="11:13" ht="15.75" customHeight="1" x14ac:dyDescent="0.2">
      <c r="K297" s="59"/>
      <c r="M297" s="59"/>
    </row>
    <row r="298" spans="11:13" ht="15.75" customHeight="1" x14ac:dyDescent="0.2">
      <c r="K298" s="59"/>
      <c r="M298" s="59"/>
    </row>
    <row r="299" spans="11:13" ht="15.75" customHeight="1" x14ac:dyDescent="0.2">
      <c r="K299" s="59"/>
      <c r="M299" s="59"/>
    </row>
    <row r="300" spans="11:13" ht="15.75" customHeight="1" x14ac:dyDescent="0.2">
      <c r="K300" s="59"/>
      <c r="M300" s="59"/>
    </row>
    <row r="301" spans="11:13" ht="15.75" customHeight="1" x14ac:dyDescent="0.2">
      <c r="K301" s="59"/>
      <c r="M301" s="59"/>
    </row>
    <row r="302" spans="11:13" ht="15.75" customHeight="1" x14ac:dyDescent="0.2">
      <c r="K302" s="59"/>
      <c r="M302" s="59"/>
    </row>
    <row r="303" spans="11:13" ht="15.75" customHeight="1" x14ac:dyDescent="0.2">
      <c r="K303" s="59"/>
      <c r="M303" s="59"/>
    </row>
    <row r="304" spans="11:13" ht="15.75" customHeight="1" x14ac:dyDescent="0.2">
      <c r="K304" s="59"/>
      <c r="M304" s="59"/>
    </row>
    <row r="305" spans="11:13" ht="15.75" customHeight="1" x14ac:dyDescent="0.2">
      <c r="K305" s="59"/>
      <c r="M305" s="59"/>
    </row>
    <row r="306" spans="11:13" ht="15.75" customHeight="1" x14ac:dyDescent="0.2">
      <c r="K306" s="59"/>
      <c r="M306" s="59"/>
    </row>
    <row r="307" spans="11:13" ht="15.75" customHeight="1" x14ac:dyDescent="0.2">
      <c r="K307" s="59"/>
      <c r="M307" s="59"/>
    </row>
    <row r="308" spans="11:13" ht="15.75" customHeight="1" x14ac:dyDescent="0.2">
      <c r="K308" s="59"/>
      <c r="M308" s="59"/>
    </row>
    <row r="309" spans="11:13" ht="15.75" customHeight="1" x14ac:dyDescent="0.2">
      <c r="K309" s="59"/>
      <c r="M309" s="59"/>
    </row>
    <row r="310" spans="11:13" ht="15.75" customHeight="1" x14ac:dyDescent="0.2">
      <c r="K310" s="59"/>
      <c r="M310" s="59"/>
    </row>
    <row r="311" spans="11:13" ht="15.75" customHeight="1" x14ac:dyDescent="0.2">
      <c r="K311" s="59"/>
      <c r="M311" s="59"/>
    </row>
    <row r="312" spans="11:13" ht="15.75" customHeight="1" x14ac:dyDescent="0.2">
      <c r="K312" s="59"/>
      <c r="M312" s="59"/>
    </row>
    <row r="313" spans="11:13" ht="15.75" customHeight="1" x14ac:dyDescent="0.2">
      <c r="K313" s="59"/>
      <c r="M313" s="59"/>
    </row>
    <row r="314" spans="11:13" ht="15.75" customHeight="1" x14ac:dyDescent="0.2">
      <c r="K314" s="59"/>
      <c r="M314" s="59"/>
    </row>
    <row r="315" spans="11:13" ht="15.75" customHeight="1" x14ac:dyDescent="0.2">
      <c r="K315" s="59"/>
      <c r="M315" s="59"/>
    </row>
    <row r="316" spans="11:13" ht="15.75" customHeight="1" x14ac:dyDescent="0.2">
      <c r="K316" s="59"/>
      <c r="M316" s="59"/>
    </row>
    <row r="317" spans="11:13" ht="15.75" customHeight="1" x14ac:dyDescent="0.2">
      <c r="K317" s="59"/>
      <c r="M317" s="59"/>
    </row>
    <row r="318" spans="11:13" ht="15.75" customHeight="1" x14ac:dyDescent="0.2">
      <c r="K318" s="59"/>
      <c r="M318" s="59"/>
    </row>
    <row r="319" spans="11:13" ht="15.75" customHeight="1" x14ac:dyDescent="0.2">
      <c r="K319" s="59"/>
      <c r="M319" s="59"/>
    </row>
    <row r="320" spans="11:13" ht="15.75" customHeight="1" x14ac:dyDescent="0.2">
      <c r="K320" s="59"/>
      <c r="M320" s="59"/>
    </row>
    <row r="321" spans="11:13" ht="15.75" customHeight="1" x14ac:dyDescent="0.2">
      <c r="K321" s="59"/>
      <c r="M321" s="59"/>
    </row>
    <row r="322" spans="11:13" ht="15.75" customHeight="1" x14ac:dyDescent="0.2">
      <c r="K322" s="59"/>
      <c r="M322" s="59"/>
    </row>
    <row r="323" spans="11:13" ht="15.75" customHeight="1" x14ac:dyDescent="0.2">
      <c r="K323" s="59"/>
      <c r="M323" s="59"/>
    </row>
    <row r="324" spans="11:13" ht="15.75" customHeight="1" x14ac:dyDescent="0.2">
      <c r="K324" s="59"/>
      <c r="M324" s="59"/>
    </row>
    <row r="325" spans="11:13" ht="15.75" customHeight="1" x14ac:dyDescent="0.2">
      <c r="K325" s="59"/>
      <c r="M325" s="59"/>
    </row>
    <row r="326" spans="11:13" ht="15.75" customHeight="1" x14ac:dyDescent="0.2">
      <c r="K326" s="59"/>
      <c r="M326" s="59"/>
    </row>
    <row r="327" spans="11:13" ht="15.75" customHeight="1" x14ac:dyDescent="0.2">
      <c r="K327" s="59"/>
      <c r="M327" s="59"/>
    </row>
    <row r="328" spans="11:13" ht="15.75" customHeight="1" x14ac:dyDescent="0.2">
      <c r="K328" s="59"/>
      <c r="M328" s="59"/>
    </row>
    <row r="329" spans="11:13" ht="15.75" customHeight="1" x14ac:dyDescent="0.2">
      <c r="K329" s="59"/>
      <c r="M329" s="59"/>
    </row>
    <row r="330" spans="11:13" ht="15.75" customHeight="1" x14ac:dyDescent="0.2">
      <c r="K330" s="59"/>
      <c r="M330" s="59"/>
    </row>
    <row r="331" spans="11:13" ht="15.75" customHeight="1" x14ac:dyDescent="0.2">
      <c r="K331" s="59"/>
      <c r="M331" s="59"/>
    </row>
    <row r="332" spans="11:13" ht="15.75" customHeight="1" x14ac:dyDescent="0.2">
      <c r="K332" s="59"/>
      <c r="M332" s="59"/>
    </row>
    <row r="333" spans="11:13" ht="15.75" customHeight="1" x14ac:dyDescent="0.2">
      <c r="K333" s="59"/>
      <c r="M333" s="59"/>
    </row>
    <row r="334" spans="11:13" ht="15.75" customHeight="1" x14ac:dyDescent="0.2">
      <c r="K334" s="59"/>
      <c r="M334" s="59"/>
    </row>
    <row r="335" spans="11:13" ht="15.75" customHeight="1" x14ac:dyDescent="0.2">
      <c r="K335" s="59"/>
      <c r="M335" s="59"/>
    </row>
    <row r="336" spans="11:13" ht="15.75" customHeight="1" x14ac:dyDescent="0.2">
      <c r="K336" s="59"/>
      <c r="M336" s="59"/>
    </row>
    <row r="337" spans="11:13" ht="15.75" customHeight="1" x14ac:dyDescent="0.2">
      <c r="K337" s="59"/>
      <c r="M337" s="59"/>
    </row>
    <row r="338" spans="11:13" ht="15.75" customHeight="1" x14ac:dyDescent="0.2">
      <c r="K338" s="59"/>
      <c r="M338" s="59"/>
    </row>
    <row r="339" spans="11:13" ht="15.75" customHeight="1" x14ac:dyDescent="0.2">
      <c r="K339" s="59"/>
      <c r="M339" s="59"/>
    </row>
    <row r="340" spans="11:13" ht="15.75" customHeight="1" x14ac:dyDescent="0.2">
      <c r="K340" s="59"/>
      <c r="M340" s="59"/>
    </row>
    <row r="341" spans="11:13" ht="15.75" customHeight="1" x14ac:dyDescent="0.2">
      <c r="K341" s="59"/>
      <c r="M341" s="59"/>
    </row>
    <row r="342" spans="11:13" ht="15.75" customHeight="1" x14ac:dyDescent="0.2">
      <c r="K342" s="59"/>
      <c r="M342" s="59"/>
    </row>
    <row r="343" spans="11:13" ht="15.75" customHeight="1" x14ac:dyDescent="0.2">
      <c r="K343" s="59"/>
      <c r="M343" s="59"/>
    </row>
    <row r="344" spans="11:13" ht="15.75" customHeight="1" x14ac:dyDescent="0.2">
      <c r="K344" s="59"/>
      <c r="M344" s="59"/>
    </row>
    <row r="345" spans="11:13" ht="15.75" customHeight="1" x14ac:dyDescent="0.2">
      <c r="K345" s="59"/>
      <c r="M345" s="59"/>
    </row>
    <row r="346" spans="11:13" ht="15.75" customHeight="1" x14ac:dyDescent="0.2">
      <c r="K346" s="59"/>
      <c r="M346" s="59"/>
    </row>
    <row r="347" spans="11:13" ht="15.75" customHeight="1" x14ac:dyDescent="0.2">
      <c r="K347" s="59"/>
      <c r="M347" s="59"/>
    </row>
    <row r="348" spans="11:13" ht="15.75" customHeight="1" x14ac:dyDescent="0.2">
      <c r="K348" s="59"/>
      <c r="M348" s="59"/>
    </row>
    <row r="349" spans="11:13" ht="15.75" customHeight="1" x14ac:dyDescent="0.2">
      <c r="K349" s="59"/>
      <c r="M349" s="59"/>
    </row>
    <row r="350" spans="11:13" ht="15.75" customHeight="1" x14ac:dyDescent="0.2">
      <c r="K350" s="59"/>
      <c r="M350" s="59"/>
    </row>
    <row r="351" spans="11:13" ht="15.75" customHeight="1" x14ac:dyDescent="0.2">
      <c r="K351" s="59"/>
      <c r="M351" s="59"/>
    </row>
    <row r="352" spans="11:13" ht="15.75" customHeight="1" x14ac:dyDescent="0.2">
      <c r="K352" s="59"/>
      <c r="M352" s="59"/>
    </row>
    <row r="353" spans="11:13" ht="15.75" customHeight="1" x14ac:dyDescent="0.2">
      <c r="K353" s="59"/>
      <c r="M353" s="59"/>
    </row>
    <row r="354" spans="11:13" ht="15.75" customHeight="1" x14ac:dyDescent="0.2">
      <c r="K354" s="59"/>
      <c r="M354" s="59"/>
    </row>
    <row r="355" spans="11:13" ht="15.75" customHeight="1" x14ac:dyDescent="0.2">
      <c r="K355" s="59"/>
      <c r="M355" s="59"/>
    </row>
    <row r="356" spans="11:13" ht="15.75" customHeight="1" x14ac:dyDescent="0.2">
      <c r="K356" s="59"/>
      <c r="M356" s="59"/>
    </row>
    <row r="357" spans="11:13" ht="15.75" customHeight="1" x14ac:dyDescent="0.2">
      <c r="K357" s="59"/>
      <c r="M357" s="59"/>
    </row>
    <row r="358" spans="11:13" ht="15.75" customHeight="1" x14ac:dyDescent="0.2">
      <c r="K358" s="59"/>
      <c r="M358" s="59"/>
    </row>
    <row r="359" spans="11:13" ht="15.75" customHeight="1" x14ac:dyDescent="0.2">
      <c r="K359" s="59"/>
      <c r="M359" s="59"/>
    </row>
    <row r="360" spans="11:13" ht="15.75" customHeight="1" x14ac:dyDescent="0.2">
      <c r="K360" s="59"/>
      <c r="M360" s="59"/>
    </row>
    <row r="361" spans="11:13" ht="15.75" customHeight="1" x14ac:dyDescent="0.2">
      <c r="K361" s="59"/>
      <c r="M361" s="59"/>
    </row>
    <row r="362" spans="11:13" ht="15.75" customHeight="1" x14ac:dyDescent="0.2">
      <c r="K362" s="59"/>
      <c r="M362" s="59"/>
    </row>
    <row r="363" spans="11:13" ht="15.75" customHeight="1" x14ac:dyDescent="0.2">
      <c r="K363" s="59"/>
      <c r="M363" s="59"/>
    </row>
    <row r="364" spans="11:13" ht="15.75" customHeight="1" x14ac:dyDescent="0.2">
      <c r="K364" s="59"/>
      <c r="M364" s="59"/>
    </row>
    <row r="365" spans="11:13" ht="15.75" customHeight="1" x14ac:dyDescent="0.2">
      <c r="K365" s="59"/>
      <c r="M365" s="59"/>
    </row>
    <row r="366" spans="11:13" ht="15.75" customHeight="1" x14ac:dyDescent="0.2">
      <c r="K366" s="59"/>
      <c r="M366" s="59"/>
    </row>
    <row r="367" spans="11:13" ht="15.75" customHeight="1" x14ac:dyDescent="0.2">
      <c r="K367" s="59"/>
      <c r="M367" s="59"/>
    </row>
    <row r="368" spans="11:13" ht="15.75" customHeight="1" x14ac:dyDescent="0.2">
      <c r="K368" s="59"/>
      <c r="M368" s="59"/>
    </row>
    <row r="369" spans="11:13" ht="15.75" customHeight="1" x14ac:dyDescent="0.2">
      <c r="K369" s="59"/>
      <c r="M369" s="59"/>
    </row>
    <row r="370" spans="11:13" ht="15.75" customHeight="1" x14ac:dyDescent="0.2">
      <c r="K370" s="59"/>
      <c r="M370" s="59"/>
    </row>
    <row r="371" spans="11:13" ht="15.75" customHeight="1" x14ac:dyDescent="0.2">
      <c r="K371" s="59"/>
      <c r="M371" s="59"/>
    </row>
    <row r="372" spans="11:13" ht="15.75" customHeight="1" x14ac:dyDescent="0.2">
      <c r="K372" s="59"/>
      <c r="M372" s="59"/>
    </row>
    <row r="373" spans="11:13" ht="15.75" customHeight="1" x14ac:dyDescent="0.2">
      <c r="K373" s="59"/>
      <c r="M373" s="59"/>
    </row>
    <row r="374" spans="11:13" ht="15.75" customHeight="1" x14ac:dyDescent="0.2">
      <c r="K374" s="59"/>
      <c r="M374" s="59"/>
    </row>
    <row r="375" spans="11:13" ht="15.75" customHeight="1" x14ac:dyDescent="0.2">
      <c r="K375" s="59"/>
      <c r="M375" s="59"/>
    </row>
    <row r="376" spans="11:13" ht="15.75" customHeight="1" x14ac:dyDescent="0.2">
      <c r="K376" s="59"/>
      <c r="M376" s="59"/>
    </row>
    <row r="377" spans="11:13" ht="15.75" customHeight="1" x14ac:dyDescent="0.2">
      <c r="K377" s="59"/>
      <c r="M377" s="59"/>
    </row>
    <row r="378" spans="11:13" ht="15.75" customHeight="1" x14ac:dyDescent="0.2">
      <c r="K378" s="59"/>
      <c r="M378" s="59"/>
    </row>
    <row r="379" spans="11:13" ht="15.75" customHeight="1" x14ac:dyDescent="0.2">
      <c r="K379" s="59"/>
      <c r="M379" s="59"/>
    </row>
    <row r="380" spans="11:13" ht="15.75" customHeight="1" x14ac:dyDescent="0.2">
      <c r="K380" s="59"/>
      <c r="M380" s="59"/>
    </row>
    <row r="381" spans="11:13" ht="15.75" customHeight="1" x14ac:dyDescent="0.2">
      <c r="K381" s="59"/>
      <c r="M381" s="59"/>
    </row>
    <row r="382" spans="11:13" ht="15.75" customHeight="1" x14ac:dyDescent="0.2">
      <c r="K382" s="59"/>
      <c r="M382" s="59"/>
    </row>
    <row r="383" spans="11:13" ht="15.75" customHeight="1" x14ac:dyDescent="0.2">
      <c r="K383" s="59"/>
      <c r="M383" s="59"/>
    </row>
    <row r="384" spans="11:13" ht="15.75" customHeight="1" x14ac:dyDescent="0.2">
      <c r="K384" s="59"/>
      <c r="M384" s="59"/>
    </row>
    <row r="385" spans="11:13" ht="15.75" customHeight="1" x14ac:dyDescent="0.2">
      <c r="K385" s="59"/>
      <c r="M385" s="59"/>
    </row>
    <row r="386" spans="11:13" ht="15.75" customHeight="1" x14ac:dyDescent="0.2">
      <c r="K386" s="59"/>
      <c r="M386" s="59"/>
    </row>
    <row r="387" spans="11:13" ht="15.75" customHeight="1" x14ac:dyDescent="0.2">
      <c r="K387" s="59"/>
      <c r="M387" s="59"/>
    </row>
    <row r="388" spans="11:13" ht="15.75" customHeight="1" x14ac:dyDescent="0.2">
      <c r="K388" s="59"/>
      <c r="M388" s="59"/>
    </row>
    <row r="389" spans="11:13" ht="15.75" customHeight="1" x14ac:dyDescent="0.2">
      <c r="K389" s="59"/>
      <c r="M389" s="59"/>
    </row>
    <row r="390" spans="11:13" ht="15.75" customHeight="1" x14ac:dyDescent="0.2">
      <c r="K390" s="59"/>
      <c r="M390" s="59"/>
    </row>
    <row r="391" spans="11:13" ht="15.75" customHeight="1" x14ac:dyDescent="0.2">
      <c r="K391" s="59"/>
      <c r="M391" s="59"/>
    </row>
    <row r="392" spans="11:13" ht="15.75" customHeight="1" x14ac:dyDescent="0.2">
      <c r="K392" s="59"/>
      <c r="M392" s="59"/>
    </row>
    <row r="393" spans="11:13" ht="15.75" customHeight="1" x14ac:dyDescent="0.2">
      <c r="K393" s="59"/>
      <c r="M393" s="59"/>
    </row>
    <row r="394" spans="11:13" ht="15.75" customHeight="1" x14ac:dyDescent="0.2">
      <c r="K394" s="59"/>
      <c r="M394" s="59"/>
    </row>
    <row r="395" spans="11:13" ht="15.75" customHeight="1" x14ac:dyDescent="0.2">
      <c r="K395" s="59"/>
      <c r="M395" s="59"/>
    </row>
    <row r="396" spans="11:13" ht="15.75" customHeight="1" x14ac:dyDescent="0.2">
      <c r="K396" s="59"/>
      <c r="M396" s="59"/>
    </row>
    <row r="397" spans="11:13" ht="15.75" customHeight="1" x14ac:dyDescent="0.2">
      <c r="K397" s="59"/>
      <c r="M397" s="59"/>
    </row>
    <row r="398" spans="11:13" ht="15.75" customHeight="1" x14ac:dyDescent="0.2">
      <c r="K398" s="59"/>
      <c r="M398" s="59"/>
    </row>
    <row r="399" spans="11:13" ht="15.75" customHeight="1" x14ac:dyDescent="0.2">
      <c r="K399" s="59"/>
      <c r="M399" s="59"/>
    </row>
    <row r="400" spans="11:13" ht="15.75" customHeight="1" x14ac:dyDescent="0.2">
      <c r="K400" s="59"/>
      <c r="M400" s="59"/>
    </row>
    <row r="401" spans="11:13" ht="15.75" customHeight="1" x14ac:dyDescent="0.2">
      <c r="K401" s="59"/>
      <c r="M401" s="59"/>
    </row>
    <row r="402" spans="11:13" ht="15.75" customHeight="1" x14ac:dyDescent="0.2">
      <c r="K402" s="59"/>
      <c r="M402" s="59"/>
    </row>
    <row r="403" spans="11:13" ht="15.75" customHeight="1" x14ac:dyDescent="0.2">
      <c r="K403" s="59"/>
      <c r="M403" s="59"/>
    </row>
    <row r="404" spans="11:13" ht="15.75" customHeight="1" x14ac:dyDescent="0.2">
      <c r="K404" s="59"/>
      <c r="M404" s="59"/>
    </row>
    <row r="405" spans="11:13" ht="15.75" customHeight="1" x14ac:dyDescent="0.2">
      <c r="K405" s="59"/>
      <c r="M405" s="59"/>
    </row>
    <row r="406" spans="11:13" ht="15.75" customHeight="1" x14ac:dyDescent="0.2">
      <c r="K406" s="59"/>
      <c r="M406" s="59"/>
    </row>
    <row r="407" spans="11:13" ht="15.75" customHeight="1" x14ac:dyDescent="0.2">
      <c r="K407" s="59"/>
      <c r="M407" s="59"/>
    </row>
    <row r="408" spans="11:13" ht="15.75" customHeight="1" x14ac:dyDescent="0.2">
      <c r="K408" s="59"/>
      <c r="M408" s="59"/>
    </row>
    <row r="409" spans="11:13" ht="15.75" customHeight="1" x14ac:dyDescent="0.2">
      <c r="K409" s="59"/>
      <c r="M409" s="59"/>
    </row>
    <row r="410" spans="11:13" ht="15.75" customHeight="1" x14ac:dyDescent="0.2">
      <c r="K410" s="59"/>
      <c r="M410" s="59"/>
    </row>
    <row r="411" spans="11:13" ht="15.75" customHeight="1" x14ac:dyDescent="0.2">
      <c r="K411" s="59"/>
      <c r="M411" s="59"/>
    </row>
    <row r="412" spans="11:13" ht="15.75" customHeight="1" x14ac:dyDescent="0.2">
      <c r="K412" s="59"/>
      <c r="M412" s="59"/>
    </row>
    <row r="413" spans="11:13" ht="15.75" customHeight="1" x14ac:dyDescent="0.2">
      <c r="K413" s="59"/>
      <c r="M413" s="59"/>
    </row>
    <row r="414" spans="11:13" ht="15.75" customHeight="1" x14ac:dyDescent="0.2">
      <c r="K414" s="59"/>
      <c r="M414" s="59"/>
    </row>
    <row r="415" spans="11:13" ht="15.75" customHeight="1" x14ac:dyDescent="0.2">
      <c r="K415" s="59"/>
      <c r="M415" s="59"/>
    </row>
    <row r="416" spans="11:13" ht="15.75" customHeight="1" x14ac:dyDescent="0.2">
      <c r="K416" s="59"/>
      <c r="M416" s="59"/>
    </row>
    <row r="417" spans="11:13" ht="15.75" customHeight="1" x14ac:dyDescent="0.2">
      <c r="K417" s="59"/>
      <c r="M417" s="59"/>
    </row>
    <row r="418" spans="11:13" ht="15.75" customHeight="1" x14ac:dyDescent="0.2">
      <c r="K418" s="59"/>
      <c r="M418" s="59"/>
    </row>
    <row r="419" spans="11:13" ht="15.75" customHeight="1" x14ac:dyDescent="0.2">
      <c r="K419" s="59"/>
      <c r="M419" s="59"/>
    </row>
    <row r="420" spans="11:13" ht="15.75" customHeight="1" x14ac:dyDescent="0.2">
      <c r="K420" s="59"/>
      <c r="M420" s="59"/>
    </row>
    <row r="421" spans="11:13" ht="15.75" customHeight="1" x14ac:dyDescent="0.2">
      <c r="K421" s="59"/>
      <c r="M421" s="59"/>
    </row>
    <row r="422" spans="11:13" ht="15.75" customHeight="1" x14ac:dyDescent="0.2">
      <c r="K422" s="59"/>
      <c r="M422" s="59"/>
    </row>
    <row r="423" spans="11:13" ht="15.75" customHeight="1" x14ac:dyDescent="0.2">
      <c r="K423" s="59"/>
      <c r="M423" s="59"/>
    </row>
    <row r="424" spans="11:13" ht="15.75" customHeight="1" x14ac:dyDescent="0.2">
      <c r="K424" s="59"/>
      <c r="M424" s="59"/>
    </row>
    <row r="425" spans="11:13" ht="15.75" customHeight="1" x14ac:dyDescent="0.2">
      <c r="K425" s="59"/>
      <c r="M425" s="59"/>
    </row>
    <row r="426" spans="11:13" ht="15.75" customHeight="1" x14ac:dyDescent="0.2">
      <c r="K426" s="59"/>
      <c r="M426" s="59"/>
    </row>
    <row r="427" spans="11:13" ht="15.75" customHeight="1" x14ac:dyDescent="0.2">
      <c r="K427" s="59"/>
      <c r="M427" s="59"/>
    </row>
    <row r="428" spans="11:13" ht="15.75" customHeight="1" x14ac:dyDescent="0.2">
      <c r="K428" s="59"/>
      <c r="M428" s="59"/>
    </row>
    <row r="429" spans="11:13" ht="15.75" customHeight="1" x14ac:dyDescent="0.2">
      <c r="K429" s="59"/>
      <c r="M429" s="59"/>
    </row>
    <row r="430" spans="11:13" ht="15.75" customHeight="1" x14ac:dyDescent="0.2">
      <c r="K430" s="59"/>
      <c r="M430" s="59"/>
    </row>
    <row r="431" spans="11:13" ht="15.75" customHeight="1" x14ac:dyDescent="0.2">
      <c r="K431" s="59"/>
      <c r="M431" s="59"/>
    </row>
    <row r="432" spans="11:13" ht="15.75" customHeight="1" x14ac:dyDescent="0.2">
      <c r="K432" s="59"/>
      <c r="M432" s="59"/>
    </row>
    <row r="433" spans="11:13" ht="15.75" customHeight="1" x14ac:dyDescent="0.2">
      <c r="K433" s="59"/>
      <c r="M433" s="59"/>
    </row>
    <row r="434" spans="11:13" ht="15.75" customHeight="1" x14ac:dyDescent="0.2">
      <c r="K434" s="59"/>
      <c r="M434" s="59"/>
    </row>
    <row r="435" spans="11:13" ht="15.75" customHeight="1" x14ac:dyDescent="0.2">
      <c r="K435" s="59"/>
      <c r="M435" s="59"/>
    </row>
    <row r="436" spans="11:13" ht="15.75" customHeight="1" x14ac:dyDescent="0.2">
      <c r="K436" s="59"/>
      <c r="M436" s="59"/>
    </row>
    <row r="437" spans="11:13" ht="15.75" customHeight="1" x14ac:dyDescent="0.2">
      <c r="K437" s="59"/>
      <c r="M437" s="59"/>
    </row>
    <row r="438" spans="11:13" ht="15.75" customHeight="1" x14ac:dyDescent="0.2">
      <c r="K438" s="59"/>
      <c r="M438" s="59"/>
    </row>
    <row r="439" spans="11:13" ht="15.75" customHeight="1" x14ac:dyDescent="0.2">
      <c r="K439" s="59"/>
      <c r="M439" s="59"/>
    </row>
    <row r="440" spans="11:13" ht="15.75" customHeight="1" x14ac:dyDescent="0.2">
      <c r="K440" s="59"/>
      <c r="M440" s="59"/>
    </row>
    <row r="441" spans="11:13" ht="15.75" customHeight="1" x14ac:dyDescent="0.2">
      <c r="K441" s="59"/>
      <c r="M441" s="59"/>
    </row>
    <row r="442" spans="11:13" ht="15.75" customHeight="1" x14ac:dyDescent="0.2">
      <c r="K442" s="59"/>
      <c r="M442" s="59"/>
    </row>
    <row r="443" spans="11:13" ht="15.75" customHeight="1" x14ac:dyDescent="0.2">
      <c r="K443" s="59"/>
      <c r="M443" s="59"/>
    </row>
    <row r="444" spans="11:13" ht="15.75" customHeight="1" x14ac:dyDescent="0.2">
      <c r="K444" s="59"/>
      <c r="M444" s="59"/>
    </row>
    <row r="445" spans="11:13" ht="15.75" customHeight="1" x14ac:dyDescent="0.2">
      <c r="K445" s="59"/>
      <c r="M445" s="59"/>
    </row>
    <row r="446" spans="11:13" ht="15.75" customHeight="1" x14ac:dyDescent="0.2">
      <c r="K446" s="59"/>
      <c r="M446" s="59"/>
    </row>
    <row r="447" spans="11:13" ht="15.75" customHeight="1" x14ac:dyDescent="0.2">
      <c r="K447" s="59"/>
      <c r="M447" s="59"/>
    </row>
    <row r="448" spans="11:13" ht="15.75" customHeight="1" x14ac:dyDescent="0.2">
      <c r="K448" s="59"/>
      <c r="M448" s="59"/>
    </row>
    <row r="449" spans="11:13" ht="15.75" customHeight="1" x14ac:dyDescent="0.2">
      <c r="K449" s="59"/>
      <c r="M449" s="59"/>
    </row>
    <row r="450" spans="11:13" ht="15.75" customHeight="1" x14ac:dyDescent="0.2">
      <c r="K450" s="59"/>
      <c r="M450" s="59"/>
    </row>
    <row r="451" spans="11:13" ht="15.75" customHeight="1" x14ac:dyDescent="0.2">
      <c r="K451" s="59"/>
      <c r="M451" s="59"/>
    </row>
    <row r="452" spans="11:13" ht="15.75" customHeight="1" x14ac:dyDescent="0.2">
      <c r="K452" s="59"/>
      <c r="M452" s="59"/>
    </row>
    <row r="453" spans="11:13" ht="15.75" customHeight="1" x14ac:dyDescent="0.2">
      <c r="K453" s="59"/>
      <c r="M453" s="59"/>
    </row>
    <row r="454" spans="11:13" ht="15.75" customHeight="1" x14ac:dyDescent="0.2">
      <c r="K454" s="59"/>
      <c r="M454" s="59"/>
    </row>
    <row r="455" spans="11:13" ht="15.75" customHeight="1" x14ac:dyDescent="0.2">
      <c r="K455" s="59"/>
      <c r="M455" s="59"/>
    </row>
    <row r="456" spans="11:13" ht="15.75" customHeight="1" x14ac:dyDescent="0.2">
      <c r="K456" s="59"/>
      <c r="M456" s="59"/>
    </row>
    <row r="457" spans="11:13" ht="15.75" customHeight="1" x14ac:dyDescent="0.2">
      <c r="K457" s="59"/>
      <c r="M457" s="59"/>
    </row>
    <row r="458" spans="11:13" ht="15.75" customHeight="1" x14ac:dyDescent="0.2">
      <c r="K458" s="59"/>
      <c r="M458" s="59"/>
    </row>
    <row r="459" spans="11:13" ht="15.75" customHeight="1" x14ac:dyDescent="0.2">
      <c r="K459" s="59"/>
      <c r="M459" s="59"/>
    </row>
    <row r="460" spans="11:13" ht="15.75" customHeight="1" x14ac:dyDescent="0.2">
      <c r="K460" s="59"/>
      <c r="M460" s="59"/>
    </row>
    <row r="461" spans="11:13" ht="15.75" customHeight="1" x14ac:dyDescent="0.2">
      <c r="K461" s="59"/>
      <c r="M461" s="59"/>
    </row>
    <row r="462" spans="11:13" ht="15.75" customHeight="1" x14ac:dyDescent="0.2">
      <c r="K462" s="59"/>
      <c r="M462" s="59"/>
    </row>
    <row r="463" spans="11:13" ht="15.75" customHeight="1" x14ac:dyDescent="0.2">
      <c r="K463" s="59"/>
      <c r="M463" s="59"/>
    </row>
    <row r="464" spans="11:13" ht="15.75" customHeight="1" x14ac:dyDescent="0.2">
      <c r="K464" s="59"/>
      <c r="M464" s="59"/>
    </row>
    <row r="465" spans="11:13" ht="15.75" customHeight="1" x14ac:dyDescent="0.2">
      <c r="K465" s="59"/>
      <c r="M465" s="59"/>
    </row>
    <row r="466" spans="11:13" ht="15.75" customHeight="1" x14ac:dyDescent="0.2">
      <c r="K466" s="59"/>
      <c r="M466" s="59"/>
    </row>
    <row r="467" spans="11:13" ht="15.75" customHeight="1" x14ac:dyDescent="0.2">
      <c r="K467" s="59"/>
      <c r="M467" s="59"/>
    </row>
    <row r="468" spans="11:13" ht="15.75" customHeight="1" x14ac:dyDescent="0.2">
      <c r="K468" s="59"/>
      <c r="M468" s="59"/>
    </row>
    <row r="469" spans="11:13" ht="15.75" customHeight="1" x14ac:dyDescent="0.2">
      <c r="K469" s="59"/>
      <c r="M469" s="59"/>
    </row>
    <row r="470" spans="11:13" ht="15.75" customHeight="1" x14ac:dyDescent="0.2">
      <c r="K470" s="59"/>
      <c r="M470" s="59"/>
    </row>
    <row r="471" spans="11:13" ht="15.75" customHeight="1" x14ac:dyDescent="0.2">
      <c r="K471" s="59"/>
      <c r="M471" s="59"/>
    </row>
    <row r="472" spans="11:13" ht="15.75" customHeight="1" x14ac:dyDescent="0.2">
      <c r="K472" s="59"/>
      <c r="M472" s="59"/>
    </row>
    <row r="473" spans="11:13" ht="15.75" customHeight="1" x14ac:dyDescent="0.2">
      <c r="K473" s="59"/>
      <c r="M473" s="59"/>
    </row>
    <row r="474" spans="11:13" ht="15.75" customHeight="1" x14ac:dyDescent="0.2">
      <c r="K474" s="59"/>
      <c r="M474" s="59"/>
    </row>
    <row r="475" spans="11:13" ht="15.75" customHeight="1" x14ac:dyDescent="0.2">
      <c r="K475" s="59"/>
      <c r="M475" s="59"/>
    </row>
    <row r="476" spans="11:13" ht="15.75" customHeight="1" x14ac:dyDescent="0.2">
      <c r="K476" s="59"/>
      <c r="M476" s="59"/>
    </row>
    <row r="477" spans="11:13" ht="15.75" customHeight="1" x14ac:dyDescent="0.2">
      <c r="K477" s="59"/>
      <c r="M477" s="59"/>
    </row>
    <row r="478" spans="11:13" ht="15.75" customHeight="1" x14ac:dyDescent="0.2">
      <c r="K478" s="59"/>
      <c r="M478" s="59"/>
    </row>
    <row r="479" spans="11:13" ht="15.75" customHeight="1" x14ac:dyDescent="0.2">
      <c r="K479" s="59"/>
      <c r="M479" s="59"/>
    </row>
    <row r="480" spans="11:13" ht="15.75" customHeight="1" x14ac:dyDescent="0.2">
      <c r="K480" s="59"/>
      <c r="M480" s="59"/>
    </row>
    <row r="481" spans="11:13" ht="15.75" customHeight="1" x14ac:dyDescent="0.2">
      <c r="K481" s="59"/>
      <c r="M481" s="59"/>
    </row>
    <row r="482" spans="11:13" ht="15.75" customHeight="1" x14ac:dyDescent="0.2">
      <c r="K482" s="59"/>
      <c r="M482" s="59"/>
    </row>
    <row r="483" spans="11:13" ht="15.75" customHeight="1" x14ac:dyDescent="0.2">
      <c r="K483" s="59"/>
      <c r="M483" s="59"/>
    </row>
    <row r="484" spans="11:13" ht="15.75" customHeight="1" x14ac:dyDescent="0.2">
      <c r="K484" s="59"/>
      <c r="M484" s="59"/>
    </row>
    <row r="485" spans="11:13" ht="15.75" customHeight="1" x14ac:dyDescent="0.2">
      <c r="K485" s="59"/>
      <c r="M485" s="59"/>
    </row>
    <row r="486" spans="11:13" ht="15.75" customHeight="1" x14ac:dyDescent="0.2">
      <c r="K486" s="59"/>
      <c r="M486" s="59"/>
    </row>
    <row r="487" spans="11:13" ht="15.75" customHeight="1" x14ac:dyDescent="0.2">
      <c r="K487" s="59"/>
      <c r="M487" s="59"/>
    </row>
    <row r="488" spans="11:13" ht="15.75" customHeight="1" x14ac:dyDescent="0.2">
      <c r="K488" s="59"/>
      <c r="M488" s="59"/>
    </row>
    <row r="489" spans="11:13" ht="15.75" customHeight="1" x14ac:dyDescent="0.2">
      <c r="K489" s="59"/>
      <c r="M489" s="59"/>
    </row>
    <row r="490" spans="11:13" ht="15.75" customHeight="1" x14ac:dyDescent="0.2">
      <c r="K490" s="59"/>
      <c r="M490" s="59"/>
    </row>
    <row r="491" spans="11:13" ht="15.75" customHeight="1" x14ac:dyDescent="0.2">
      <c r="K491" s="59"/>
      <c r="M491" s="59"/>
    </row>
    <row r="492" spans="11:13" ht="15.75" customHeight="1" x14ac:dyDescent="0.2">
      <c r="K492" s="59"/>
      <c r="M492" s="59"/>
    </row>
    <row r="493" spans="11:13" ht="15.75" customHeight="1" x14ac:dyDescent="0.2">
      <c r="K493" s="59"/>
      <c r="M493" s="59"/>
    </row>
    <row r="494" spans="11:13" ht="15.75" customHeight="1" x14ac:dyDescent="0.2">
      <c r="K494" s="59"/>
      <c r="M494" s="59"/>
    </row>
    <row r="495" spans="11:13" ht="15.75" customHeight="1" x14ac:dyDescent="0.2">
      <c r="K495" s="59"/>
      <c r="M495" s="59"/>
    </row>
    <row r="496" spans="11:13" ht="15.75" customHeight="1" x14ac:dyDescent="0.2">
      <c r="K496" s="59"/>
      <c r="M496" s="59"/>
    </row>
    <row r="497" spans="11:13" ht="15.75" customHeight="1" x14ac:dyDescent="0.2">
      <c r="K497" s="59"/>
      <c r="M497" s="59"/>
    </row>
    <row r="498" spans="11:13" ht="15.75" customHeight="1" x14ac:dyDescent="0.2">
      <c r="K498" s="59"/>
      <c r="M498" s="59"/>
    </row>
    <row r="499" spans="11:13" ht="15.75" customHeight="1" x14ac:dyDescent="0.2">
      <c r="K499" s="59"/>
      <c r="M499" s="59"/>
    </row>
    <row r="500" spans="11:13" ht="15.75" customHeight="1" x14ac:dyDescent="0.2">
      <c r="K500" s="59"/>
      <c r="M500" s="59"/>
    </row>
    <row r="501" spans="11:13" ht="15.75" customHeight="1" x14ac:dyDescent="0.2">
      <c r="K501" s="59"/>
      <c r="M501" s="59"/>
    </row>
    <row r="502" spans="11:13" ht="15.75" customHeight="1" x14ac:dyDescent="0.2">
      <c r="K502" s="59"/>
      <c r="M502" s="59"/>
    </row>
    <row r="503" spans="11:13" ht="15.75" customHeight="1" x14ac:dyDescent="0.2">
      <c r="K503" s="59"/>
      <c r="M503" s="59"/>
    </row>
    <row r="504" spans="11:13" ht="15.75" customHeight="1" x14ac:dyDescent="0.2">
      <c r="K504" s="59"/>
      <c r="M504" s="59"/>
    </row>
    <row r="505" spans="11:13" ht="15.75" customHeight="1" x14ac:dyDescent="0.2">
      <c r="K505" s="59"/>
      <c r="M505" s="59"/>
    </row>
    <row r="506" spans="11:13" ht="15.75" customHeight="1" x14ac:dyDescent="0.2">
      <c r="K506" s="59"/>
      <c r="M506" s="59"/>
    </row>
    <row r="507" spans="11:13" ht="15.75" customHeight="1" x14ac:dyDescent="0.2">
      <c r="K507" s="59"/>
      <c r="M507" s="59"/>
    </row>
    <row r="508" spans="11:13" ht="15.75" customHeight="1" x14ac:dyDescent="0.2">
      <c r="K508" s="59"/>
      <c r="M508" s="59"/>
    </row>
    <row r="509" spans="11:13" ht="15.75" customHeight="1" x14ac:dyDescent="0.2">
      <c r="K509" s="59"/>
      <c r="M509" s="59"/>
    </row>
    <row r="510" spans="11:13" ht="15.75" customHeight="1" x14ac:dyDescent="0.2">
      <c r="K510" s="59"/>
      <c r="M510" s="59"/>
    </row>
    <row r="511" spans="11:13" ht="15.75" customHeight="1" x14ac:dyDescent="0.2">
      <c r="K511" s="59"/>
      <c r="M511" s="59"/>
    </row>
    <row r="512" spans="11:13" ht="15.75" customHeight="1" x14ac:dyDescent="0.2">
      <c r="K512" s="59"/>
      <c r="M512" s="59"/>
    </row>
    <row r="513" spans="11:13" ht="15.75" customHeight="1" x14ac:dyDescent="0.2">
      <c r="K513" s="59"/>
      <c r="M513" s="59"/>
    </row>
    <row r="514" spans="11:13" ht="15.75" customHeight="1" x14ac:dyDescent="0.2">
      <c r="K514" s="59"/>
      <c r="M514" s="59"/>
    </row>
    <row r="515" spans="11:13" ht="15.75" customHeight="1" x14ac:dyDescent="0.2">
      <c r="K515" s="59"/>
      <c r="M515" s="59"/>
    </row>
    <row r="516" spans="11:13" ht="15.75" customHeight="1" x14ac:dyDescent="0.2">
      <c r="K516" s="59"/>
      <c r="M516" s="59"/>
    </row>
    <row r="517" spans="11:13" ht="15.75" customHeight="1" x14ac:dyDescent="0.2">
      <c r="K517" s="59"/>
      <c r="M517" s="59"/>
    </row>
    <row r="518" spans="11:13" ht="15.75" customHeight="1" x14ac:dyDescent="0.2">
      <c r="K518" s="59"/>
      <c r="M518" s="59"/>
    </row>
    <row r="519" spans="11:13" ht="15.75" customHeight="1" x14ac:dyDescent="0.2">
      <c r="K519" s="59"/>
      <c r="M519" s="59"/>
    </row>
    <row r="520" spans="11:13" ht="15.75" customHeight="1" x14ac:dyDescent="0.2">
      <c r="K520" s="59"/>
      <c r="M520" s="59"/>
    </row>
    <row r="521" spans="11:13" ht="15.75" customHeight="1" x14ac:dyDescent="0.2">
      <c r="K521" s="59"/>
      <c r="M521" s="59"/>
    </row>
    <row r="522" spans="11:13" ht="15.75" customHeight="1" x14ac:dyDescent="0.2">
      <c r="K522" s="59"/>
      <c r="M522" s="59"/>
    </row>
    <row r="523" spans="11:13" ht="15.75" customHeight="1" x14ac:dyDescent="0.2">
      <c r="K523" s="59"/>
      <c r="M523" s="59"/>
    </row>
    <row r="524" spans="11:13" ht="15.75" customHeight="1" x14ac:dyDescent="0.2">
      <c r="K524" s="59"/>
      <c r="M524" s="59"/>
    </row>
    <row r="525" spans="11:13" ht="15.75" customHeight="1" x14ac:dyDescent="0.2">
      <c r="K525" s="59"/>
      <c r="M525" s="59"/>
    </row>
    <row r="526" spans="11:13" ht="15.75" customHeight="1" x14ac:dyDescent="0.2">
      <c r="K526" s="59"/>
      <c r="M526" s="59"/>
    </row>
    <row r="527" spans="11:13" ht="15.75" customHeight="1" x14ac:dyDescent="0.2">
      <c r="K527" s="59"/>
      <c r="M527" s="59"/>
    </row>
    <row r="528" spans="11:13" ht="15.75" customHeight="1" x14ac:dyDescent="0.2">
      <c r="K528" s="59"/>
      <c r="M528" s="59"/>
    </row>
    <row r="529" spans="11:13" ht="15.75" customHeight="1" x14ac:dyDescent="0.2">
      <c r="K529" s="59"/>
      <c r="M529" s="59"/>
    </row>
    <row r="530" spans="11:13" ht="15.75" customHeight="1" x14ac:dyDescent="0.2">
      <c r="K530" s="59"/>
      <c r="M530" s="59"/>
    </row>
    <row r="531" spans="11:13" ht="15.75" customHeight="1" x14ac:dyDescent="0.2">
      <c r="K531" s="59"/>
      <c r="M531" s="59"/>
    </row>
    <row r="532" spans="11:13" ht="15.75" customHeight="1" x14ac:dyDescent="0.2">
      <c r="K532" s="59"/>
      <c r="M532" s="59"/>
    </row>
    <row r="533" spans="11:13" ht="15.75" customHeight="1" x14ac:dyDescent="0.2">
      <c r="K533" s="59"/>
      <c r="M533" s="59"/>
    </row>
    <row r="534" spans="11:13" ht="15.75" customHeight="1" x14ac:dyDescent="0.2">
      <c r="K534" s="59"/>
      <c r="M534" s="59"/>
    </row>
    <row r="535" spans="11:13" ht="15.75" customHeight="1" x14ac:dyDescent="0.2">
      <c r="K535" s="59"/>
      <c r="M535" s="59"/>
    </row>
    <row r="536" spans="11:13" ht="15.75" customHeight="1" x14ac:dyDescent="0.2">
      <c r="K536" s="59"/>
      <c r="M536" s="59"/>
    </row>
    <row r="537" spans="11:13" ht="15.75" customHeight="1" x14ac:dyDescent="0.2">
      <c r="K537" s="59"/>
      <c r="M537" s="59"/>
    </row>
    <row r="538" spans="11:13" ht="15.75" customHeight="1" x14ac:dyDescent="0.2">
      <c r="K538" s="59"/>
      <c r="M538" s="59"/>
    </row>
    <row r="539" spans="11:13" ht="15.75" customHeight="1" x14ac:dyDescent="0.2">
      <c r="K539" s="59"/>
      <c r="M539" s="59"/>
    </row>
    <row r="540" spans="11:13" ht="15.75" customHeight="1" x14ac:dyDescent="0.2">
      <c r="K540" s="59"/>
      <c r="M540" s="59"/>
    </row>
    <row r="541" spans="11:13" ht="15.75" customHeight="1" x14ac:dyDescent="0.2">
      <c r="K541" s="59"/>
      <c r="M541" s="59"/>
    </row>
    <row r="542" spans="11:13" ht="15.75" customHeight="1" x14ac:dyDescent="0.2">
      <c r="K542" s="59"/>
      <c r="M542" s="59"/>
    </row>
    <row r="543" spans="11:13" ht="15.75" customHeight="1" x14ac:dyDescent="0.2">
      <c r="K543" s="59"/>
      <c r="M543" s="59"/>
    </row>
    <row r="544" spans="11:13" ht="15.75" customHeight="1" x14ac:dyDescent="0.2">
      <c r="K544" s="59"/>
      <c r="M544" s="59"/>
    </row>
    <row r="545" spans="11:13" ht="15.75" customHeight="1" x14ac:dyDescent="0.2">
      <c r="K545" s="59"/>
      <c r="M545" s="59"/>
    </row>
    <row r="546" spans="11:13" ht="15.75" customHeight="1" x14ac:dyDescent="0.2">
      <c r="K546" s="59"/>
      <c r="M546" s="59"/>
    </row>
    <row r="547" spans="11:13" ht="15.75" customHeight="1" x14ac:dyDescent="0.2">
      <c r="K547" s="59"/>
      <c r="M547" s="59"/>
    </row>
    <row r="548" spans="11:13" ht="15.75" customHeight="1" x14ac:dyDescent="0.2">
      <c r="K548" s="59"/>
      <c r="M548" s="59"/>
    </row>
    <row r="549" spans="11:13" ht="15.75" customHeight="1" x14ac:dyDescent="0.2">
      <c r="K549" s="59"/>
      <c r="M549" s="59"/>
    </row>
    <row r="550" spans="11:13" ht="15.75" customHeight="1" x14ac:dyDescent="0.2">
      <c r="K550" s="59"/>
      <c r="M550" s="59"/>
    </row>
    <row r="551" spans="11:13" ht="15.75" customHeight="1" x14ac:dyDescent="0.2">
      <c r="K551" s="59"/>
      <c r="M551" s="59"/>
    </row>
    <row r="552" spans="11:13" ht="15.75" customHeight="1" x14ac:dyDescent="0.2">
      <c r="K552" s="59"/>
      <c r="M552" s="59"/>
    </row>
    <row r="553" spans="11:13" ht="15.75" customHeight="1" x14ac:dyDescent="0.2">
      <c r="K553" s="59"/>
      <c r="M553" s="59"/>
    </row>
    <row r="554" spans="11:13" ht="15.75" customHeight="1" x14ac:dyDescent="0.2">
      <c r="K554" s="59"/>
      <c r="M554" s="59"/>
    </row>
    <row r="555" spans="11:13" ht="15.75" customHeight="1" x14ac:dyDescent="0.2">
      <c r="K555" s="59"/>
      <c r="M555" s="59"/>
    </row>
    <row r="556" spans="11:13" ht="15.75" customHeight="1" x14ac:dyDescent="0.2">
      <c r="K556" s="59"/>
      <c r="M556" s="59"/>
    </row>
    <row r="557" spans="11:13" ht="15.75" customHeight="1" x14ac:dyDescent="0.2">
      <c r="K557" s="59"/>
      <c r="M557" s="59"/>
    </row>
    <row r="558" spans="11:13" ht="15.75" customHeight="1" x14ac:dyDescent="0.2">
      <c r="K558" s="59"/>
      <c r="M558" s="59"/>
    </row>
    <row r="559" spans="11:13" ht="15.75" customHeight="1" x14ac:dyDescent="0.2">
      <c r="K559" s="59"/>
      <c r="M559" s="59"/>
    </row>
    <row r="560" spans="11:13" ht="15.75" customHeight="1" x14ac:dyDescent="0.2">
      <c r="K560" s="59"/>
      <c r="M560" s="59"/>
    </row>
    <row r="561" spans="11:13" ht="15.75" customHeight="1" x14ac:dyDescent="0.2">
      <c r="K561" s="59"/>
      <c r="M561" s="59"/>
    </row>
    <row r="562" spans="11:13" ht="15.75" customHeight="1" x14ac:dyDescent="0.2">
      <c r="K562" s="59"/>
      <c r="M562" s="59"/>
    </row>
    <row r="563" spans="11:13" ht="15.75" customHeight="1" x14ac:dyDescent="0.2">
      <c r="K563" s="59"/>
      <c r="M563" s="59"/>
    </row>
    <row r="564" spans="11:13" ht="15.75" customHeight="1" x14ac:dyDescent="0.2">
      <c r="K564" s="59"/>
      <c r="M564" s="59"/>
    </row>
    <row r="565" spans="11:13" ht="15.75" customHeight="1" x14ac:dyDescent="0.2">
      <c r="K565" s="59"/>
      <c r="M565" s="59"/>
    </row>
    <row r="566" spans="11:13" ht="15.75" customHeight="1" x14ac:dyDescent="0.2">
      <c r="K566" s="59"/>
      <c r="M566" s="59"/>
    </row>
    <row r="567" spans="11:13" ht="15.75" customHeight="1" x14ac:dyDescent="0.2">
      <c r="K567" s="59"/>
      <c r="M567" s="59"/>
    </row>
    <row r="568" spans="11:13" ht="15.75" customHeight="1" x14ac:dyDescent="0.2">
      <c r="K568" s="59"/>
      <c r="M568" s="59"/>
    </row>
    <row r="569" spans="11:13" ht="15.75" customHeight="1" x14ac:dyDescent="0.2">
      <c r="K569" s="59"/>
      <c r="M569" s="59"/>
    </row>
    <row r="570" spans="11:13" ht="15.75" customHeight="1" x14ac:dyDescent="0.2">
      <c r="K570" s="59"/>
      <c r="M570" s="59"/>
    </row>
    <row r="571" spans="11:13" ht="15.75" customHeight="1" x14ac:dyDescent="0.2">
      <c r="K571" s="59"/>
      <c r="M571" s="59"/>
    </row>
    <row r="572" spans="11:13" ht="15.75" customHeight="1" x14ac:dyDescent="0.2">
      <c r="K572" s="59"/>
      <c r="M572" s="59"/>
    </row>
    <row r="573" spans="11:13" ht="15.75" customHeight="1" x14ac:dyDescent="0.2">
      <c r="K573" s="59"/>
      <c r="M573" s="59"/>
    </row>
    <row r="574" spans="11:13" ht="15.75" customHeight="1" x14ac:dyDescent="0.2">
      <c r="K574" s="59"/>
      <c r="M574" s="59"/>
    </row>
    <row r="575" spans="11:13" ht="15.75" customHeight="1" x14ac:dyDescent="0.2">
      <c r="K575" s="59"/>
      <c r="M575" s="59"/>
    </row>
    <row r="576" spans="11:13" ht="15.75" customHeight="1" x14ac:dyDescent="0.2">
      <c r="K576" s="59"/>
      <c r="M576" s="59"/>
    </row>
    <row r="577" spans="11:13" ht="15.75" customHeight="1" x14ac:dyDescent="0.2">
      <c r="K577" s="59"/>
      <c r="M577" s="59"/>
    </row>
    <row r="578" spans="11:13" ht="15.75" customHeight="1" x14ac:dyDescent="0.2">
      <c r="K578" s="59"/>
      <c r="M578" s="59"/>
    </row>
    <row r="579" spans="11:13" ht="15.75" customHeight="1" x14ac:dyDescent="0.2">
      <c r="K579" s="59"/>
      <c r="M579" s="59"/>
    </row>
    <row r="580" spans="11:13" ht="15.75" customHeight="1" x14ac:dyDescent="0.2">
      <c r="K580" s="59"/>
      <c r="M580" s="59"/>
    </row>
    <row r="581" spans="11:13" ht="15.75" customHeight="1" x14ac:dyDescent="0.2">
      <c r="K581" s="59"/>
      <c r="M581" s="59"/>
    </row>
    <row r="582" spans="11:13" ht="15.75" customHeight="1" x14ac:dyDescent="0.2">
      <c r="K582" s="59"/>
      <c r="M582" s="59"/>
    </row>
    <row r="583" spans="11:13" ht="15.75" customHeight="1" x14ac:dyDescent="0.2">
      <c r="K583" s="59"/>
      <c r="M583" s="59"/>
    </row>
    <row r="584" spans="11:13" ht="15.75" customHeight="1" x14ac:dyDescent="0.2">
      <c r="K584" s="59"/>
      <c r="M584" s="59"/>
    </row>
    <row r="585" spans="11:13" ht="15.75" customHeight="1" x14ac:dyDescent="0.2">
      <c r="K585" s="59"/>
      <c r="M585" s="59"/>
    </row>
    <row r="586" spans="11:13" ht="15.75" customHeight="1" x14ac:dyDescent="0.2">
      <c r="K586" s="59"/>
      <c r="M586" s="59"/>
    </row>
    <row r="587" spans="11:13" ht="15.75" customHeight="1" x14ac:dyDescent="0.2">
      <c r="K587" s="59"/>
      <c r="M587" s="59"/>
    </row>
    <row r="588" spans="11:13" ht="15.75" customHeight="1" x14ac:dyDescent="0.2">
      <c r="K588" s="59"/>
      <c r="M588" s="59"/>
    </row>
    <row r="589" spans="11:13" ht="15.75" customHeight="1" x14ac:dyDescent="0.2">
      <c r="K589" s="59"/>
      <c r="M589" s="59"/>
    </row>
    <row r="590" spans="11:13" ht="15.75" customHeight="1" x14ac:dyDescent="0.2">
      <c r="K590" s="59"/>
      <c r="M590" s="59"/>
    </row>
    <row r="591" spans="11:13" ht="15.75" customHeight="1" x14ac:dyDescent="0.2">
      <c r="K591" s="59"/>
      <c r="M591" s="59"/>
    </row>
    <row r="592" spans="11:13" ht="15.75" customHeight="1" x14ac:dyDescent="0.2">
      <c r="K592" s="59"/>
      <c r="M592" s="59"/>
    </row>
    <row r="593" spans="11:13" ht="15.75" customHeight="1" x14ac:dyDescent="0.2">
      <c r="K593" s="59"/>
      <c r="M593" s="59"/>
    </row>
    <row r="594" spans="11:13" ht="15.75" customHeight="1" x14ac:dyDescent="0.2">
      <c r="K594" s="59"/>
      <c r="M594" s="59"/>
    </row>
    <row r="595" spans="11:13" ht="15.75" customHeight="1" x14ac:dyDescent="0.2">
      <c r="K595" s="59"/>
      <c r="M595" s="59"/>
    </row>
    <row r="596" spans="11:13" ht="15.75" customHeight="1" x14ac:dyDescent="0.2">
      <c r="K596" s="59"/>
      <c r="M596" s="59"/>
    </row>
    <row r="597" spans="11:13" ht="15.75" customHeight="1" x14ac:dyDescent="0.2">
      <c r="K597" s="59"/>
      <c r="M597" s="59"/>
    </row>
    <row r="598" spans="11:13" ht="15.75" customHeight="1" x14ac:dyDescent="0.2">
      <c r="K598" s="59"/>
      <c r="M598" s="59"/>
    </row>
    <row r="599" spans="11:13" ht="15.75" customHeight="1" x14ac:dyDescent="0.2">
      <c r="K599" s="59"/>
      <c r="M599" s="59"/>
    </row>
    <row r="600" spans="11:13" ht="15.75" customHeight="1" x14ac:dyDescent="0.2">
      <c r="K600" s="59"/>
      <c r="M600" s="59"/>
    </row>
    <row r="601" spans="11:13" ht="15.75" customHeight="1" x14ac:dyDescent="0.2">
      <c r="K601" s="59"/>
      <c r="M601" s="59"/>
    </row>
    <row r="602" spans="11:13" ht="15.75" customHeight="1" x14ac:dyDescent="0.2">
      <c r="K602" s="59"/>
      <c r="M602" s="59"/>
    </row>
    <row r="603" spans="11:13" ht="15.75" customHeight="1" x14ac:dyDescent="0.2">
      <c r="K603" s="59"/>
      <c r="M603" s="59"/>
    </row>
    <row r="604" spans="11:13" ht="15.75" customHeight="1" x14ac:dyDescent="0.2">
      <c r="K604" s="59"/>
      <c r="M604" s="59"/>
    </row>
    <row r="605" spans="11:13" ht="15.75" customHeight="1" x14ac:dyDescent="0.2">
      <c r="K605" s="59"/>
      <c r="M605" s="59"/>
    </row>
    <row r="606" spans="11:13" ht="15.75" customHeight="1" x14ac:dyDescent="0.2">
      <c r="K606" s="59"/>
      <c r="M606" s="59"/>
    </row>
    <row r="607" spans="11:13" ht="15.75" customHeight="1" x14ac:dyDescent="0.2">
      <c r="K607" s="59"/>
      <c r="M607" s="59"/>
    </row>
    <row r="608" spans="11:13" ht="15.75" customHeight="1" x14ac:dyDescent="0.2">
      <c r="K608" s="59"/>
      <c r="M608" s="59"/>
    </row>
    <row r="609" spans="11:13" ht="15.75" customHeight="1" x14ac:dyDescent="0.2">
      <c r="K609" s="59"/>
      <c r="M609" s="59"/>
    </row>
    <row r="610" spans="11:13" ht="15.75" customHeight="1" x14ac:dyDescent="0.2">
      <c r="K610" s="59"/>
      <c r="M610" s="59"/>
    </row>
    <row r="611" spans="11:13" ht="15.75" customHeight="1" x14ac:dyDescent="0.2">
      <c r="K611" s="59"/>
      <c r="M611" s="59"/>
    </row>
    <row r="612" spans="11:13" ht="15.75" customHeight="1" x14ac:dyDescent="0.2">
      <c r="K612" s="59"/>
      <c r="M612" s="59"/>
    </row>
    <row r="613" spans="11:13" ht="15.75" customHeight="1" x14ac:dyDescent="0.2">
      <c r="K613" s="59"/>
      <c r="M613" s="59"/>
    </row>
    <row r="614" spans="11:13" ht="15.75" customHeight="1" x14ac:dyDescent="0.2">
      <c r="K614" s="59"/>
      <c r="M614" s="59"/>
    </row>
    <row r="615" spans="11:13" ht="15.75" customHeight="1" x14ac:dyDescent="0.2">
      <c r="K615" s="59"/>
      <c r="M615" s="59"/>
    </row>
    <row r="616" spans="11:13" ht="15.75" customHeight="1" x14ac:dyDescent="0.2">
      <c r="K616" s="59"/>
      <c r="M616" s="59"/>
    </row>
    <row r="617" spans="11:13" ht="15.75" customHeight="1" x14ac:dyDescent="0.2">
      <c r="K617" s="59"/>
      <c r="M617" s="59"/>
    </row>
    <row r="618" spans="11:13" ht="15.75" customHeight="1" x14ac:dyDescent="0.2">
      <c r="K618" s="59"/>
      <c r="M618" s="59"/>
    </row>
    <row r="619" spans="11:13" ht="15.75" customHeight="1" x14ac:dyDescent="0.2">
      <c r="K619" s="59"/>
      <c r="M619" s="59"/>
    </row>
    <row r="620" spans="11:13" ht="15.75" customHeight="1" x14ac:dyDescent="0.2">
      <c r="K620" s="59"/>
      <c r="M620" s="59"/>
    </row>
    <row r="621" spans="11:13" ht="15.75" customHeight="1" x14ac:dyDescent="0.2">
      <c r="K621" s="59"/>
      <c r="M621" s="59"/>
    </row>
    <row r="622" spans="11:13" ht="15.75" customHeight="1" x14ac:dyDescent="0.2">
      <c r="K622" s="59"/>
      <c r="M622" s="59"/>
    </row>
    <row r="623" spans="11:13" ht="15.75" customHeight="1" x14ac:dyDescent="0.2">
      <c r="K623" s="59"/>
      <c r="M623" s="59"/>
    </row>
    <row r="624" spans="11:13" ht="15.75" customHeight="1" x14ac:dyDescent="0.2">
      <c r="K624" s="59"/>
      <c r="M624" s="59"/>
    </row>
    <row r="625" spans="11:13" ht="15.75" customHeight="1" x14ac:dyDescent="0.2">
      <c r="K625" s="59"/>
      <c r="M625" s="59"/>
    </row>
    <row r="626" spans="11:13" ht="15.75" customHeight="1" x14ac:dyDescent="0.2">
      <c r="K626" s="59"/>
      <c r="M626" s="59"/>
    </row>
    <row r="627" spans="11:13" ht="15.75" customHeight="1" x14ac:dyDescent="0.2">
      <c r="K627" s="59"/>
      <c r="M627" s="59"/>
    </row>
    <row r="628" spans="11:13" ht="15.75" customHeight="1" x14ac:dyDescent="0.2">
      <c r="K628" s="59"/>
      <c r="M628" s="59"/>
    </row>
    <row r="629" spans="11:13" ht="15.75" customHeight="1" x14ac:dyDescent="0.2">
      <c r="K629" s="59"/>
      <c r="M629" s="59"/>
    </row>
    <row r="630" spans="11:13" ht="15.75" customHeight="1" x14ac:dyDescent="0.2">
      <c r="K630" s="59"/>
      <c r="M630" s="59"/>
    </row>
    <row r="631" spans="11:13" ht="15.75" customHeight="1" x14ac:dyDescent="0.2">
      <c r="K631" s="59"/>
      <c r="M631" s="59"/>
    </row>
    <row r="632" spans="11:13" ht="15.75" customHeight="1" x14ac:dyDescent="0.2">
      <c r="K632" s="59"/>
      <c r="M632" s="59"/>
    </row>
    <row r="633" spans="11:13" ht="15.75" customHeight="1" x14ac:dyDescent="0.2">
      <c r="K633" s="59"/>
      <c r="M633" s="59"/>
    </row>
    <row r="634" spans="11:13" ht="15.75" customHeight="1" x14ac:dyDescent="0.2">
      <c r="K634" s="59"/>
      <c r="M634" s="59"/>
    </row>
    <row r="635" spans="11:13" ht="15.75" customHeight="1" x14ac:dyDescent="0.2">
      <c r="K635" s="59"/>
      <c r="M635" s="59"/>
    </row>
    <row r="636" spans="11:13" ht="15.75" customHeight="1" x14ac:dyDescent="0.2">
      <c r="K636" s="59"/>
      <c r="M636" s="59"/>
    </row>
    <row r="637" spans="11:13" ht="15.75" customHeight="1" x14ac:dyDescent="0.2">
      <c r="K637" s="59"/>
      <c r="M637" s="59"/>
    </row>
    <row r="638" spans="11:13" ht="15.75" customHeight="1" x14ac:dyDescent="0.2">
      <c r="K638" s="59"/>
      <c r="M638" s="59"/>
    </row>
    <row r="639" spans="11:13" ht="15.75" customHeight="1" x14ac:dyDescent="0.2">
      <c r="K639" s="59"/>
      <c r="M639" s="59"/>
    </row>
    <row r="640" spans="11:13" ht="15.75" customHeight="1" x14ac:dyDescent="0.2">
      <c r="K640" s="59"/>
      <c r="M640" s="59"/>
    </row>
    <row r="641" spans="11:13" ht="15.75" customHeight="1" x14ac:dyDescent="0.2">
      <c r="K641" s="59"/>
      <c r="M641" s="59"/>
    </row>
    <row r="642" spans="11:13" ht="15.75" customHeight="1" x14ac:dyDescent="0.2">
      <c r="K642" s="59"/>
      <c r="M642" s="59"/>
    </row>
    <row r="643" spans="11:13" ht="15.75" customHeight="1" x14ac:dyDescent="0.2">
      <c r="K643" s="59"/>
      <c r="M643" s="59"/>
    </row>
    <row r="644" spans="11:13" ht="15.75" customHeight="1" x14ac:dyDescent="0.2">
      <c r="K644" s="59"/>
      <c r="M644" s="59"/>
    </row>
    <row r="645" spans="11:13" ht="15.75" customHeight="1" x14ac:dyDescent="0.2">
      <c r="K645" s="59"/>
      <c r="M645" s="59"/>
    </row>
    <row r="646" spans="11:13" ht="15.75" customHeight="1" x14ac:dyDescent="0.2">
      <c r="K646" s="59"/>
      <c r="M646" s="59"/>
    </row>
    <row r="647" spans="11:13" ht="15.75" customHeight="1" x14ac:dyDescent="0.2">
      <c r="K647" s="59"/>
      <c r="M647" s="59"/>
    </row>
    <row r="648" spans="11:13" ht="15.75" customHeight="1" x14ac:dyDescent="0.2">
      <c r="K648" s="59"/>
      <c r="M648" s="59"/>
    </row>
    <row r="649" spans="11:13" ht="15.75" customHeight="1" x14ac:dyDescent="0.2">
      <c r="K649" s="59"/>
      <c r="M649" s="59"/>
    </row>
    <row r="650" spans="11:13" ht="15.75" customHeight="1" x14ac:dyDescent="0.2">
      <c r="K650" s="59"/>
      <c r="M650" s="59"/>
    </row>
    <row r="651" spans="11:13" ht="15.75" customHeight="1" x14ac:dyDescent="0.2">
      <c r="K651" s="59"/>
      <c r="M651" s="59"/>
    </row>
    <row r="652" spans="11:13" ht="15.75" customHeight="1" x14ac:dyDescent="0.2">
      <c r="K652" s="59"/>
      <c r="M652" s="59"/>
    </row>
    <row r="653" spans="11:13" ht="15.75" customHeight="1" x14ac:dyDescent="0.2">
      <c r="K653" s="59"/>
      <c r="M653" s="59"/>
    </row>
    <row r="654" spans="11:13" ht="15.75" customHeight="1" x14ac:dyDescent="0.2">
      <c r="K654" s="59"/>
      <c r="M654" s="59"/>
    </row>
    <row r="655" spans="11:13" ht="15.75" customHeight="1" x14ac:dyDescent="0.2">
      <c r="K655" s="59"/>
      <c r="M655" s="59"/>
    </row>
    <row r="656" spans="11:13" ht="15.75" customHeight="1" x14ac:dyDescent="0.2">
      <c r="K656" s="59"/>
      <c r="M656" s="59"/>
    </row>
    <row r="657" spans="11:13" ht="15.75" customHeight="1" x14ac:dyDescent="0.2">
      <c r="K657" s="59"/>
      <c r="M657" s="59"/>
    </row>
    <row r="658" spans="11:13" ht="15.75" customHeight="1" x14ac:dyDescent="0.2">
      <c r="K658" s="59"/>
      <c r="M658" s="59"/>
    </row>
    <row r="659" spans="11:13" ht="15.75" customHeight="1" x14ac:dyDescent="0.2">
      <c r="K659" s="59"/>
      <c r="M659" s="59"/>
    </row>
    <row r="660" spans="11:13" ht="15.75" customHeight="1" x14ac:dyDescent="0.2">
      <c r="K660" s="59"/>
      <c r="M660" s="59"/>
    </row>
    <row r="661" spans="11:13" ht="15.75" customHeight="1" x14ac:dyDescent="0.2">
      <c r="K661" s="59"/>
      <c r="M661" s="59"/>
    </row>
    <row r="662" spans="11:13" ht="15.75" customHeight="1" x14ac:dyDescent="0.2">
      <c r="K662" s="59"/>
      <c r="M662" s="59"/>
    </row>
    <row r="663" spans="11:13" ht="15.75" customHeight="1" x14ac:dyDescent="0.2">
      <c r="K663" s="59"/>
      <c r="M663" s="59"/>
    </row>
    <row r="664" spans="11:13" ht="15.75" customHeight="1" x14ac:dyDescent="0.2">
      <c r="K664" s="59"/>
      <c r="M664" s="59"/>
    </row>
    <row r="665" spans="11:13" ht="15.75" customHeight="1" x14ac:dyDescent="0.2">
      <c r="K665" s="59"/>
      <c r="M665" s="59"/>
    </row>
    <row r="666" spans="11:13" ht="15.75" customHeight="1" x14ac:dyDescent="0.2">
      <c r="K666" s="59"/>
      <c r="M666" s="59"/>
    </row>
    <row r="667" spans="11:13" ht="15.75" customHeight="1" x14ac:dyDescent="0.2">
      <c r="K667" s="59"/>
      <c r="M667" s="59"/>
    </row>
    <row r="668" spans="11:13" ht="15.75" customHeight="1" x14ac:dyDescent="0.2">
      <c r="K668" s="59"/>
      <c r="M668" s="59"/>
    </row>
    <row r="669" spans="11:13" ht="15.75" customHeight="1" x14ac:dyDescent="0.2">
      <c r="K669" s="59"/>
      <c r="M669" s="59"/>
    </row>
    <row r="670" spans="11:13" ht="15.75" customHeight="1" x14ac:dyDescent="0.2">
      <c r="K670" s="59"/>
      <c r="M670" s="59"/>
    </row>
    <row r="671" spans="11:13" ht="15.75" customHeight="1" x14ac:dyDescent="0.2">
      <c r="K671" s="59"/>
      <c r="M671" s="59"/>
    </row>
    <row r="672" spans="11:13" ht="15.75" customHeight="1" x14ac:dyDescent="0.2">
      <c r="K672" s="59"/>
      <c r="M672" s="59"/>
    </row>
    <row r="673" spans="11:13" ht="15.75" customHeight="1" x14ac:dyDescent="0.2">
      <c r="K673" s="59"/>
      <c r="M673" s="59"/>
    </row>
    <row r="674" spans="11:13" ht="15.75" customHeight="1" x14ac:dyDescent="0.2">
      <c r="K674" s="59"/>
      <c r="M674" s="59"/>
    </row>
    <row r="675" spans="11:13" ht="15.75" customHeight="1" x14ac:dyDescent="0.2">
      <c r="K675" s="59"/>
      <c r="M675" s="59"/>
    </row>
    <row r="676" spans="11:13" ht="15.75" customHeight="1" x14ac:dyDescent="0.2">
      <c r="K676" s="59"/>
      <c r="M676" s="59"/>
    </row>
    <row r="677" spans="11:13" ht="15.75" customHeight="1" x14ac:dyDescent="0.2">
      <c r="K677" s="59"/>
      <c r="M677" s="59"/>
    </row>
    <row r="678" spans="11:13" ht="15.75" customHeight="1" x14ac:dyDescent="0.2">
      <c r="K678" s="59"/>
      <c r="M678" s="59"/>
    </row>
    <row r="679" spans="11:13" ht="15.75" customHeight="1" x14ac:dyDescent="0.2">
      <c r="K679" s="59"/>
      <c r="M679" s="59"/>
    </row>
    <row r="680" spans="11:13" ht="15.75" customHeight="1" x14ac:dyDescent="0.2">
      <c r="K680" s="59"/>
      <c r="M680" s="59"/>
    </row>
    <row r="681" spans="11:13" ht="15.75" customHeight="1" x14ac:dyDescent="0.2">
      <c r="K681" s="59"/>
      <c r="M681" s="59"/>
    </row>
    <row r="682" spans="11:13" ht="15.75" customHeight="1" x14ac:dyDescent="0.2">
      <c r="K682" s="59"/>
      <c r="M682" s="59"/>
    </row>
    <row r="683" spans="11:13" ht="15.75" customHeight="1" x14ac:dyDescent="0.2">
      <c r="K683" s="59"/>
      <c r="M683" s="59"/>
    </row>
    <row r="684" spans="11:13" ht="15.75" customHeight="1" x14ac:dyDescent="0.2">
      <c r="K684" s="59"/>
      <c r="M684" s="59"/>
    </row>
    <row r="685" spans="11:13" ht="15.75" customHeight="1" x14ac:dyDescent="0.2">
      <c r="K685" s="59"/>
      <c r="M685" s="59"/>
    </row>
    <row r="686" spans="11:13" ht="15.75" customHeight="1" x14ac:dyDescent="0.2">
      <c r="K686" s="59"/>
      <c r="M686" s="59"/>
    </row>
    <row r="687" spans="11:13" ht="15.75" customHeight="1" x14ac:dyDescent="0.2">
      <c r="K687" s="59"/>
      <c r="M687" s="59"/>
    </row>
    <row r="688" spans="11:13" ht="15.75" customHeight="1" x14ac:dyDescent="0.2">
      <c r="K688" s="59"/>
      <c r="M688" s="59"/>
    </row>
    <row r="689" spans="11:13" ht="15.75" customHeight="1" x14ac:dyDescent="0.2">
      <c r="K689" s="59"/>
      <c r="M689" s="59"/>
    </row>
    <row r="690" spans="11:13" ht="15.75" customHeight="1" x14ac:dyDescent="0.2">
      <c r="K690" s="59"/>
      <c r="M690" s="59"/>
    </row>
    <row r="691" spans="11:13" ht="15.75" customHeight="1" x14ac:dyDescent="0.2">
      <c r="K691" s="59"/>
      <c r="M691" s="59"/>
    </row>
    <row r="692" spans="11:13" ht="15.75" customHeight="1" x14ac:dyDescent="0.2">
      <c r="K692" s="59"/>
      <c r="M692" s="59"/>
    </row>
    <row r="693" spans="11:13" ht="15.75" customHeight="1" x14ac:dyDescent="0.2">
      <c r="K693" s="59"/>
      <c r="M693" s="59"/>
    </row>
    <row r="694" spans="11:13" ht="15.75" customHeight="1" x14ac:dyDescent="0.2">
      <c r="K694" s="59"/>
      <c r="M694" s="59"/>
    </row>
    <row r="695" spans="11:13" ht="15.75" customHeight="1" x14ac:dyDescent="0.2">
      <c r="K695" s="59"/>
      <c r="M695" s="59"/>
    </row>
    <row r="696" spans="11:13" ht="15.75" customHeight="1" x14ac:dyDescent="0.2">
      <c r="K696" s="59"/>
      <c r="M696" s="59"/>
    </row>
    <row r="697" spans="11:13" ht="15.75" customHeight="1" x14ac:dyDescent="0.2">
      <c r="K697" s="59"/>
      <c r="M697" s="59"/>
    </row>
    <row r="698" spans="11:13" ht="15.75" customHeight="1" x14ac:dyDescent="0.2">
      <c r="K698" s="59"/>
      <c r="M698" s="59"/>
    </row>
    <row r="699" spans="11:13" ht="15.75" customHeight="1" x14ac:dyDescent="0.2">
      <c r="K699" s="59"/>
      <c r="M699" s="59"/>
    </row>
    <row r="700" spans="11:13" ht="15.75" customHeight="1" x14ac:dyDescent="0.2">
      <c r="K700" s="59"/>
      <c r="M700" s="59"/>
    </row>
    <row r="701" spans="11:13" ht="15.75" customHeight="1" x14ac:dyDescent="0.2">
      <c r="K701" s="59"/>
      <c r="M701" s="59"/>
    </row>
    <row r="702" spans="11:13" ht="15.75" customHeight="1" x14ac:dyDescent="0.2">
      <c r="K702" s="59"/>
      <c r="M702" s="59"/>
    </row>
    <row r="703" spans="11:13" ht="15.75" customHeight="1" x14ac:dyDescent="0.2">
      <c r="K703" s="59"/>
      <c r="M703" s="59"/>
    </row>
    <row r="704" spans="11:13" ht="15.75" customHeight="1" x14ac:dyDescent="0.2">
      <c r="K704" s="59"/>
      <c r="M704" s="59"/>
    </row>
    <row r="705" spans="11:13" ht="15.75" customHeight="1" x14ac:dyDescent="0.2">
      <c r="K705" s="59"/>
      <c r="M705" s="59"/>
    </row>
    <row r="706" spans="11:13" ht="15.75" customHeight="1" x14ac:dyDescent="0.2">
      <c r="K706" s="59"/>
      <c r="M706" s="59"/>
    </row>
    <row r="707" spans="11:13" ht="15.75" customHeight="1" x14ac:dyDescent="0.2">
      <c r="K707" s="59"/>
      <c r="M707" s="59"/>
    </row>
    <row r="708" spans="11:13" ht="15.75" customHeight="1" x14ac:dyDescent="0.2">
      <c r="K708" s="59"/>
      <c r="M708" s="59"/>
    </row>
    <row r="709" spans="11:13" ht="15.75" customHeight="1" x14ac:dyDescent="0.2">
      <c r="K709" s="59"/>
      <c r="M709" s="59"/>
    </row>
    <row r="710" spans="11:13" ht="15.75" customHeight="1" x14ac:dyDescent="0.2">
      <c r="K710" s="59"/>
      <c r="M710" s="59"/>
    </row>
    <row r="711" spans="11:13" ht="15.75" customHeight="1" x14ac:dyDescent="0.2">
      <c r="K711" s="59"/>
      <c r="M711" s="59"/>
    </row>
    <row r="712" spans="11:13" ht="15.75" customHeight="1" x14ac:dyDescent="0.2">
      <c r="K712" s="59"/>
      <c r="M712" s="59"/>
    </row>
    <row r="713" spans="11:13" ht="15.75" customHeight="1" x14ac:dyDescent="0.2">
      <c r="K713" s="59"/>
      <c r="M713" s="59"/>
    </row>
    <row r="714" spans="11:13" ht="15.75" customHeight="1" x14ac:dyDescent="0.2">
      <c r="K714" s="59"/>
      <c r="M714" s="59"/>
    </row>
    <row r="715" spans="11:13" ht="15.75" customHeight="1" x14ac:dyDescent="0.2">
      <c r="K715" s="59"/>
      <c r="M715" s="59"/>
    </row>
    <row r="716" spans="11:13" ht="15.75" customHeight="1" x14ac:dyDescent="0.2">
      <c r="K716" s="59"/>
      <c r="M716" s="59"/>
    </row>
    <row r="717" spans="11:13" ht="15.75" customHeight="1" x14ac:dyDescent="0.2">
      <c r="K717" s="59"/>
      <c r="M717" s="59"/>
    </row>
    <row r="718" spans="11:13" ht="15.75" customHeight="1" x14ac:dyDescent="0.2">
      <c r="K718" s="59"/>
      <c r="M718" s="59"/>
    </row>
    <row r="719" spans="11:13" ht="15.75" customHeight="1" x14ac:dyDescent="0.2">
      <c r="K719" s="59"/>
      <c r="M719" s="59"/>
    </row>
    <row r="720" spans="11:13" ht="15.75" customHeight="1" x14ac:dyDescent="0.2">
      <c r="K720" s="59"/>
      <c r="M720" s="59"/>
    </row>
    <row r="721" spans="11:13" ht="15.75" customHeight="1" x14ac:dyDescent="0.2">
      <c r="K721" s="59"/>
      <c r="M721" s="59"/>
    </row>
    <row r="722" spans="11:13" ht="15.75" customHeight="1" x14ac:dyDescent="0.2">
      <c r="K722" s="59"/>
      <c r="M722" s="59"/>
    </row>
    <row r="723" spans="11:13" ht="15.75" customHeight="1" x14ac:dyDescent="0.2">
      <c r="K723" s="59"/>
      <c r="M723" s="59"/>
    </row>
    <row r="724" spans="11:13" ht="15.75" customHeight="1" x14ac:dyDescent="0.2">
      <c r="K724" s="59"/>
      <c r="M724" s="59"/>
    </row>
    <row r="725" spans="11:13" ht="15.75" customHeight="1" x14ac:dyDescent="0.2">
      <c r="K725" s="59"/>
      <c r="M725" s="59"/>
    </row>
    <row r="726" spans="11:13" ht="15.75" customHeight="1" x14ac:dyDescent="0.2">
      <c r="K726" s="59"/>
      <c r="M726" s="59"/>
    </row>
    <row r="727" spans="11:13" ht="15.75" customHeight="1" x14ac:dyDescent="0.2">
      <c r="K727" s="59"/>
      <c r="M727" s="59"/>
    </row>
    <row r="728" spans="11:13" ht="15.75" customHeight="1" x14ac:dyDescent="0.2">
      <c r="K728" s="59"/>
      <c r="M728" s="59"/>
    </row>
    <row r="729" spans="11:13" ht="15.75" customHeight="1" x14ac:dyDescent="0.2">
      <c r="K729" s="59"/>
      <c r="M729" s="59"/>
    </row>
    <row r="730" spans="11:13" ht="15.75" customHeight="1" x14ac:dyDescent="0.2">
      <c r="K730" s="59"/>
      <c r="M730" s="59"/>
    </row>
    <row r="731" spans="11:13" ht="15.75" customHeight="1" x14ac:dyDescent="0.2">
      <c r="K731" s="59"/>
      <c r="M731" s="59"/>
    </row>
    <row r="732" spans="11:13" ht="15.75" customHeight="1" x14ac:dyDescent="0.2">
      <c r="K732" s="59"/>
      <c r="M732" s="59"/>
    </row>
    <row r="733" spans="11:13" ht="15.75" customHeight="1" x14ac:dyDescent="0.2">
      <c r="K733" s="59"/>
      <c r="M733" s="59"/>
    </row>
    <row r="734" spans="11:13" ht="15.75" customHeight="1" x14ac:dyDescent="0.2">
      <c r="K734" s="59"/>
      <c r="M734" s="59"/>
    </row>
    <row r="735" spans="11:13" ht="15.75" customHeight="1" x14ac:dyDescent="0.2">
      <c r="K735" s="59"/>
      <c r="M735" s="59"/>
    </row>
    <row r="736" spans="11:13" ht="15.75" customHeight="1" x14ac:dyDescent="0.2">
      <c r="K736" s="59"/>
      <c r="M736" s="59"/>
    </row>
    <row r="737" spans="11:13" ht="15.75" customHeight="1" x14ac:dyDescent="0.2">
      <c r="K737" s="59"/>
      <c r="M737" s="59"/>
    </row>
    <row r="738" spans="11:13" ht="15.75" customHeight="1" x14ac:dyDescent="0.2">
      <c r="K738" s="59"/>
      <c r="M738" s="59"/>
    </row>
    <row r="739" spans="11:13" ht="15.75" customHeight="1" x14ac:dyDescent="0.2">
      <c r="K739" s="59"/>
      <c r="M739" s="59"/>
    </row>
    <row r="740" spans="11:13" ht="15.75" customHeight="1" x14ac:dyDescent="0.2">
      <c r="K740" s="59"/>
      <c r="M740" s="59"/>
    </row>
    <row r="741" spans="11:13" ht="15.75" customHeight="1" x14ac:dyDescent="0.2">
      <c r="K741" s="59"/>
      <c r="M741" s="59"/>
    </row>
    <row r="742" spans="11:13" ht="15.75" customHeight="1" x14ac:dyDescent="0.2">
      <c r="K742" s="59"/>
      <c r="M742" s="59"/>
    </row>
    <row r="743" spans="11:13" ht="15.75" customHeight="1" x14ac:dyDescent="0.2">
      <c r="K743" s="59"/>
      <c r="M743" s="59"/>
    </row>
    <row r="744" spans="11:13" ht="15.75" customHeight="1" x14ac:dyDescent="0.2">
      <c r="K744" s="59"/>
      <c r="M744" s="59"/>
    </row>
    <row r="745" spans="11:13" ht="15.75" customHeight="1" x14ac:dyDescent="0.2">
      <c r="K745" s="59"/>
      <c r="M745" s="59"/>
    </row>
    <row r="746" spans="11:13" ht="15.75" customHeight="1" x14ac:dyDescent="0.2">
      <c r="K746" s="59"/>
      <c r="M746" s="59"/>
    </row>
    <row r="747" spans="11:13" ht="15.75" customHeight="1" x14ac:dyDescent="0.2">
      <c r="K747" s="59"/>
      <c r="M747" s="59"/>
    </row>
    <row r="748" spans="11:13" ht="15.75" customHeight="1" x14ac:dyDescent="0.2">
      <c r="K748" s="59"/>
      <c r="M748" s="59"/>
    </row>
    <row r="749" spans="11:13" ht="15.75" customHeight="1" x14ac:dyDescent="0.2">
      <c r="K749" s="59"/>
      <c r="M749" s="59"/>
    </row>
    <row r="750" spans="11:13" ht="15.75" customHeight="1" x14ac:dyDescent="0.2">
      <c r="K750" s="59"/>
      <c r="M750" s="59"/>
    </row>
    <row r="751" spans="11:13" ht="15.75" customHeight="1" x14ac:dyDescent="0.2">
      <c r="K751" s="59"/>
      <c r="M751" s="59"/>
    </row>
    <row r="752" spans="11:13" ht="15.75" customHeight="1" x14ac:dyDescent="0.2">
      <c r="K752" s="59"/>
      <c r="M752" s="59"/>
    </row>
    <row r="753" spans="11:13" ht="15.75" customHeight="1" x14ac:dyDescent="0.2">
      <c r="K753" s="59"/>
      <c r="M753" s="59"/>
    </row>
    <row r="754" spans="11:13" ht="15.75" customHeight="1" x14ac:dyDescent="0.2">
      <c r="K754" s="59"/>
      <c r="M754" s="59"/>
    </row>
    <row r="755" spans="11:13" ht="15.75" customHeight="1" x14ac:dyDescent="0.2">
      <c r="K755" s="59"/>
      <c r="M755" s="59"/>
    </row>
    <row r="756" spans="11:13" ht="15.75" customHeight="1" x14ac:dyDescent="0.2">
      <c r="K756" s="59"/>
      <c r="M756" s="59"/>
    </row>
    <row r="757" spans="11:13" ht="15.75" customHeight="1" x14ac:dyDescent="0.2">
      <c r="K757" s="59"/>
      <c r="M757" s="59"/>
    </row>
    <row r="758" spans="11:13" ht="15.75" customHeight="1" x14ac:dyDescent="0.2">
      <c r="K758" s="59"/>
      <c r="M758" s="59"/>
    </row>
    <row r="759" spans="11:13" ht="15.75" customHeight="1" x14ac:dyDescent="0.2">
      <c r="K759" s="59"/>
      <c r="M759" s="59"/>
    </row>
    <row r="760" spans="11:13" ht="15.75" customHeight="1" x14ac:dyDescent="0.2">
      <c r="K760" s="59"/>
      <c r="M760" s="59"/>
    </row>
    <row r="761" spans="11:13" ht="15.75" customHeight="1" x14ac:dyDescent="0.2">
      <c r="K761" s="59"/>
      <c r="M761" s="59"/>
    </row>
    <row r="762" spans="11:13" ht="15.75" customHeight="1" x14ac:dyDescent="0.2">
      <c r="K762" s="59"/>
      <c r="M762" s="59"/>
    </row>
    <row r="763" spans="11:13" ht="15.75" customHeight="1" x14ac:dyDescent="0.2">
      <c r="K763" s="59"/>
      <c r="M763" s="59"/>
    </row>
    <row r="764" spans="11:13" ht="15.75" customHeight="1" x14ac:dyDescent="0.2">
      <c r="K764" s="59"/>
      <c r="M764" s="59"/>
    </row>
    <row r="765" spans="11:13" ht="15.75" customHeight="1" x14ac:dyDescent="0.2">
      <c r="K765" s="59"/>
      <c r="M765" s="59"/>
    </row>
    <row r="766" spans="11:13" ht="15.75" customHeight="1" x14ac:dyDescent="0.2">
      <c r="K766" s="59"/>
      <c r="M766" s="59"/>
    </row>
    <row r="767" spans="11:13" ht="15.75" customHeight="1" x14ac:dyDescent="0.2">
      <c r="K767" s="59"/>
      <c r="M767" s="59"/>
    </row>
    <row r="768" spans="11:13" ht="15.75" customHeight="1" x14ac:dyDescent="0.2">
      <c r="K768" s="59"/>
      <c r="M768" s="59"/>
    </row>
    <row r="769" spans="11:13" ht="15.75" customHeight="1" x14ac:dyDescent="0.2">
      <c r="K769" s="59"/>
      <c r="M769" s="59"/>
    </row>
    <row r="770" spans="11:13" ht="15.75" customHeight="1" x14ac:dyDescent="0.2">
      <c r="K770" s="59"/>
      <c r="M770" s="59"/>
    </row>
    <row r="771" spans="11:13" ht="15.75" customHeight="1" x14ac:dyDescent="0.2">
      <c r="K771" s="59"/>
      <c r="M771" s="59"/>
    </row>
    <row r="772" spans="11:13" ht="15.75" customHeight="1" x14ac:dyDescent="0.2">
      <c r="K772" s="59"/>
      <c r="M772" s="59"/>
    </row>
    <row r="773" spans="11:13" ht="15.75" customHeight="1" x14ac:dyDescent="0.2">
      <c r="K773" s="59"/>
      <c r="M773" s="59"/>
    </row>
    <row r="774" spans="11:13" ht="15.75" customHeight="1" x14ac:dyDescent="0.2">
      <c r="K774" s="59"/>
      <c r="M774" s="59"/>
    </row>
    <row r="775" spans="11:13" ht="15.75" customHeight="1" x14ac:dyDescent="0.2">
      <c r="K775" s="59"/>
      <c r="M775" s="59"/>
    </row>
    <row r="776" spans="11:13" ht="15.75" customHeight="1" x14ac:dyDescent="0.2">
      <c r="K776" s="59"/>
      <c r="M776" s="59"/>
    </row>
    <row r="777" spans="11:13" ht="15.75" customHeight="1" x14ac:dyDescent="0.2">
      <c r="K777" s="59"/>
      <c r="M777" s="59"/>
    </row>
    <row r="778" spans="11:13" ht="15.75" customHeight="1" x14ac:dyDescent="0.2">
      <c r="K778" s="59"/>
      <c r="M778" s="59"/>
    </row>
    <row r="779" spans="11:13" ht="15.75" customHeight="1" x14ac:dyDescent="0.2">
      <c r="K779" s="59"/>
      <c r="M779" s="59"/>
    </row>
    <row r="780" spans="11:13" ht="15.75" customHeight="1" x14ac:dyDescent="0.2">
      <c r="K780" s="59"/>
      <c r="M780" s="59"/>
    </row>
    <row r="781" spans="11:13" ht="15.75" customHeight="1" x14ac:dyDescent="0.2">
      <c r="K781" s="59"/>
      <c r="M781" s="59"/>
    </row>
    <row r="782" spans="11:13" ht="15.75" customHeight="1" x14ac:dyDescent="0.2">
      <c r="K782" s="59"/>
      <c r="M782" s="59"/>
    </row>
    <row r="783" spans="11:13" ht="15.75" customHeight="1" x14ac:dyDescent="0.2">
      <c r="K783" s="59"/>
      <c r="M783" s="59"/>
    </row>
    <row r="784" spans="11:13" ht="15.75" customHeight="1" x14ac:dyDescent="0.2">
      <c r="K784" s="59"/>
      <c r="M784" s="59"/>
    </row>
    <row r="785" spans="11:13" ht="15.75" customHeight="1" x14ac:dyDescent="0.2">
      <c r="K785" s="59"/>
      <c r="M785" s="59"/>
    </row>
    <row r="786" spans="11:13" ht="15.75" customHeight="1" x14ac:dyDescent="0.2">
      <c r="K786" s="59"/>
      <c r="M786" s="59"/>
    </row>
    <row r="787" spans="11:13" ht="15.75" customHeight="1" x14ac:dyDescent="0.2">
      <c r="K787" s="59"/>
      <c r="M787" s="59"/>
    </row>
    <row r="788" spans="11:13" ht="15.75" customHeight="1" x14ac:dyDescent="0.2">
      <c r="K788" s="59"/>
      <c r="M788" s="59"/>
    </row>
    <row r="789" spans="11:13" ht="15.75" customHeight="1" x14ac:dyDescent="0.2">
      <c r="K789" s="59"/>
      <c r="M789" s="59"/>
    </row>
    <row r="790" spans="11:13" ht="15.75" customHeight="1" x14ac:dyDescent="0.2">
      <c r="K790" s="59"/>
      <c r="M790" s="59"/>
    </row>
    <row r="791" spans="11:13" ht="15.75" customHeight="1" x14ac:dyDescent="0.2">
      <c r="K791" s="59"/>
      <c r="M791" s="59"/>
    </row>
    <row r="792" spans="11:13" ht="15.75" customHeight="1" x14ac:dyDescent="0.2">
      <c r="K792" s="59"/>
      <c r="M792" s="59"/>
    </row>
    <row r="793" spans="11:13" ht="15.75" customHeight="1" x14ac:dyDescent="0.2">
      <c r="K793" s="59"/>
      <c r="M793" s="59"/>
    </row>
    <row r="794" spans="11:13" ht="15.75" customHeight="1" x14ac:dyDescent="0.2">
      <c r="K794" s="59"/>
      <c r="M794" s="59"/>
    </row>
    <row r="795" spans="11:13" ht="15.75" customHeight="1" x14ac:dyDescent="0.2">
      <c r="K795" s="59"/>
      <c r="M795" s="59"/>
    </row>
    <row r="796" spans="11:13" ht="15.75" customHeight="1" x14ac:dyDescent="0.2">
      <c r="K796" s="59"/>
      <c r="M796" s="59"/>
    </row>
    <row r="797" spans="11:13" ht="15.75" customHeight="1" x14ac:dyDescent="0.2">
      <c r="K797" s="59"/>
      <c r="M797" s="59"/>
    </row>
    <row r="798" spans="11:13" ht="15.75" customHeight="1" x14ac:dyDescent="0.2">
      <c r="K798" s="59"/>
      <c r="M798" s="59"/>
    </row>
    <row r="799" spans="11:13" ht="15.75" customHeight="1" x14ac:dyDescent="0.2">
      <c r="K799" s="59"/>
      <c r="M799" s="59"/>
    </row>
    <row r="800" spans="11:13" ht="15.75" customHeight="1" x14ac:dyDescent="0.2">
      <c r="K800" s="59"/>
      <c r="M800" s="59"/>
    </row>
    <row r="801" spans="11:13" ht="15.75" customHeight="1" x14ac:dyDescent="0.2">
      <c r="K801" s="59"/>
      <c r="M801" s="59"/>
    </row>
    <row r="802" spans="11:13" ht="15.75" customHeight="1" x14ac:dyDescent="0.2">
      <c r="K802" s="59"/>
      <c r="M802" s="59"/>
    </row>
    <row r="803" spans="11:13" ht="15.75" customHeight="1" x14ac:dyDescent="0.2">
      <c r="K803" s="59"/>
      <c r="M803" s="59"/>
    </row>
    <row r="804" spans="11:13" ht="15.75" customHeight="1" x14ac:dyDescent="0.2">
      <c r="K804" s="59"/>
      <c r="M804" s="59"/>
    </row>
    <row r="805" spans="11:13" ht="15.75" customHeight="1" x14ac:dyDescent="0.2">
      <c r="K805" s="59"/>
      <c r="M805" s="59"/>
    </row>
    <row r="806" spans="11:13" ht="15.75" customHeight="1" x14ac:dyDescent="0.2">
      <c r="K806" s="59"/>
      <c r="M806" s="59"/>
    </row>
    <row r="807" spans="11:13" ht="15.75" customHeight="1" x14ac:dyDescent="0.2">
      <c r="K807" s="59"/>
      <c r="M807" s="59"/>
    </row>
    <row r="808" spans="11:13" ht="15.75" customHeight="1" x14ac:dyDescent="0.2">
      <c r="K808" s="59"/>
      <c r="M808" s="59"/>
    </row>
    <row r="809" spans="11:13" ht="15.75" customHeight="1" x14ac:dyDescent="0.2">
      <c r="K809" s="59"/>
      <c r="M809" s="59"/>
    </row>
    <row r="810" spans="11:13" ht="15.75" customHeight="1" x14ac:dyDescent="0.2">
      <c r="K810" s="59"/>
      <c r="M810" s="59"/>
    </row>
    <row r="811" spans="11:13" ht="15.75" customHeight="1" x14ac:dyDescent="0.2">
      <c r="K811" s="59"/>
      <c r="M811" s="59"/>
    </row>
    <row r="812" spans="11:13" ht="15.75" customHeight="1" x14ac:dyDescent="0.2">
      <c r="K812" s="59"/>
      <c r="M812" s="59"/>
    </row>
    <row r="813" spans="11:13" ht="15.75" customHeight="1" x14ac:dyDescent="0.2">
      <c r="K813" s="59"/>
      <c r="M813" s="59"/>
    </row>
    <row r="814" spans="11:13" ht="15.75" customHeight="1" x14ac:dyDescent="0.2">
      <c r="K814" s="59"/>
      <c r="M814" s="59"/>
    </row>
    <row r="815" spans="11:13" ht="15.75" customHeight="1" x14ac:dyDescent="0.2">
      <c r="K815" s="59"/>
      <c r="M815" s="59"/>
    </row>
    <row r="816" spans="11:13" ht="15.75" customHeight="1" x14ac:dyDescent="0.2">
      <c r="K816" s="59"/>
      <c r="M816" s="59"/>
    </row>
    <row r="817" spans="11:13" ht="15.75" customHeight="1" x14ac:dyDescent="0.2">
      <c r="K817" s="59"/>
      <c r="M817" s="59"/>
    </row>
    <row r="818" spans="11:13" ht="15.75" customHeight="1" x14ac:dyDescent="0.2">
      <c r="K818" s="59"/>
      <c r="M818" s="59"/>
    </row>
    <row r="819" spans="11:13" ht="15.75" customHeight="1" x14ac:dyDescent="0.2">
      <c r="K819" s="59"/>
      <c r="M819" s="59"/>
    </row>
    <row r="820" spans="11:13" ht="15.75" customHeight="1" x14ac:dyDescent="0.2">
      <c r="K820" s="59"/>
      <c r="M820" s="59"/>
    </row>
    <row r="821" spans="11:13" ht="15.75" customHeight="1" x14ac:dyDescent="0.2">
      <c r="K821" s="59"/>
      <c r="M821" s="59"/>
    </row>
    <row r="822" spans="11:13" ht="15.75" customHeight="1" x14ac:dyDescent="0.2">
      <c r="K822" s="59"/>
      <c r="M822" s="59"/>
    </row>
    <row r="823" spans="11:13" ht="15.75" customHeight="1" x14ac:dyDescent="0.2">
      <c r="K823" s="59"/>
      <c r="M823" s="59"/>
    </row>
    <row r="824" spans="11:13" ht="15.75" customHeight="1" x14ac:dyDescent="0.2">
      <c r="K824" s="59"/>
      <c r="M824" s="59"/>
    </row>
    <row r="825" spans="11:13" ht="15.75" customHeight="1" x14ac:dyDescent="0.2">
      <c r="K825" s="59"/>
      <c r="M825" s="59"/>
    </row>
    <row r="826" spans="11:13" ht="15.75" customHeight="1" x14ac:dyDescent="0.2">
      <c r="K826" s="59"/>
      <c r="M826" s="59"/>
    </row>
    <row r="827" spans="11:13" ht="15.75" customHeight="1" x14ac:dyDescent="0.2">
      <c r="K827" s="59"/>
      <c r="M827" s="59"/>
    </row>
    <row r="828" spans="11:13" ht="15.75" customHeight="1" x14ac:dyDescent="0.2">
      <c r="K828" s="59"/>
      <c r="M828" s="59"/>
    </row>
    <row r="829" spans="11:13" ht="15.75" customHeight="1" x14ac:dyDescent="0.2">
      <c r="K829" s="59"/>
      <c r="M829" s="59"/>
    </row>
    <row r="830" spans="11:13" ht="15.75" customHeight="1" x14ac:dyDescent="0.2">
      <c r="K830" s="59"/>
      <c r="M830" s="59"/>
    </row>
    <row r="831" spans="11:13" ht="15.75" customHeight="1" x14ac:dyDescent="0.2">
      <c r="K831" s="59"/>
      <c r="M831" s="59"/>
    </row>
    <row r="832" spans="11:13" ht="15.75" customHeight="1" x14ac:dyDescent="0.2">
      <c r="K832" s="59"/>
      <c r="M832" s="59"/>
    </row>
    <row r="833" spans="11:13" ht="15.75" customHeight="1" x14ac:dyDescent="0.2">
      <c r="K833" s="59"/>
      <c r="M833" s="59"/>
    </row>
    <row r="834" spans="11:13" ht="15.75" customHeight="1" x14ac:dyDescent="0.2">
      <c r="K834" s="59"/>
      <c r="M834" s="59"/>
    </row>
    <row r="835" spans="11:13" ht="15.75" customHeight="1" x14ac:dyDescent="0.2">
      <c r="K835" s="59"/>
      <c r="M835" s="59"/>
    </row>
    <row r="836" spans="11:13" ht="15.75" customHeight="1" x14ac:dyDescent="0.2">
      <c r="K836" s="59"/>
      <c r="M836" s="59"/>
    </row>
    <row r="837" spans="11:13" ht="15.75" customHeight="1" x14ac:dyDescent="0.2">
      <c r="K837" s="59"/>
      <c r="M837" s="59"/>
    </row>
    <row r="838" spans="11:13" ht="15.75" customHeight="1" x14ac:dyDescent="0.2">
      <c r="K838" s="59"/>
      <c r="M838" s="59"/>
    </row>
    <row r="839" spans="11:13" ht="15.75" customHeight="1" x14ac:dyDescent="0.2">
      <c r="K839" s="59"/>
      <c r="M839" s="59"/>
    </row>
    <row r="840" spans="11:13" ht="15.75" customHeight="1" x14ac:dyDescent="0.2">
      <c r="K840" s="59"/>
      <c r="M840" s="59"/>
    </row>
    <row r="841" spans="11:13" ht="15.75" customHeight="1" x14ac:dyDescent="0.2">
      <c r="K841" s="59"/>
      <c r="M841" s="59"/>
    </row>
    <row r="842" spans="11:13" ht="15.75" customHeight="1" x14ac:dyDescent="0.2">
      <c r="K842" s="59"/>
      <c r="M842" s="59"/>
    </row>
    <row r="843" spans="11:13" ht="15.75" customHeight="1" x14ac:dyDescent="0.2">
      <c r="K843" s="59"/>
      <c r="M843" s="59"/>
    </row>
    <row r="844" spans="11:13" ht="15.75" customHeight="1" x14ac:dyDescent="0.2">
      <c r="K844" s="59"/>
      <c r="M844" s="59"/>
    </row>
    <row r="845" spans="11:13" ht="15.75" customHeight="1" x14ac:dyDescent="0.2">
      <c r="K845" s="59"/>
      <c r="M845" s="59"/>
    </row>
    <row r="846" spans="11:13" ht="15.75" customHeight="1" x14ac:dyDescent="0.2">
      <c r="K846" s="59"/>
      <c r="M846" s="59"/>
    </row>
    <row r="847" spans="11:13" ht="15.75" customHeight="1" x14ac:dyDescent="0.2">
      <c r="K847" s="59"/>
      <c r="M847" s="59"/>
    </row>
    <row r="848" spans="11:13" ht="15.75" customHeight="1" x14ac:dyDescent="0.2">
      <c r="K848" s="59"/>
      <c r="M848" s="59"/>
    </row>
    <row r="849" spans="11:13" ht="15.75" customHeight="1" x14ac:dyDescent="0.2">
      <c r="K849" s="59"/>
      <c r="M849" s="59"/>
    </row>
    <row r="850" spans="11:13" ht="15.75" customHeight="1" x14ac:dyDescent="0.2">
      <c r="K850" s="59"/>
      <c r="M850" s="59"/>
    </row>
    <row r="851" spans="11:13" ht="15.75" customHeight="1" x14ac:dyDescent="0.2">
      <c r="K851" s="59"/>
      <c r="M851" s="59"/>
    </row>
    <row r="852" spans="11:13" ht="15.75" customHeight="1" x14ac:dyDescent="0.2">
      <c r="K852" s="59"/>
      <c r="M852" s="59"/>
    </row>
    <row r="853" spans="11:13" ht="15.75" customHeight="1" x14ac:dyDescent="0.2">
      <c r="K853" s="59"/>
      <c r="M853" s="59"/>
    </row>
    <row r="854" spans="11:13" ht="15.75" customHeight="1" x14ac:dyDescent="0.2">
      <c r="K854" s="59"/>
      <c r="M854" s="59"/>
    </row>
    <row r="855" spans="11:13" ht="15.75" customHeight="1" x14ac:dyDescent="0.2">
      <c r="K855" s="59"/>
      <c r="M855" s="59"/>
    </row>
    <row r="856" spans="11:13" ht="15.75" customHeight="1" x14ac:dyDescent="0.2">
      <c r="K856" s="59"/>
      <c r="M856" s="59"/>
    </row>
    <row r="857" spans="11:13" ht="15.75" customHeight="1" x14ac:dyDescent="0.2">
      <c r="K857" s="59"/>
      <c r="M857" s="59"/>
    </row>
    <row r="858" spans="11:13" ht="15.75" customHeight="1" x14ac:dyDescent="0.2">
      <c r="K858" s="59"/>
      <c r="M858" s="59"/>
    </row>
    <row r="859" spans="11:13" ht="15.75" customHeight="1" x14ac:dyDescent="0.2">
      <c r="K859" s="59"/>
      <c r="M859" s="59"/>
    </row>
    <row r="860" spans="11:13" ht="15.75" customHeight="1" x14ac:dyDescent="0.2">
      <c r="K860" s="59"/>
      <c r="M860" s="59"/>
    </row>
    <row r="861" spans="11:13" ht="15.75" customHeight="1" x14ac:dyDescent="0.2">
      <c r="K861" s="59"/>
      <c r="M861" s="59"/>
    </row>
    <row r="862" spans="11:13" ht="15.75" customHeight="1" x14ac:dyDescent="0.2">
      <c r="K862" s="59"/>
      <c r="M862" s="59"/>
    </row>
    <row r="863" spans="11:13" ht="15.75" customHeight="1" x14ac:dyDescent="0.2">
      <c r="K863" s="59"/>
      <c r="M863" s="59"/>
    </row>
    <row r="864" spans="11:13" ht="15.75" customHeight="1" x14ac:dyDescent="0.2">
      <c r="K864" s="59"/>
      <c r="M864" s="59"/>
    </row>
    <row r="865" spans="11:13" ht="15.75" customHeight="1" x14ac:dyDescent="0.2">
      <c r="K865" s="59"/>
      <c r="M865" s="59"/>
    </row>
    <row r="866" spans="11:13" ht="15.75" customHeight="1" x14ac:dyDescent="0.2">
      <c r="K866" s="59"/>
      <c r="M866" s="59"/>
    </row>
    <row r="867" spans="11:13" ht="15.75" customHeight="1" x14ac:dyDescent="0.2">
      <c r="K867" s="59"/>
      <c r="M867" s="59"/>
    </row>
    <row r="868" spans="11:13" ht="15.75" customHeight="1" x14ac:dyDescent="0.2">
      <c r="K868" s="59"/>
      <c r="M868" s="59"/>
    </row>
    <row r="869" spans="11:13" ht="15.75" customHeight="1" x14ac:dyDescent="0.2">
      <c r="K869" s="59"/>
      <c r="M869" s="59"/>
    </row>
    <row r="870" spans="11:13" ht="15.75" customHeight="1" x14ac:dyDescent="0.2">
      <c r="K870" s="59"/>
      <c r="M870" s="59"/>
    </row>
    <row r="871" spans="11:13" ht="15.75" customHeight="1" x14ac:dyDescent="0.2">
      <c r="K871" s="59"/>
      <c r="M871" s="59"/>
    </row>
    <row r="872" spans="11:13" ht="15.75" customHeight="1" x14ac:dyDescent="0.2">
      <c r="K872" s="59"/>
      <c r="M872" s="59"/>
    </row>
    <row r="873" spans="11:13" ht="15.75" customHeight="1" x14ac:dyDescent="0.2">
      <c r="K873" s="59"/>
      <c r="M873" s="59"/>
    </row>
    <row r="874" spans="11:13" ht="15.75" customHeight="1" x14ac:dyDescent="0.2">
      <c r="K874" s="59"/>
      <c r="M874" s="59"/>
    </row>
    <row r="875" spans="11:13" ht="15.75" customHeight="1" x14ac:dyDescent="0.2">
      <c r="K875" s="59"/>
      <c r="M875" s="59"/>
    </row>
    <row r="876" spans="11:13" ht="15.75" customHeight="1" x14ac:dyDescent="0.2">
      <c r="K876" s="59"/>
      <c r="M876" s="59"/>
    </row>
    <row r="877" spans="11:13" ht="15.75" customHeight="1" x14ac:dyDescent="0.2">
      <c r="K877" s="59"/>
      <c r="M877" s="59"/>
    </row>
    <row r="878" spans="11:13" ht="15.75" customHeight="1" x14ac:dyDescent="0.2">
      <c r="K878" s="59"/>
      <c r="M878" s="59"/>
    </row>
    <row r="879" spans="11:13" ht="15.75" customHeight="1" x14ac:dyDescent="0.2">
      <c r="K879" s="59"/>
      <c r="M879" s="59"/>
    </row>
    <row r="880" spans="11:13" ht="15.75" customHeight="1" x14ac:dyDescent="0.2">
      <c r="K880" s="59"/>
      <c r="M880" s="59"/>
    </row>
    <row r="881" spans="11:13" ht="15.75" customHeight="1" x14ac:dyDescent="0.2">
      <c r="K881" s="59"/>
      <c r="M881" s="59"/>
    </row>
    <row r="882" spans="11:13" ht="15.75" customHeight="1" x14ac:dyDescent="0.2">
      <c r="K882" s="59"/>
      <c r="M882" s="59"/>
    </row>
    <row r="883" spans="11:13" ht="15.75" customHeight="1" x14ac:dyDescent="0.2">
      <c r="K883" s="59"/>
      <c r="M883" s="59"/>
    </row>
    <row r="884" spans="11:13" ht="15.75" customHeight="1" x14ac:dyDescent="0.2">
      <c r="K884" s="59"/>
      <c r="M884" s="59"/>
    </row>
    <row r="885" spans="11:13" ht="15.75" customHeight="1" x14ac:dyDescent="0.2">
      <c r="K885" s="59"/>
      <c r="M885" s="59"/>
    </row>
    <row r="886" spans="11:13" ht="15.75" customHeight="1" x14ac:dyDescent="0.2">
      <c r="K886" s="59"/>
      <c r="M886" s="59"/>
    </row>
    <row r="887" spans="11:13" ht="15.75" customHeight="1" x14ac:dyDescent="0.2">
      <c r="K887" s="59"/>
      <c r="M887" s="59"/>
    </row>
    <row r="888" spans="11:13" ht="15.75" customHeight="1" x14ac:dyDescent="0.2">
      <c r="K888" s="59"/>
      <c r="M888" s="59"/>
    </row>
    <row r="889" spans="11:13" ht="15.75" customHeight="1" x14ac:dyDescent="0.2">
      <c r="K889" s="59"/>
      <c r="M889" s="59"/>
    </row>
    <row r="890" spans="11:13" ht="15.75" customHeight="1" x14ac:dyDescent="0.2">
      <c r="K890" s="59"/>
      <c r="M890" s="59"/>
    </row>
    <row r="891" spans="11:13" ht="15.75" customHeight="1" x14ac:dyDescent="0.2">
      <c r="K891" s="59"/>
      <c r="M891" s="59"/>
    </row>
    <row r="892" spans="11:13" ht="15.75" customHeight="1" x14ac:dyDescent="0.2">
      <c r="K892" s="59"/>
      <c r="M892" s="59"/>
    </row>
    <row r="893" spans="11:13" ht="15.75" customHeight="1" x14ac:dyDescent="0.2">
      <c r="K893" s="59"/>
      <c r="M893" s="59"/>
    </row>
    <row r="894" spans="11:13" ht="15.75" customHeight="1" x14ac:dyDescent="0.2">
      <c r="K894" s="59"/>
      <c r="M894" s="59"/>
    </row>
    <row r="895" spans="11:13" ht="15.75" customHeight="1" x14ac:dyDescent="0.2">
      <c r="K895" s="59"/>
      <c r="M895" s="59"/>
    </row>
    <row r="896" spans="11:13" ht="15.75" customHeight="1" x14ac:dyDescent="0.2">
      <c r="K896" s="59"/>
      <c r="M896" s="59"/>
    </row>
    <row r="897" spans="11:13" ht="15.75" customHeight="1" x14ac:dyDescent="0.2">
      <c r="K897" s="59"/>
      <c r="M897" s="59"/>
    </row>
    <row r="898" spans="11:13" ht="15.75" customHeight="1" x14ac:dyDescent="0.2">
      <c r="K898" s="59"/>
      <c r="M898" s="59"/>
    </row>
    <row r="899" spans="11:13" ht="15.75" customHeight="1" x14ac:dyDescent="0.2">
      <c r="K899" s="59"/>
      <c r="M899" s="59"/>
    </row>
    <row r="900" spans="11:13" ht="15.75" customHeight="1" x14ac:dyDescent="0.2">
      <c r="K900" s="59"/>
      <c r="M900" s="59"/>
    </row>
    <row r="901" spans="11:13" ht="15.75" customHeight="1" x14ac:dyDescent="0.2">
      <c r="K901" s="59"/>
      <c r="M901" s="59"/>
    </row>
    <row r="902" spans="11:13" ht="15.75" customHeight="1" x14ac:dyDescent="0.2">
      <c r="K902" s="59"/>
      <c r="M902" s="59"/>
    </row>
    <row r="903" spans="11:13" ht="15.75" customHeight="1" x14ac:dyDescent="0.2">
      <c r="K903" s="59"/>
      <c r="M903" s="59"/>
    </row>
    <row r="904" spans="11:13" ht="15.75" customHeight="1" x14ac:dyDescent="0.2">
      <c r="K904" s="59"/>
      <c r="M904" s="59"/>
    </row>
    <row r="905" spans="11:13" ht="15.75" customHeight="1" x14ac:dyDescent="0.2">
      <c r="K905" s="59"/>
      <c r="M905" s="59"/>
    </row>
    <row r="906" spans="11:13" ht="15.75" customHeight="1" x14ac:dyDescent="0.2">
      <c r="K906" s="59"/>
      <c r="M906" s="59"/>
    </row>
    <row r="907" spans="11:13" ht="15.75" customHeight="1" x14ac:dyDescent="0.2">
      <c r="K907" s="59"/>
      <c r="M907" s="59"/>
    </row>
    <row r="908" spans="11:13" ht="15.75" customHeight="1" x14ac:dyDescent="0.2">
      <c r="K908" s="59"/>
      <c r="M908" s="59"/>
    </row>
    <row r="909" spans="11:13" ht="15.75" customHeight="1" x14ac:dyDescent="0.2">
      <c r="K909" s="59"/>
      <c r="M909" s="59"/>
    </row>
    <row r="910" spans="11:13" ht="15.75" customHeight="1" x14ac:dyDescent="0.2">
      <c r="K910" s="59"/>
      <c r="M910" s="59"/>
    </row>
    <row r="911" spans="11:13" ht="15.75" customHeight="1" x14ac:dyDescent="0.2">
      <c r="K911" s="59"/>
      <c r="M911" s="59"/>
    </row>
    <row r="912" spans="11:13" ht="15.75" customHeight="1" x14ac:dyDescent="0.2">
      <c r="K912" s="59"/>
      <c r="M912" s="59"/>
    </row>
    <row r="913" spans="11:13" ht="15.75" customHeight="1" x14ac:dyDescent="0.2">
      <c r="K913" s="59"/>
      <c r="M913" s="59"/>
    </row>
    <row r="914" spans="11:13" ht="15.75" customHeight="1" x14ac:dyDescent="0.2">
      <c r="K914" s="59"/>
      <c r="M914" s="59"/>
    </row>
    <row r="915" spans="11:13" ht="15.75" customHeight="1" x14ac:dyDescent="0.2">
      <c r="K915" s="59"/>
      <c r="M915" s="59"/>
    </row>
    <row r="916" spans="11:13" ht="15.75" customHeight="1" x14ac:dyDescent="0.2">
      <c r="K916" s="59"/>
      <c r="M916" s="59"/>
    </row>
    <row r="917" spans="11:13" ht="15.75" customHeight="1" x14ac:dyDescent="0.2">
      <c r="K917" s="59"/>
      <c r="M917" s="59"/>
    </row>
    <row r="918" spans="11:13" ht="15.75" customHeight="1" x14ac:dyDescent="0.2">
      <c r="K918" s="59"/>
      <c r="M918" s="59"/>
    </row>
    <row r="919" spans="11:13" ht="15.75" customHeight="1" x14ac:dyDescent="0.2">
      <c r="K919" s="59"/>
      <c r="M919" s="59"/>
    </row>
    <row r="920" spans="11:13" ht="15.75" customHeight="1" x14ac:dyDescent="0.2">
      <c r="K920" s="59"/>
      <c r="M920" s="59"/>
    </row>
    <row r="921" spans="11:13" ht="15.75" customHeight="1" x14ac:dyDescent="0.2">
      <c r="K921" s="59"/>
      <c r="M921" s="59"/>
    </row>
    <row r="922" spans="11:13" ht="15.75" customHeight="1" x14ac:dyDescent="0.2">
      <c r="K922" s="59"/>
      <c r="M922" s="59"/>
    </row>
    <row r="923" spans="11:13" ht="15.75" customHeight="1" x14ac:dyDescent="0.2">
      <c r="K923" s="59"/>
      <c r="M923" s="59"/>
    </row>
    <row r="924" spans="11:13" ht="15.75" customHeight="1" x14ac:dyDescent="0.2">
      <c r="K924" s="59"/>
      <c r="M924" s="59"/>
    </row>
    <row r="925" spans="11:13" ht="15.75" customHeight="1" x14ac:dyDescent="0.2">
      <c r="K925" s="59"/>
      <c r="M925" s="59"/>
    </row>
    <row r="926" spans="11:13" ht="15.75" customHeight="1" x14ac:dyDescent="0.2">
      <c r="K926" s="59"/>
      <c r="M926" s="59"/>
    </row>
    <row r="927" spans="11:13" ht="15.75" customHeight="1" x14ac:dyDescent="0.2">
      <c r="K927" s="59"/>
      <c r="M927" s="59"/>
    </row>
    <row r="928" spans="11:13" ht="15.75" customHeight="1" x14ac:dyDescent="0.2">
      <c r="K928" s="59"/>
      <c r="M928" s="59"/>
    </row>
    <row r="929" spans="11:13" ht="15.75" customHeight="1" x14ac:dyDescent="0.2">
      <c r="K929" s="59"/>
      <c r="M929" s="59"/>
    </row>
    <row r="930" spans="11:13" ht="15.75" customHeight="1" x14ac:dyDescent="0.2">
      <c r="K930" s="59"/>
      <c r="M930" s="59"/>
    </row>
    <row r="931" spans="11:13" ht="15.75" customHeight="1" x14ac:dyDescent="0.2">
      <c r="K931" s="59"/>
      <c r="M931" s="59"/>
    </row>
    <row r="932" spans="11:13" ht="15.75" customHeight="1" x14ac:dyDescent="0.2">
      <c r="K932" s="59"/>
      <c r="M932" s="59"/>
    </row>
    <row r="933" spans="11:13" ht="15.75" customHeight="1" x14ac:dyDescent="0.2">
      <c r="K933" s="59"/>
      <c r="M933" s="59"/>
    </row>
  </sheetData>
  <autoFilter ref="B1:U74" xr:uid="{00000000-0009-0000-0000-000003000000}"/>
  <conditionalFormatting sqref="G74">
    <cfRule type="expression" dxfId="2" priority="1">
      <formula>COUNTIF($H$2:H933,G74)&gt;1</formula>
    </cfRule>
  </conditionalFormatting>
  <conditionalFormatting sqref="H2:H73 H75:H933">
    <cfRule type="expression" dxfId="1" priority="2">
      <formula>COUNTIF($H$2:H933,H2)&gt;1</formula>
    </cfRule>
  </conditionalFormatting>
  <pageMargins left="0.7" right="0.7" top="0.75" bottom="0.75" header="0" footer="0"/>
  <pageSetup orientation="landscape"/>
  <extLst>
    <ext xmlns:x14="http://schemas.microsoft.com/office/spreadsheetml/2009/9/main" uri="{CCE6A557-97BC-4b89-ADB6-D9C93CAAB3DF}">
      <x14:dataValidations xmlns:xm="http://schemas.microsoft.com/office/excel/2006/main" count="2">
        <x14:dataValidation type="list" allowBlank="1" showErrorMessage="1" xr:uid="{00000000-0002-0000-0300-000000000000}">
          <x14:formula1>
            <xm:f>Referencias!$AH$5:$AH$11</xm:f>
          </x14:formula1>
          <xm:sqref>M2:M933</xm:sqref>
        </x14:dataValidation>
        <x14:dataValidation type="list" allowBlank="1" showErrorMessage="1" xr:uid="{00000000-0002-0000-0300-000001000000}">
          <x14:formula1>
            <xm:f>Referencias!$AJ$5:$AJ$15</xm:f>
          </x14:formula1>
          <xm:sqref>K51:K55 K58:K933</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6AA84F"/>
    <outlinePr summaryBelow="0" summaryRight="0"/>
  </sheetPr>
  <dimension ref="A1:AV995"/>
  <sheetViews>
    <sheetView workbookViewId="0">
      <pane ySplit="1" topLeftCell="A2" activePane="bottomLeft" state="frozen"/>
      <selection pane="bottomLeft" activeCell="E11" sqref="E11"/>
    </sheetView>
  </sheetViews>
  <sheetFormatPr baseColWidth="10" defaultColWidth="12.5703125" defaultRowHeight="15" customHeight="1" x14ac:dyDescent="0.2"/>
  <cols>
    <col min="2" max="2" width="30.5703125" customWidth="1"/>
    <col min="3" max="3" width="21.28515625" customWidth="1"/>
    <col min="5" max="9" width="15.85546875" customWidth="1"/>
    <col min="13" max="13" width="13.85546875" customWidth="1"/>
    <col min="14" max="14" width="12.7109375" customWidth="1"/>
    <col min="15" max="15" width="13.42578125" customWidth="1"/>
    <col min="16" max="16" width="14.42578125" customWidth="1"/>
    <col min="17" max="17" width="13.7109375" customWidth="1"/>
    <col min="18" max="18" width="14.5703125" customWidth="1"/>
  </cols>
  <sheetData>
    <row r="1" spans="1:48" ht="39" customHeight="1" x14ac:dyDescent="0.2">
      <c r="A1" s="172" t="s">
        <v>1081</v>
      </c>
      <c r="B1" s="173" t="s">
        <v>1082</v>
      </c>
      <c r="C1" s="173" t="s">
        <v>1083</v>
      </c>
      <c r="D1" s="173" t="s">
        <v>1084</v>
      </c>
      <c r="E1" s="173" t="s">
        <v>1085</v>
      </c>
      <c r="F1" s="174" t="s">
        <v>1086</v>
      </c>
      <c r="G1" s="174" t="s">
        <v>1087</v>
      </c>
      <c r="H1" s="174" t="s">
        <v>1088</v>
      </c>
      <c r="I1" s="174" t="s">
        <v>1089</v>
      </c>
      <c r="J1" s="174" t="s">
        <v>1090</v>
      </c>
      <c r="K1" s="174" t="s">
        <v>53</v>
      </c>
      <c r="L1" s="174" t="s">
        <v>54</v>
      </c>
      <c r="M1" s="174" t="s">
        <v>1091</v>
      </c>
      <c r="N1" s="174" t="s">
        <v>1092</v>
      </c>
      <c r="O1" s="42" t="s">
        <v>58</v>
      </c>
      <c r="P1" s="42" t="s">
        <v>59</v>
      </c>
      <c r="Q1" s="42" t="s">
        <v>60</v>
      </c>
      <c r="R1" s="42" t="s">
        <v>61</v>
      </c>
      <c r="S1" s="60"/>
      <c r="T1" s="60"/>
      <c r="U1" s="60"/>
      <c r="V1" s="60"/>
      <c r="W1" s="60"/>
      <c r="X1" s="60"/>
      <c r="Y1" s="60"/>
      <c r="Z1" s="60"/>
      <c r="AA1" s="60"/>
      <c r="AB1" s="60"/>
      <c r="AC1" s="60"/>
      <c r="AD1" s="60"/>
      <c r="AE1" s="60"/>
      <c r="AF1" s="60"/>
      <c r="AG1" s="60"/>
      <c r="AH1" s="60"/>
      <c r="AI1" s="60"/>
      <c r="AJ1" s="60"/>
      <c r="AK1" s="60"/>
      <c r="AL1" s="60"/>
      <c r="AM1" s="60"/>
      <c r="AN1" s="60"/>
      <c r="AO1" s="60"/>
      <c r="AP1" s="60"/>
      <c r="AQ1" s="60"/>
      <c r="AR1" s="60"/>
      <c r="AS1" s="60"/>
      <c r="AT1" s="60"/>
      <c r="AU1" s="60"/>
      <c r="AV1" s="60"/>
    </row>
    <row r="2" spans="1:48" ht="15.75" customHeight="1" x14ac:dyDescent="0.2">
      <c r="A2" s="78">
        <v>1</v>
      </c>
      <c r="B2" s="50" t="s">
        <v>66</v>
      </c>
      <c r="C2" s="50" t="s">
        <v>67</v>
      </c>
      <c r="D2" s="96" t="s">
        <v>1093</v>
      </c>
      <c r="E2" s="96"/>
      <c r="H2" s="46"/>
      <c r="I2" s="50"/>
      <c r="K2" s="175"/>
      <c r="L2" s="175"/>
      <c r="O2" s="48" t="s">
        <v>139</v>
      </c>
      <c r="P2" s="153">
        <v>46062</v>
      </c>
      <c r="Q2" s="59" t="s">
        <v>70</v>
      </c>
      <c r="R2" s="48" t="s">
        <v>140</v>
      </c>
    </row>
    <row r="3" spans="1:48" ht="15.75" customHeight="1" x14ac:dyDescent="0.2">
      <c r="A3" s="78">
        <v>2</v>
      </c>
      <c r="B3" s="50" t="s">
        <v>66</v>
      </c>
      <c r="C3" s="50" t="s">
        <v>67</v>
      </c>
      <c r="D3" s="96" t="s">
        <v>1093</v>
      </c>
      <c r="E3" s="96"/>
      <c r="G3" s="96"/>
      <c r="H3" s="46"/>
      <c r="K3" s="175"/>
      <c r="L3" s="175"/>
      <c r="M3" s="59"/>
      <c r="O3" s="48" t="s">
        <v>139</v>
      </c>
      <c r="P3" s="153">
        <v>46062</v>
      </c>
      <c r="Q3" s="59" t="s">
        <v>70</v>
      </c>
      <c r="R3" s="48" t="s">
        <v>140</v>
      </c>
    </row>
    <row r="4" spans="1:48" ht="15.75" customHeight="1" x14ac:dyDescent="0.2">
      <c r="A4" s="78">
        <v>3</v>
      </c>
      <c r="B4" s="50" t="s">
        <v>66</v>
      </c>
      <c r="C4" s="50" t="s">
        <v>67</v>
      </c>
      <c r="D4" s="96" t="s">
        <v>1093</v>
      </c>
      <c r="E4" s="96"/>
      <c r="G4" s="96"/>
      <c r="H4" s="46"/>
      <c r="K4" s="175"/>
      <c r="L4" s="175"/>
      <c r="M4" s="59"/>
      <c r="O4" s="48" t="s">
        <v>139</v>
      </c>
      <c r="P4" s="153">
        <v>46062</v>
      </c>
      <c r="Q4" s="59" t="s">
        <v>70</v>
      </c>
      <c r="R4" s="48" t="s">
        <v>140</v>
      </c>
    </row>
    <row r="5" spans="1:48" ht="15.75" customHeight="1" x14ac:dyDescent="0.2">
      <c r="A5" s="78">
        <v>4</v>
      </c>
      <c r="B5" s="50" t="s">
        <v>66</v>
      </c>
      <c r="C5" s="50" t="s">
        <v>67</v>
      </c>
      <c r="D5" s="96" t="s">
        <v>1093</v>
      </c>
      <c r="E5" s="96"/>
      <c r="H5" s="46"/>
      <c r="K5" s="175"/>
      <c r="L5" s="175"/>
      <c r="O5" s="48" t="s">
        <v>139</v>
      </c>
      <c r="P5" s="153">
        <v>46062</v>
      </c>
      <c r="Q5" s="59" t="s">
        <v>70</v>
      </c>
      <c r="R5" s="48" t="s">
        <v>140</v>
      </c>
    </row>
    <row r="6" spans="1:48" ht="15.75" customHeight="1" x14ac:dyDescent="0.2">
      <c r="A6" s="78">
        <v>5</v>
      </c>
      <c r="B6" s="50" t="s">
        <v>66</v>
      </c>
      <c r="C6" s="50" t="s">
        <v>67</v>
      </c>
      <c r="D6" s="96" t="s">
        <v>1093</v>
      </c>
      <c r="E6" s="96"/>
      <c r="H6" s="46"/>
      <c r="K6" s="175"/>
      <c r="L6" s="175"/>
      <c r="O6" s="48" t="s">
        <v>139</v>
      </c>
      <c r="P6" s="153">
        <v>46062</v>
      </c>
      <c r="Q6" s="59" t="s">
        <v>70</v>
      </c>
      <c r="R6" s="48" t="s">
        <v>140</v>
      </c>
    </row>
    <row r="7" spans="1:48" ht="15.75" customHeight="1" x14ac:dyDescent="0.2">
      <c r="A7" s="78">
        <v>6</v>
      </c>
      <c r="B7" s="50" t="s">
        <v>66</v>
      </c>
      <c r="C7" s="50" t="s">
        <v>67</v>
      </c>
      <c r="D7" s="96" t="s">
        <v>1093</v>
      </c>
      <c r="E7" s="96"/>
      <c r="H7" s="50"/>
      <c r="K7" s="175"/>
      <c r="L7" s="175"/>
      <c r="O7" s="48" t="s">
        <v>139</v>
      </c>
      <c r="P7" s="153">
        <v>46062</v>
      </c>
      <c r="Q7" s="59" t="s">
        <v>70</v>
      </c>
      <c r="R7" s="48" t="s">
        <v>140</v>
      </c>
    </row>
    <row r="8" spans="1:48" ht="15.75" customHeight="1" x14ac:dyDescent="0.2">
      <c r="A8" s="78">
        <v>7</v>
      </c>
      <c r="B8" s="50" t="s">
        <v>66</v>
      </c>
      <c r="C8" s="50" t="s">
        <v>67</v>
      </c>
      <c r="D8" s="96" t="s">
        <v>1093</v>
      </c>
      <c r="E8" s="96"/>
      <c r="H8" s="50"/>
      <c r="K8" s="175"/>
      <c r="L8" s="175"/>
      <c r="M8" s="59"/>
      <c r="O8" s="48" t="s">
        <v>139</v>
      </c>
      <c r="P8" s="153">
        <v>46062</v>
      </c>
      <c r="Q8" s="59" t="s">
        <v>70</v>
      </c>
      <c r="R8" s="48" t="s">
        <v>140</v>
      </c>
    </row>
    <row r="9" spans="1:48" ht="15.75" customHeight="1" x14ac:dyDescent="0.2">
      <c r="A9" s="78">
        <v>8</v>
      </c>
      <c r="B9" s="50" t="s">
        <v>66</v>
      </c>
      <c r="C9" s="50" t="s">
        <v>67</v>
      </c>
      <c r="D9" s="96" t="s">
        <v>1093</v>
      </c>
      <c r="E9" s="96"/>
      <c r="G9" s="59"/>
      <c r="H9" s="50"/>
      <c r="K9" s="175"/>
      <c r="L9" s="175"/>
      <c r="M9" s="59"/>
      <c r="O9" s="48" t="s">
        <v>139</v>
      </c>
      <c r="P9" s="153">
        <v>46062</v>
      </c>
      <c r="Q9" s="59" t="s">
        <v>70</v>
      </c>
      <c r="R9" s="48" t="s">
        <v>140</v>
      </c>
    </row>
    <row r="10" spans="1:48" ht="15.75" customHeight="1" x14ac:dyDescent="0.2">
      <c r="A10" s="78">
        <v>9</v>
      </c>
      <c r="B10" s="50" t="s">
        <v>66</v>
      </c>
      <c r="C10" s="50" t="s">
        <v>67</v>
      </c>
      <c r="D10" s="96" t="s">
        <v>1093</v>
      </c>
      <c r="H10" s="50"/>
      <c r="K10" s="175"/>
      <c r="L10" s="175"/>
      <c r="O10" s="48" t="s">
        <v>139</v>
      </c>
      <c r="P10" s="153">
        <v>46062</v>
      </c>
      <c r="Q10" s="59" t="s">
        <v>70</v>
      </c>
      <c r="R10" s="48" t="s">
        <v>140</v>
      </c>
    </row>
    <row r="11" spans="1:48" ht="15.75" customHeight="1" x14ac:dyDescent="0.2">
      <c r="A11" s="78">
        <v>10</v>
      </c>
      <c r="B11" s="50" t="s">
        <v>66</v>
      </c>
      <c r="C11" s="50" t="s">
        <v>67</v>
      </c>
      <c r="D11" s="96" t="s">
        <v>1093</v>
      </c>
      <c r="H11" s="50"/>
      <c r="K11" s="175"/>
      <c r="L11" s="175"/>
      <c r="O11" s="48" t="s">
        <v>139</v>
      </c>
      <c r="P11" s="153">
        <v>46062</v>
      </c>
      <c r="Q11" s="59" t="s">
        <v>70</v>
      </c>
      <c r="R11" s="48" t="s">
        <v>140</v>
      </c>
    </row>
    <row r="12" spans="1:48" ht="15.75" customHeight="1" x14ac:dyDescent="0.2">
      <c r="A12" s="78">
        <v>11</v>
      </c>
      <c r="B12" s="50" t="s">
        <v>66</v>
      </c>
      <c r="C12" s="50" t="s">
        <v>67</v>
      </c>
      <c r="D12" s="96" t="s">
        <v>1093</v>
      </c>
      <c r="H12" s="50"/>
      <c r="K12" s="175"/>
      <c r="L12" s="175"/>
      <c r="M12" s="59"/>
      <c r="O12" s="48" t="s">
        <v>139</v>
      </c>
      <c r="P12" s="153">
        <v>46062</v>
      </c>
      <c r="Q12" s="59" t="s">
        <v>70</v>
      </c>
      <c r="R12" s="48" t="s">
        <v>140</v>
      </c>
    </row>
    <row r="13" spans="1:48" ht="15.75" customHeight="1" x14ac:dyDescent="0.2">
      <c r="A13" s="78">
        <v>12</v>
      </c>
      <c r="B13" s="50" t="s">
        <v>66</v>
      </c>
      <c r="C13" s="50" t="s">
        <v>67</v>
      </c>
      <c r="D13" s="96" t="s">
        <v>1093</v>
      </c>
      <c r="H13" s="50"/>
      <c r="K13" s="175"/>
      <c r="L13" s="175"/>
      <c r="M13" s="59"/>
      <c r="O13" s="48" t="s">
        <v>139</v>
      </c>
      <c r="P13" s="153">
        <v>46062</v>
      </c>
      <c r="Q13" s="59" t="s">
        <v>70</v>
      </c>
      <c r="R13" s="48" t="s">
        <v>140</v>
      </c>
    </row>
    <row r="14" spans="1:48" ht="15.75" customHeight="1" x14ac:dyDescent="0.2">
      <c r="A14" s="78">
        <v>13</v>
      </c>
      <c r="B14" s="50" t="s">
        <v>66</v>
      </c>
      <c r="C14" s="50" t="s">
        <v>67</v>
      </c>
      <c r="D14" s="96" t="s">
        <v>1093</v>
      </c>
      <c r="H14" s="50"/>
      <c r="K14" s="176"/>
      <c r="L14" s="176"/>
      <c r="M14" s="59"/>
      <c r="O14" s="48" t="s">
        <v>139</v>
      </c>
      <c r="P14" s="153">
        <v>46062</v>
      </c>
      <c r="Q14" s="59" t="s">
        <v>70</v>
      </c>
      <c r="R14" s="48" t="s">
        <v>140</v>
      </c>
    </row>
    <row r="15" spans="1:48" ht="15.75" customHeight="1" x14ac:dyDescent="0.2">
      <c r="A15" s="78">
        <v>14</v>
      </c>
      <c r="B15" s="50" t="s">
        <v>66</v>
      </c>
      <c r="C15" s="50" t="s">
        <v>67</v>
      </c>
      <c r="D15" s="96" t="s">
        <v>1093</v>
      </c>
      <c r="H15" s="50"/>
      <c r="K15" s="175"/>
      <c r="L15" s="175"/>
      <c r="M15" s="59"/>
      <c r="O15" s="48" t="s">
        <v>139</v>
      </c>
      <c r="P15" s="153">
        <v>46062</v>
      </c>
      <c r="Q15" s="59" t="s">
        <v>70</v>
      </c>
      <c r="R15" s="48" t="s">
        <v>140</v>
      </c>
    </row>
    <row r="16" spans="1:48" ht="15.75" customHeight="1" x14ac:dyDescent="0.2">
      <c r="A16" s="78">
        <v>15</v>
      </c>
      <c r="B16" s="50" t="s">
        <v>66</v>
      </c>
      <c r="C16" s="50" t="s">
        <v>67</v>
      </c>
      <c r="D16" s="96" t="s">
        <v>1093</v>
      </c>
      <c r="H16" s="50"/>
      <c r="K16" s="175"/>
      <c r="L16" s="175"/>
      <c r="O16" s="48" t="s">
        <v>139</v>
      </c>
      <c r="P16" s="153">
        <v>46062</v>
      </c>
      <c r="Q16" s="59" t="s">
        <v>70</v>
      </c>
      <c r="R16" s="48" t="s">
        <v>140</v>
      </c>
    </row>
    <row r="17" spans="1:18" ht="15.75" customHeight="1" x14ac:dyDescent="0.2">
      <c r="A17" s="78">
        <v>16</v>
      </c>
      <c r="B17" s="50" t="s">
        <v>66</v>
      </c>
      <c r="C17" s="50" t="s">
        <v>67</v>
      </c>
      <c r="D17" s="96" t="s">
        <v>1093</v>
      </c>
      <c r="H17" s="50"/>
      <c r="K17" s="175"/>
      <c r="L17" s="175"/>
      <c r="M17" s="59"/>
      <c r="O17" s="48" t="s">
        <v>139</v>
      </c>
      <c r="P17" s="153">
        <v>46062</v>
      </c>
      <c r="Q17" s="59" t="s">
        <v>70</v>
      </c>
      <c r="R17" s="48" t="s">
        <v>140</v>
      </c>
    </row>
    <row r="18" spans="1:18" ht="15.75" customHeight="1" x14ac:dyDescent="0.2">
      <c r="A18" s="78">
        <v>17</v>
      </c>
      <c r="B18" s="50" t="s">
        <v>66</v>
      </c>
      <c r="C18" s="50" t="s">
        <v>67</v>
      </c>
      <c r="D18" s="96" t="s">
        <v>1093</v>
      </c>
      <c r="H18" s="50"/>
      <c r="K18" s="175"/>
      <c r="L18" s="175"/>
      <c r="M18" s="59"/>
      <c r="O18" s="48" t="s">
        <v>139</v>
      </c>
      <c r="P18" s="153">
        <v>46062</v>
      </c>
      <c r="Q18" s="59" t="s">
        <v>70</v>
      </c>
      <c r="R18" s="48" t="s">
        <v>140</v>
      </c>
    </row>
    <row r="19" spans="1:18" ht="15.75" customHeight="1" x14ac:dyDescent="0.2">
      <c r="A19" s="78">
        <v>18</v>
      </c>
      <c r="B19" s="50" t="s">
        <v>66</v>
      </c>
      <c r="C19" s="50" t="s">
        <v>67</v>
      </c>
      <c r="D19" s="96" t="s">
        <v>1093</v>
      </c>
      <c r="H19" s="50"/>
      <c r="K19" s="177"/>
      <c r="L19" s="175"/>
      <c r="M19" s="59"/>
      <c r="O19" s="48" t="s">
        <v>139</v>
      </c>
      <c r="P19" s="153">
        <v>46062</v>
      </c>
      <c r="Q19" s="59" t="s">
        <v>70</v>
      </c>
      <c r="R19" s="48" t="s">
        <v>140</v>
      </c>
    </row>
    <row r="20" spans="1:18" ht="15.75" customHeight="1" x14ac:dyDescent="0.2">
      <c r="A20" s="78">
        <v>19</v>
      </c>
      <c r="B20" s="50" t="s">
        <v>66</v>
      </c>
      <c r="C20" s="50" t="s">
        <v>67</v>
      </c>
      <c r="D20" s="96" t="s">
        <v>1093</v>
      </c>
      <c r="H20" s="50"/>
      <c r="K20" s="175"/>
      <c r="L20" s="175"/>
      <c r="O20" s="48" t="s">
        <v>139</v>
      </c>
      <c r="P20" s="153">
        <v>46062</v>
      </c>
      <c r="Q20" s="59" t="s">
        <v>70</v>
      </c>
      <c r="R20" s="48" t="s">
        <v>140</v>
      </c>
    </row>
    <row r="21" spans="1:18" ht="15.75" customHeight="1" x14ac:dyDescent="0.2">
      <c r="A21" s="78">
        <v>20</v>
      </c>
      <c r="B21" s="50" t="s">
        <v>66</v>
      </c>
      <c r="C21" s="50" t="s">
        <v>67</v>
      </c>
      <c r="D21" s="96" t="s">
        <v>1093</v>
      </c>
      <c r="H21" s="50"/>
      <c r="K21" s="175"/>
      <c r="L21" s="175"/>
      <c r="O21" s="48" t="s">
        <v>139</v>
      </c>
      <c r="P21" s="153">
        <v>46062</v>
      </c>
      <c r="Q21" s="59" t="s">
        <v>70</v>
      </c>
      <c r="R21" s="48" t="s">
        <v>140</v>
      </c>
    </row>
    <row r="22" spans="1:18" ht="15.75" customHeight="1" x14ac:dyDescent="0.2">
      <c r="A22" s="78">
        <v>21</v>
      </c>
      <c r="B22" s="50" t="s">
        <v>66</v>
      </c>
      <c r="C22" s="50" t="s">
        <v>67</v>
      </c>
      <c r="D22" s="96" t="s">
        <v>1093</v>
      </c>
      <c r="H22" s="50"/>
      <c r="K22" s="175"/>
      <c r="L22" s="175"/>
      <c r="M22" s="59"/>
      <c r="O22" s="48" t="s">
        <v>139</v>
      </c>
      <c r="P22" s="153">
        <v>46062</v>
      </c>
      <c r="Q22" s="59" t="s">
        <v>70</v>
      </c>
      <c r="R22" s="48" t="s">
        <v>140</v>
      </c>
    </row>
    <row r="23" spans="1:18" ht="15.75" customHeight="1" x14ac:dyDescent="0.2">
      <c r="A23" s="78">
        <v>22</v>
      </c>
      <c r="B23" s="50" t="s">
        <v>66</v>
      </c>
      <c r="C23" s="50" t="s">
        <v>67</v>
      </c>
      <c r="D23" s="96" t="s">
        <v>1093</v>
      </c>
      <c r="H23" s="50"/>
      <c r="K23" s="175"/>
      <c r="L23" s="175"/>
      <c r="M23" s="59"/>
      <c r="O23" s="48" t="s">
        <v>139</v>
      </c>
      <c r="P23" s="153">
        <v>46062</v>
      </c>
      <c r="Q23" s="59" t="s">
        <v>70</v>
      </c>
      <c r="R23" s="48" t="s">
        <v>140</v>
      </c>
    </row>
    <row r="24" spans="1:18" ht="15.75" customHeight="1" x14ac:dyDescent="0.2">
      <c r="A24" s="78">
        <v>23</v>
      </c>
      <c r="B24" s="50" t="s">
        <v>66</v>
      </c>
      <c r="C24" s="50" t="s">
        <v>67</v>
      </c>
      <c r="D24" s="96" t="s">
        <v>1093</v>
      </c>
      <c r="H24" s="50"/>
      <c r="K24" s="175"/>
      <c r="L24" s="175"/>
      <c r="M24" s="59"/>
      <c r="O24" s="48" t="s">
        <v>139</v>
      </c>
      <c r="P24" s="153">
        <v>46062</v>
      </c>
      <c r="Q24" s="59" t="s">
        <v>70</v>
      </c>
      <c r="R24" s="48" t="s">
        <v>140</v>
      </c>
    </row>
    <row r="25" spans="1:18" ht="15.75" customHeight="1" x14ac:dyDescent="0.2">
      <c r="A25" s="78">
        <v>24</v>
      </c>
      <c r="B25" s="50" t="s">
        <v>66</v>
      </c>
      <c r="C25" s="50" t="s">
        <v>67</v>
      </c>
      <c r="D25" s="96" t="s">
        <v>1093</v>
      </c>
      <c r="G25" s="59"/>
      <c r="H25" s="50"/>
      <c r="K25" s="175"/>
      <c r="L25" s="175"/>
      <c r="O25" s="48" t="s">
        <v>139</v>
      </c>
      <c r="P25" s="153">
        <v>46062</v>
      </c>
      <c r="Q25" s="59" t="s">
        <v>70</v>
      </c>
      <c r="R25" s="48" t="s">
        <v>140</v>
      </c>
    </row>
    <row r="26" spans="1:18" ht="15.75" customHeight="1" x14ac:dyDescent="0.2">
      <c r="A26" s="78">
        <v>25</v>
      </c>
      <c r="B26" s="50" t="s">
        <v>66</v>
      </c>
      <c r="C26" s="50" t="s">
        <v>67</v>
      </c>
      <c r="D26" s="96" t="s">
        <v>1093</v>
      </c>
      <c r="G26" s="59"/>
      <c r="H26" s="50"/>
      <c r="K26" s="175"/>
      <c r="L26" s="175"/>
      <c r="M26" s="59"/>
      <c r="O26" s="48" t="s">
        <v>139</v>
      </c>
      <c r="P26" s="153">
        <v>46062</v>
      </c>
      <c r="Q26" s="59" t="s">
        <v>70</v>
      </c>
      <c r="R26" s="48" t="s">
        <v>140</v>
      </c>
    </row>
    <row r="27" spans="1:18" ht="15.75" customHeight="1" x14ac:dyDescent="0.2">
      <c r="A27" s="78">
        <v>26</v>
      </c>
      <c r="B27" s="50" t="s">
        <v>66</v>
      </c>
      <c r="C27" s="50" t="s">
        <v>67</v>
      </c>
      <c r="D27" s="96" t="s">
        <v>1093</v>
      </c>
      <c r="G27" s="59"/>
      <c r="H27" s="50"/>
      <c r="K27" s="175"/>
      <c r="L27" s="175"/>
      <c r="M27" s="59"/>
      <c r="O27" s="48" t="s">
        <v>139</v>
      </c>
      <c r="P27" s="153">
        <v>46062</v>
      </c>
      <c r="Q27" s="59" t="s">
        <v>70</v>
      </c>
      <c r="R27" s="48" t="s">
        <v>140</v>
      </c>
    </row>
    <row r="28" spans="1:18" ht="15.75" customHeight="1" x14ac:dyDescent="0.2">
      <c r="A28" s="78">
        <v>27</v>
      </c>
      <c r="B28" s="50" t="s">
        <v>66</v>
      </c>
      <c r="C28" s="50" t="s">
        <v>67</v>
      </c>
      <c r="D28" s="96" t="s">
        <v>1093</v>
      </c>
      <c r="H28" s="50"/>
      <c r="K28" s="175"/>
      <c r="L28" s="175"/>
      <c r="M28" s="59"/>
      <c r="O28" s="48" t="s">
        <v>139</v>
      </c>
      <c r="P28" s="153">
        <v>46062</v>
      </c>
      <c r="Q28" s="59" t="s">
        <v>70</v>
      </c>
      <c r="R28" s="48" t="s">
        <v>140</v>
      </c>
    </row>
    <row r="29" spans="1:18" ht="15.75" customHeight="1" x14ac:dyDescent="0.2">
      <c r="A29" s="78">
        <v>28</v>
      </c>
      <c r="B29" s="50" t="s">
        <v>66</v>
      </c>
      <c r="C29" s="50" t="s">
        <v>67</v>
      </c>
      <c r="D29" s="96" t="s">
        <v>1093</v>
      </c>
      <c r="H29" s="50"/>
      <c r="K29" s="175"/>
      <c r="L29" s="175"/>
      <c r="M29" s="59"/>
      <c r="O29" s="48" t="s">
        <v>139</v>
      </c>
      <c r="P29" s="153">
        <v>46062</v>
      </c>
      <c r="Q29" s="59" t="s">
        <v>70</v>
      </c>
      <c r="R29" s="48" t="s">
        <v>140</v>
      </c>
    </row>
    <row r="30" spans="1:18" ht="15.75" customHeight="1" x14ac:dyDescent="0.2">
      <c r="A30" s="78">
        <v>29</v>
      </c>
      <c r="B30" s="50" t="s">
        <v>66</v>
      </c>
      <c r="C30" s="50" t="s">
        <v>67</v>
      </c>
      <c r="D30" s="96" t="s">
        <v>1093</v>
      </c>
      <c r="G30" s="59"/>
      <c r="H30" s="50"/>
      <c r="K30" s="175"/>
      <c r="L30" s="175"/>
      <c r="M30" s="59"/>
      <c r="O30" s="48" t="s">
        <v>139</v>
      </c>
      <c r="P30" s="153">
        <v>46062</v>
      </c>
      <c r="Q30" s="59" t="s">
        <v>70</v>
      </c>
      <c r="R30" s="48" t="s">
        <v>140</v>
      </c>
    </row>
    <row r="31" spans="1:18" ht="15.75" customHeight="1" x14ac:dyDescent="0.2">
      <c r="A31" s="78">
        <v>30</v>
      </c>
      <c r="B31" s="50" t="s">
        <v>66</v>
      </c>
      <c r="C31" s="50" t="s">
        <v>67</v>
      </c>
      <c r="D31" s="96" t="s">
        <v>1093</v>
      </c>
      <c r="G31" s="59"/>
      <c r="H31" s="50"/>
      <c r="K31" s="175"/>
      <c r="L31" s="175"/>
      <c r="M31" s="59"/>
      <c r="O31" s="48" t="s">
        <v>139</v>
      </c>
      <c r="P31" s="153">
        <v>46062</v>
      </c>
      <c r="Q31" s="59" t="s">
        <v>70</v>
      </c>
      <c r="R31" s="48" t="s">
        <v>140</v>
      </c>
    </row>
    <row r="32" spans="1:18" ht="15.75" customHeight="1" x14ac:dyDescent="0.2">
      <c r="A32" s="78">
        <v>31</v>
      </c>
      <c r="B32" s="50" t="s">
        <v>66</v>
      </c>
      <c r="C32" s="50" t="s">
        <v>67</v>
      </c>
      <c r="D32" s="96" t="s">
        <v>1093</v>
      </c>
      <c r="H32" s="50"/>
      <c r="K32" s="175"/>
      <c r="L32" s="175"/>
      <c r="M32" s="59"/>
      <c r="O32" s="48" t="s">
        <v>139</v>
      </c>
      <c r="P32" s="153">
        <v>46062</v>
      </c>
      <c r="Q32" s="59" t="s">
        <v>70</v>
      </c>
      <c r="R32" s="48" t="s">
        <v>140</v>
      </c>
    </row>
    <row r="33" spans="1:18" ht="15.75" customHeight="1" x14ac:dyDescent="0.2">
      <c r="A33" s="78">
        <v>32</v>
      </c>
      <c r="B33" s="50" t="s">
        <v>66</v>
      </c>
      <c r="C33" s="50" t="s">
        <v>67</v>
      </c>
      <c r="D33" s="96" t="s">
        <v>1093</v>
      </c>
      <c r="G33" s="59"/>
      <c r="H33" s="50"/>
      <c r="K33" s="175"/>
      <c r="L33" s="175"/>
      <c r="O33" s="48" t="s">
        <v>139</v>
      </c>
      <c r="P33" s="153">
        <v>46062</v>
      </c>
      <c r="Q33" s="59" t="s">
        <v>70</v>
      </c>
      <c r="R33" s="48" t="s">
        <v>140</v>
      </c>
    </row>
    <row r="34" spans="1:18" ht="15.75" customHeight="1" x14ac:dyDescent="0.2">
      <c r="A34" s="78">
        <v>33</v>
      </c>
      <c r="B34" s="50" t="s">
        <v>66</v>
      </c>
      <c r="C34" s="50" t="s">
        <v>67</v>
      </c>
      <c r="D34" s="96" t="s">
        <v>1093</v>
      </c>
      <c r="H34" s="50"/>
      <c r="K34" s="175"/>
      <c r="L34" s="175"/>
      <c r="M34" s="59"/>
      <c r="O34" s="48" t="s">
        <v>139</v>
      </c>
      <c r="P34" s="153">
        <v>46062</v>
      </c>
      <c r="Q34" s="59" t="s">
        <v>70</v>
      </c>
      <c r="R34" s="48" t="s">
        <v>140</v>
      </c>
    </row>
    <row r="35" spans="1:18" ht="15.75" customHeight="1" x14ac:dyDescent="0.2">
      <c r="A35" s="78">
        <v>34</v>
      </c>
      <c r="B35" s="50" t="s">
        <v>66</v>
      </c>
      <c r="C35" s="50" t="s">
        <v>67</v>
      </c>
      <c r="D35" s="96" t="s">
        <v>1093</v>
      </c>
      <c r="H35" s="50"/>
      <c r="K35" s="175"/>
      <c r="L35" s="175"/>
      <c r="O35" s="48" t="s">
        <v>139</v>
      </c>
      <c r="P35" s="153">
        <v>46062</v>
      </c>
      <c r="Q35" s="59" t="s">
        <v>70</v>
      </c>
      <c r="R35" s="48" t="s">
        <v>140</v>
      </c>
    </row>
    <row r="36" spans="1:18" ht="15.75" customHeight="1" x14ac:dyDescent="0.2">
      <c r="A36" s="78">
        <v>35</v>
      </c>
      <c r="B36" s="50" t="s">
        <v>66</v>
      </c>
      <c r="C36" s="50" t="s">
        <v>67</v>
      </c>
      <c r="D36" s="96" t="s">
        <v>1093</v>
      </c>
      <c r="H36" s="50"/>
      <c r="K36" s="175"/>
      <c r="L36" s="175"/>
      <c r="M36" s="59"/>
      <c r="O36" s="48" t="s">
        <v>139</v>
      </c>
      <c r="P36" s="153">
        <v>46062</v>
      </c>
      <c r="Q36" s="59" t="s">
        <v>70</v>
      </c>
      <c r="R36" s="48" t="s">
        <v>140</v>
      </c>
    </row>
    <row r="37" spans="1:18" ht="15.75" customHeight="1" x14ac:dyDescent="0.2">
      <c r="A37" s="78">
        <v>36</v>
      </c>
      <c r="B37" s="50" t="s">
        <v>66</v>
      </c>
      <c r="C37" s="50" t="s">
        <v>67</v>
      </c>
      <c r="D37" s="96" t="s">
        <v>1093</v>
      </c>
      <c r="G37" s="59"/>
      <c r="H37" s="50"/>
      <c r="K37" s="175"/>
      <c r="L37" s="175"/>
      <c r="O37" s="48" t="s">
        <v>139</v>
      </c>
      <c r="P37" s="153">
        <v>46062</v>
      </c>
      <c r="Q37" s="59" t="s">
        <v>70</v>
      </c>
      <c r="R37" s="48" t="s">
        <v>140</v>
      </c>
    </row>
    <row r="38" spans="1:18" ht="15.75" customHeight="1" x14ac:dyDescent="0.2">
      <c r="A38" s="78">
        <v>37</v>
      </c>
      <c r="B38" s="50" t="s">
        <v>66</v>
      </c>
      <c r="C38" s="50" t="s">
        <v>67</v>
      </c>
      <c r="D38" s="96" t="s">
        <v>1093</v>
      </c>
      <c r="E38" s="46"/>
      <c r="F38" s="46"/>
      <c r="G38" s="46"/>
      <c r="H38" s="46"/>
      <c r="I38" s="46"/>
      <c r="K38" s="175"/>
      <c r="L38" s="175"/>
      <c r="M38" s="59"/>
      <c r="O38" s="48" t="s">
        <v>139</v>
      </c>
      <c r="P38" s="153">
        <v>46062</v>
      </c>
      <c r="Q38" s="59" t="s">
        <v>70</v>
      </c>
      <c r="R38" s="48" t="s">
        <v>140</v>
      </c>
    </row>
    <row r="39" spans="1:18" ht="15.75" customHeight="1" x14ac:dyDescent="0.2">
      <c r="A39" s="78">
        <v>38</v>
      </c>
      <c r="B39" s="50" t="s">
        <v>66</v>
      </c>
      <c r="C39" s="50" t="s">
        <v>67</v>
      </c>
      <c r="D39" s="96" t="s">
        <v>1093</v>
      </c>
      <c r="G39" s="59"/>
      <c r="H39" s="50"/>
      <c r="K39" s="175"/>
      <c r="L39" s="175"/>
      <c r="M39" s="59"/>
      <c r="O39" s="48" t="s">
        <v>139</v>
      </c>
      <c r="P39" s="153">
        <v>46062</v>
      </c>
      <c r="Q39" s="59" t="s">
        <v>70</v>
      </c>
      <c r="R39" s="48" t="s">
        <v>140</v>
      </c>
    </row>
    <row r="40" spans="1:18" ht="15.75" customHeight="1" x14ac:dyDescent="0.2">
      <c r="A40" s="78">
        <v>39</v>
      </c>
      <c r="B40" s="50" t="s">
        <v>66</v>
      </c>
      <c r="C40" s="50" t="s">
        <v>67</v>
      </c>
      <c r="D40" s="96" t="s">
        <v>1093</v>
      </c>
      <c r="G40" s="59"/>
      <c r="H40" s="50"/>
      <c r="K40" s="175"/>
      <c r="L40" s="175"/>
      <c r="M40" s="59"/>
      <c r="O40" s="48" t="s">
        <v>139</v>
      </c>
      <c r="P40" s="153">
        <v>46062</v>
      </c>
      <c r="Q40" s="59" t="s">
        <v>70</v>
      </c>
      <c r="R40" s="48" t="s">
        <v>140</v>
      </c>
    </row>
    <row r="41" spans="1:18" ht="15.75" customHeight="1" x14ac:dyDescent="0.2">
      <c r="A41" s="78">
        <v>40</v>
      </c>
      <c r="B41" s="50" t="s">
        <v>66</v>
      </c>
      <c r="C41" s="50" t="s">
        <v>67</v>
      </c>
      <c r="D41" s="96" t="s">
        <v>1093</v>
      </c>
      <c r="G41" s="59"/>
      <c r="H41" s="50"/>
      <c r="K41" s="175"/>
      <c r="L41" s="175"/>
      <c r="M41" s="59"/>
      <c r="O41" s="48" t="s">
        <v>139</v>
      </c>
      <c r="P41" s="153">
        <v>46062</v>
      </c>
      <c r="Q41" s="59" t="s">
        <v>70</v>
      </c>
      <c r="R41" s="48" t="s">
        <v>140</v>
      </c>
    </row>
    <row r="42" spans="1:18" ht="15.75" customHeight="1" x14ac:dyDescent="0.2">
      <c r="A42" s="78">
        <v>41</v>
      </c>
      <c r="B42" s="50" t="s">
        <v>66</v>
      </c>
      <c r="C42" s="50" t="s">
        <v>67</v>
      </c>
      <c r="D42" s="96" t="s">
        <v>1093</v>
      </c>
      <c r="G42" s="59"/>
      <c r="H42" s="50"/>
      <c r="K42" s="175"/>
      <c r="L42" s="175"/>
      <c r="M42" s="59"/>
      <c r="O42" s="48" t="s">
        <v>139</v>
      </c>
      <c r="P42" s="153">
        <v>46062</v>
      </c>
      <c r="Q42" s="59" t="s">
        <v>70</v>
      </c>
      <c r="R42" s="48" t="s">
        <v>140</v>
      </c>
    </row>
    <row r="43" spans="1:18" ht="15.75" customHeight="1" x14ac:dyDescent="0.2">
      <c r="A43" s="78">
        <v>42</v>
      </c>
      <c r="B43" s="50" t="s">
        <v>66</v>
      </c>
      <c r="C43" s="50" t="s">
        <v>67</v>
      </c>
      <c r="D43" s="96" t="s">
        <v>1093</v>
      </c>
      <c r="G43" s="59"/>
      <c r="H43" s="50"/>
      <c r="K43" s="175"/>
      <c r="L43" s="175"/>
      <c r="O43" s="48" t="s">
        <v>139</v>
      </c>
      <c r="P43" s="153">
        <v>46062</v>
      </c>
      <c r="Q43" s="59" t="s">
        <v>70</v>
      </c>
      <c r="R43" s="48" t="s">
        <v>140</v>
      </c>
    </row>
    <row r="44" spans="1:18" ht="15.75" customHeight="1" x14ac:dyDescent="0.2">
      <c r="A44" s="78">
        <v>43</v>
      </c>
      <c r="B44" s="50" t="s">
        <v>66</v>
      </c>
      <c r="C44" s="50" t="s">
        <v>67</v>
      </c>
      <c r="D44" s="96" t="s">
        <v>1093</v>
      </c>
      <c r="F44" s="99"/>
      <c r="G44" s="99"/>
      <c r="H44" s="99"/>
      <c r="I44" s="99"/>
      <c r="J44" s="99"/>
      <c r="K44" s="178"/>
      <c r="L44" s="178"/>
      <c r="O44" s="48" t="s">
        <v>139</v>
      </c>
      <c r="P44" s="153">
        <v>46062</v>
      </c>
      <c r="Q44" s="59" t="s">
        <v>70</v>
      </c>
      <c r="R44" s="48" t="s">
        <v>140</v>
      </c>
    </row>
    <row r="45" spans="1:18" ht="15.75" customHeight="1" x14ac:dyDescent="0.2">
      <c r="A45" s="78">
        <v>44</v>
      </c>
      <c r="B45" s="50" t="s">
        <v>66</v>
      </c>
      <c r="C45" s="50" t="s">
        <v>67</v>
      </c>
      <c r="D45" s="96" t="s">
        <v>1093</v>
      </c>
      <c r="F45" s="99"/>
      <c r="G45" s="352"/>
      <c r="H45" s="353"/>
      <c r="I45" s="99"/>
      <c r="J45" s="99"/>
      <c r="K45" s="178"/>
      <c r="L45" s="178"/>
      <c r="M45" s="59"/>
      <c r="O45" s="48" t="s">
        <v>139</v>
      </c>
      <c r="P45" s="153">
        <v>46062</v>
      </c>
      <c r="Q45" s="59" t="s">
        <v>70</v>
      </c>
      <c r="R45" s="48" t="s">
        <v>140</v>
      </c>
    </row>
    <row r="46" spans="1:18" ht="15.75" customHeight="1" x14ac:dyDescent="0.2">
      <c r="A46" s="78">
        <v>45</v>
      </c>
      <c r="B46" s="50" t="s">
        <v>66</v>
      </c>
      <c r="C46" s="50" t="s">
        <v>67</v>
      </c>
      <c r="D46" s="96" t="s">
        <v>1093</v>
      </c>
      <c r="F46" s="99"/>
      <c r="G46" s="352"/>
      <c r="H46" s="353"/>
      <c r="I46" s="99"/>
      <c r="J46" s="99"/>
      <c r="K46" s="178"/>
      <c r="L46" s="178"/>
      <c r="M46" s="59"/>
      <c r="O46" s="48" t="s">
        <v>139</v>
      </c>
      <c r="P46" s="153">
        <v>46062</v>
      </c>
      <c r="Q46" s="59" t="s">
        <v>70</v>
      </c>
      <c r="R46" s="48" t="s">
        <v>140</v>
      </c>
    </row>
    <row r="47" spans="1:18" ht="15.75" customHeight="1" x14ac:dyDescent="0.2">
      <c r="A47" s="78">
        <v>46</v>
      </c>
      <c r="B47" s="50" t="s">
        <v>66</v>
      </c>
      <c r="C47" s="50" t="s">
        <v>67</v>
      </c>
      <c r="D47" s="96" t="s">
        <v>1093</v>
      </c>
      <c r="F47" s="99"/>
      <c r="G47" s="99"/>
      <c r="H47" s="99"/>
      <c r="I47" s="99"/>
      <c r="J47" s="99"/>
      <c r="K47" s="178"/>
      <c r="L47" s="178"/>
      <c r="O47" s="48" t="s">
        <v>139</v>
      </c>
      <c r="P47" s="153">
        <v>46062</v>
      </c>
      <c r="Q47" s="59" t="s">
        <v>70</v>
      </c>
      <c r="R47" s="48" t="s">
        <v>140</v>
      </c>
    </row>
    <row r="48" spans="1:18" ht="15.75" customHeight="1" x14ac:dyDescent="0.2">
      <c r="A48" s="78">
        <v>47</v>
      </c>
      <c r="B48" s="50" t="s">
        <v>66</v>
      </c>
      <c r="C48" s="50" t="s">
        <v>67</v>
      </c>
      <c r="D48" s="96" t="s">
        <v>1093</v>
      </c>
      <c r="F48" s="99"/>
      <c r="G48" s="99"/>
      <c r="H48" s="99"/>
      <c r="I48" s="99"/>
      <c r="J48" s="99"/>
      <c r="K48" s="178"/>
      <c r="L48" s="178"/>
      <c r="O48" s="48" t="s">
        <v>139</v>
      </c>
      <c r="P48" s="153">
        <v>46062</v>
      </c>
      <c r="Q48" s="59" t="s">
        <v>70</v>
      </c>
      <c r="R48" s="48" t="s">
        <v>140</v>
      </c>
    </row>
    <row r="49" spans="1:19" ht="15.75" customHeight="1" x14ac:dyDescent="0.2">
      <c r="A49" s="78">
        <v>48</v>
      </c>
      <c r="B49" s="50" t="s">
        <v>66</v>
      </c>
      <c r="C49" s="50" t="s">
        <v>67</v>
      </c>
      <c r="D49" s="96" t="s">
        <v>1093</v>
      </c>
      <c r="F49" s="99"/>
      <c r="G49" s="99"/>
      <c r="H49" s="99"/>
      <c r="I49" s="99"/>
      <c r="J49" s="99"/>
      <c r="K49" s="178"/>
      <c r="L49" s="178"/>
      <c r="O49" s="48" t="s">
        <v>139</v>
      </c>
      <c r="P49" s="153">
        <v>46062</v>
      </c>
      <c r="Q49" s="59" t="s">
        <v>70</v>
      </c>
      <c r="R49" s="48" t="s">
        <v>140</v>
      </c>
    </row>
    <row r="50" spans="1:19" ht="15.75" customHeight="1" x14ac:dyDescent="0.2">
      <c r="A50" s="78">
        <v>49</v>
      </c>
      <c r="B50" s="50" t="s">
        <v>66</v>
      </c>
      <c r="C50" s="50" t="s">
        <v>67</v>
      </c>
      <c r="D50" s="96" t="s">
        <v>1093</v>
      </c>
      <c r="F50" s="99"/>
      <c r="G50" s="99"/>
      <c r="H50" s="99"/>
      <c r="I50" s="99"/>
      <c r="J50" s="99"/>
      <c r="K50" s="178"/>
      <c r="L50" s="178"/>
      <c r="M50" s="59"/>
      <c r="O50" s="48" t="s">
        <v>139</v>
      </c>
      <c r="P50" s="153">
        <v>46062</v>
      </c>
      <c r="Q50" s="59" t="s">
        <v>70</v>
      </c>
      <c r="R50" s="48" t="s">
        <v>140</v>
      </c>
    </row>
    <row r="51" spans="1:19" ht="15.75" customHeight="1" x14ac:dyDescent="0.2">
      <c r="A51" s="78">
        <v>50</v>
      </c>
      <c r="B51" s="50" t="s">
        <v>66</v>
      </c>
      <c r="C51" s="50" t="s">
        <v>67</v>
      </c>
      <c r="D51" s="96" t="s">
        <v>1093</v>
      </c>
      <c r="F51" s="99"/>
      <c r="G51" s="98"/>
      <c r="H51" s="99"/>
      <c r="I51" s="99"/>
      <c r="J51" s="99"/>
      <c r="K51" s="178"/>
      <c r="L51" s="178"/>
      <c r="M51" s="59"/>
      <c r="O51" s="48" t="s">
        <v>139</v>
      </c>
      <c r="P51" s="153">
        <v>46062</v>
      </c>
      <c r="Q51" s="59" t="s">
        <v>70</v>
      </c>
      <c r="R51" s="48" t="s">
        <v>140</v>
      </c>
    </row>
    <row r="52" spans="1:19" ht="15.75" customHeight="1" x14ac:dyDescent="0.2">
      <c r="A52" s="78">
        <v>51</v>
      </c>
      <c r="B52" s="50" t="s">
        <v>66</v>
      </c>
      <c r="C52" s="50" t="s">
        <v>67</v>
      </c>
      <c r="D52" s="96" t="s">
        <v>1093</v>
      </c>
      <c r="E52" s="99"/>
      <c r="F52" s="99"/>
      <c r="G52" s="99"/>
      <c r="H52" s="99"/>
      <c r="I52" s="99"/>
      <c r="J52" s="99"/>
      <c r="K52" s="178"/>
      <c r="L52" s="178"/>
      <c r="O52" s="48" t="s">
        <v>139</v>
      </c>
      <c r="P52" s="153">
        <v>46062</v>
      </c>
      <c r="Q52" s="59" t="s">
        <v>70</v>
      </c>
      <c r="R52" s="48" t="s">
        <v>140</v>
      </c>
    </row>
    <row r="53" spans="1:19" ht="15.75" customHeight="1" x14ac:dyDescent="0.2">
      <c r="A53" s="78">
        <v>52</v>
      </c>
      <c r="B53" s="50" t="s">
        <v>66</v>
      </c>
      <c r="C53" s="50" t="s">
        <v>67</v>
      </c>
      <c r="D53" s="96" t="s">
        <v>1093</v>
      </c>
      <c r="E53" s="99"/>
      <c r="F53" s="99"/>
      <c r="G53" s="99"/>
      <c r="H53" s="99"/>
      <c r="I53" s="99"/>
      <c r="J53" s="99"/>
      <c r="K53" s="178"/>
      <c r="L53" s="178"/>
      <c r="O53" s="48" t="s">
        <v>139</v>
      </c>
      <c r="P53" s="153">
        <v>46062</v>
      </c>
      <c r="Q53" s="59" t="s">
        <v>70</v>
      </c>
      <c r="R53" s="48" t="s">
        <v>140</v>
      </c>
    </row>
    <row r="54" spans="1:19" ht="15.75" customHeight="1" x14ac:dyDescent="0.2">
      <c r="A54" s="78">
        <v>53</v>
      </c>
      <c r="B54" s="50" t="s">
        <v>66</v>
      </c>
      <c r="C54" s="50" t="s">
        <v>67</v>
      </c>
      <c r="D54" s="96" t="s">
        <v>1093</v>
      </c>
      <c r="E54" s="99"/>
      <c r="F54" s="99"/>
      <c r="G54" s="99"/>
      <c r="H54" s="99"/>
      <c r="I54" s="99"/>
      <c r="J54" s="99"/>
      <c r="K54" s="178"/>
      <c r="L54" s="178"/>
      <c r="M54" s="59"/>
      <c r="O54" s="48" t="s">
        <v>139</v>
      </c>
      <c r="P54" s="153">
        <v>46062</v>
      </c>
      <c r="Q54" s="59" t="s">
        <v>70</v>
      </c>
      <c r="R54" s="48" t="s">
        <v>140</v>
      </c>
    </row>
    <row r="55" spans="1:19" ht="15.75" customHeight="1" x14ac:dyDescent="0.2">
      <c r="A55" s="78">
        <v>54</v>
      </c>
      <c r="B55" s="50" t="s">
        <v>66</v>
      </c>
      <c r="C55" s="50" t="s">
        <v>67</v>
      </c>
      <c r="D55" s="96" t="s">
        <v>1093</v>
      </c>
      <c r="E55" s="99"/>
      <c r="F55" s="99"/>
      <c r="G55" s="99"/>
      <c r="H55" s="99"/>
      <c r="I55" s="99"/>
      <c r="J55" s="99"/>
      <c r="K55" s="178"/>
      <c r="L55" s="178"/>
      <c r="M55" s="59"/>
      <c r="O55" s="48" t="s">
        <v>139</v>
      </c>
      <c r="P55" s="153">
        <v>46062</v>
      </c>
      <c r="Q55" s="59" t="s">
        <v>70</v>
      </c>
      <c r="R55" s="48" t="s">
        <v>140</v>
      </c>
    </row>
    <row r="56" spans="1:19" ht="15.75" customHeight="1" x14ac:dyDescent="0.2">
      <c r="A56" s="78">
        <v>55</v>
      </c>
      <c r="B56" s="50" t="s">
        <v>66</v>
      </c>
      <c r="C56" s="50" t="s">
        <v>67</v>
      </c>
      <c r="D56" s="96" t="s">
        <v>1093</v>
      </c>
      <c r="E56" s="99"/>
      <c r="F56" s="99"/>
      <c r="G56" s="99"/>
      <c r="H56" s="99"/>
      <c r="I56" s="99"/>
      <c r="J56" s="99"/>
      <c r="K56" s="179"/>
      <c r="L56" s="179"/>
      <c r="M56" s="59"/>
      <c r="O56" s="48" t="s">
        <v>139</v>
      </c>
      <c r="P56" s="153">
        <v>46062</v>
      </c>
      <c r="Q56" s="59" t="s">
        <v>70</v>
      </c>
      <c r="R56" s="48" t="s">
        <v>140</v>
      </c>
    </row>
    <row r="57" spans="1:19" ht="15.75" customHeight="1" x14ac:dyDescent="0.2">
      <c r="A57" s="78">
        <v>56</v>
      </c>
      <c r="B57" s="50" t="s">
        <v>66</v>
      </c>
      <c r="C57" s="50" t="s">
        <v>67</v>
      </c>
      <c r="D57" s="96" t="s">
        <v>1093</v>
      </c>
      <c r="E57" s="99"/>
      <c r="F57" s="99"/>
      <c r="G57" s="99"/>
      <c r="H57" s="99"/>
      <c r="I57" s="99"/>
      <c r="J57" s="99"/>
      <c r="K57" s="178"/>
      <c r="L57" s="178"/>
      <c r="M57" s="59"/>
      <c r="O57" s="48" t="s">
        <v>139</v>
      </c>
      <c r="P57" s="153">
        <v>46062</v>
      </c>
      <c r="Q57" s="59" t="s">
        <v>70</v>
      </c>
      <c r="R57" s="48" t="s">
        <v>140</v>
      </c>
    </row>
    <row r="58" spans="1:19" ht="15.75" customHeight="1" x14ac:dyDescent="0.2">
      <c r="A58" s="78">
        <v>57</v>
      </c>
      <c r="B58" s="50" t="s">
        <v>66</v>
      </c>
      <c r="C58" s="50" t="s">
        <v>67</v>
      </c>
      <c r="D58" s="96" t="s">
        <v>1093</v>
      </c>
      <c r="E58" s="99"/>
      <c r="F58" s="99"/>
      <c r="G58" s="99"/>
      <c r="H58" s="99"/>
      <c r="I58" s="99"/>
      <c r="J58" s="99"/>
      <c r="K58" s="178"/>
      <c r="L58" s="178"/>
      <c r="O58" s="48" t="s">
        <v>139</v>
      </c>
      <c r="P58" s="153">
        <v>46062</v>
      </c>
      <c r="Q58" s="59" t="s">
        <v>70</v>
      </c>
      <c r="R58" s="48" t="s">
        <v>140</v>
      </c>
    </row>
    <row r="59" spans="1:19" ht="15.75" customHeight="1" x14ac:dyDescent="0.2">
      <c r="A59" s="78">
        <v>58</v>
      </c>
      <c r="B59" s="50" t="s">
        <v>66</v>
      </c>
      <c r="C59" s="50" t="s">
        <v>67</v>
      </c>
      <c r="D59" s="96" t="s">
        <v>1093</v>
      </c>
      <c r="E59" s="99"/>
      <c r="F59" s="99"/>
      <c r="G59" s="99"/>
      <c r="H59" s="99"/>
      <c r="I59" s="99"/>
      <c r="J59" s="99"/>
      <c r="K59" s="178"/>
      <c r="L59" s="178"/>
      <c r="M59" s="59"/>
      <c r="O59" s="48" t="s">
        <v>139</v>
      </c>
      <c r="P59" s="153">
        <v>46062</v>
      </c>
      <c r="Q59" s="59" t="s">
        <v>70</v>
      </c>
      <c r="R59" s="48" t="s">
        <v>140</v>
      </c>
    </row>
    <row r="60" spans="1:19" ht="15.75" customHeight="1" x14ac:dyDescent="0.2">
      <c r="A60" s="78">
        <v>59</v>
      </c>
      <c r="B60" s="50" t="s">
        <v>66</v>
      </c>
      <c r="C60" s="50" t="s">
        <v>67</v>
      </c>
      <c r="D60" s="96" t="s">
        <v>1093</v>
      </c>
      <c r="E60" s="99"/>
      <c r="F60" s="99"/>
      <c r="G60" s="99"/>
      <c r="H60" s="99"/>
      <c r="I60" s="99"/>
      <c r="J60" s="99"/>
      <c r="K60" s="178"/>
      <c r="L60" s="178"/>
      <c r="M60" s="59"/>
      <c r="O60" s="48" t="s">
        <v>139</v>
      </c>
      <c r="P60" s="153">
        <v>46062</v>
      </c>
      <c r="Q60" s="59" t="s">
        <v>70</v>
      </c>
      <c r="R60" s="48" t="s">
        <v>140</v>
      </c>
    </row>
    <row r="61" spans="1:19" ht="15.75" customHeight="1" x14ac:dyDescent="0.2">
      <c r="A61" s="78">
        <v>60</v>
      </c>
      <c r="B61" s="50" t="s">
        <v>66</v>
      </c>
      <c r="C61" s="50" t="s">
        <v>67</v>
      </c>
      <c r="D61" s="96" t="s">
        <v>1093</v>
      </c>
      <c r="E61" s="99"/>
      <c r="F61" s="99"/>
      <c r="G61" s="99"/>
      <c r="H61" s="99"/>
      <c r="I61" s="99"/>
      <c r="J61" s="99"/>
      <c r="K61" s="178"/>
      <c r="L61" s="178"/>
      <c r="M61" s="59"/>
      <c r="O61" s="48" t="s">
        <v>139</v>
      </c>
      <c r="P61" s="153">
        <v>46062</v>
      </c>
      <c r="Q61" s="59" t="s">
        <v>70</v>
      </c>
      <c r="R61" s="48" t="s">
        <v>140</v>
      </c>
    </row>
    <row r="62" spans="1:19" ht="15.75" customHeight="1" x14ac:dyDescent="0.2">
      <c r="A62" s="78">
        <v>61</v>
      </c>
      <c r="B62" s="50" t="s">
        <v>66</v>
      </c>
      <c r="C62" s="50" t="s">
        <v>67</v>
      </c>
      <c r="D62" s="96" t="s">
        <v>1093</v>
      </c>
      <c r="H62" s="50"/>
      <c r="K62" s="175"/>
      <c r="L62" s="175"/>
      <c r="O62" s="48" t="s">
        <v>139</v>
      </c>
      <c r="P62" s="153">
        <v>46062</v>
      </c>
      <c r="Q62" s="59" t="s">
        <v>70</v>
      </c>
      <c r="R62" s="48" t="s">
        <v>140</v>
      </c>
    </row>
    <row r="63" spans="1:19" ht="15.75" customHeight="1" x14ac:dyDescent="0.2">
      <c r="A63" s="78">
        <v>62</v>
      </c>
      <c r="B63" s="50" t="s">
        <v>66</v>
      </c>
      <c r="C63" s="50" t="s">
        <v>67</v>
      </c>
      <c r="D63" s="96" t="s">
        <v>1093</v>
      </c>
      <c r="E63" s="117"/>
      <c r="F63" s="117"/>
      <c r="G63" s="117"/>
      <c r="H63" s="160"/>
      <c r="I63" s="117"/>
      <c r="J63" s="117"/>
      <c r="K63" s="180"/>
      <c r="L63" s="180"/>
      <c r="M63" s="59"/>
      <c r="N63" s="117"/>
      <c r="O63" s="48" t="s">
        <v>139</v>
      </c>
      <c r="P63" s="153">
        <v>46062</v>
      </c>
      <c r="Q63" s="59" t="s">
        <v>70</v>
      </c>
      <c r="R63" s="48" t="s">
        <v>140</v>
      </c>
      <c r="S63" s="117"/>
    </row>
    <row r="64" spans="1:19" ht="15.75" customHeight="1" x14ac:dyDescent="0.2">
      <c r="A64" s="78">
        <v>63</v>
      </c>
      <c r="B64" s="50" t="s">
        <v>66</v>
      </c>
      <c r="C64" s="50" t="s">
        <v>67</v>
      </c>
      <c r="D64" s="96" t="s">
        <v>1093</v>
      </c>
      <c r="E64" s="117"/>
      <c r="F64" s="117"/>
      <c r="G64" s="117"/>
      <c r="H64" s="160"/>
      <c r="I64" s="117"/>
      <c r="J64" s="117"/>
      <c r="K64" s="180"/>
      <c r="L64" s="180"/>
      <c r="M64" s="59"/>
      <c r="N64" s="117"/>
      <c r="O64" s="48" t="s">
        <v>139</v>
      </c>
      <c r="P64" s="153">
        <v>46062</v>
      </c>
      <c r="Q64" s="59" t="s">
        <v>70</v>
      </c>
      <c r="R64" s="48" t="s">
        <v>140</v>
      </c>
      <c r="S64" s="117"/>
    </row>
    <row r="65" spans="1:19" ht="15.75" customHeight="1" x14ac:dyDescent="0.2">
      <c r="A65" s="78">
        <v>64</v>
      </c>
      <c r="B65" s="50" t="s">
        <v>66</v>
      </c>
      <c r="C65" s="50" t="s">
        <v>67</v>
      </c>
      <c r="D65" s="96" t="s">
        <v>1093</v>
      </c>
      <c r="E65" s="181"/>
      <c r="F65" s="181"/>
      <c r="G65" s="181"/>
      <c r="H65" s="181"/>
      <c r="I65" s="181"/>
      <c r="J65" s="117"/>
      <c r="K65" s="180"/>
      <c r="L65" s="180"/>
      <c r="M65" s="59"/>
      <c r="N65" s="117"/>
      <c r="O65" s="48" t="s">
        <v>139</v>
      </c>
      <c r="P65" s="153">
        <v>46062</v>
      </c>
      <c r="Q65" s="59" t="s">
        <v>70</v>
      </c>
      <c r="R65" s="48" t="s">
        <v>140</v>
      </c>
      <c r="S65" s="117"/>
    </row>
    <row r="66" spans="1:19" ht="15.75" customHeight="1" x14ac:dyDescent="0.2">
      <c r="A66" s="78">
        <v>65</v>
      </c>
      <c r="B66" s="50" t="s">
        <v>66</v>
      </c>
      <c r="C66" s="50" t="s">
        <v>67</v>
      </c>
      <c r="D66" s="96" t="s">
        <v>1093</v>
      </c>
      <c r="E66" s="117"/>
      <c r="F66" s="117"/>
      <c r="G66" s="117"/>
      <c r="H66" s="160"/>
      <c r="I66" s="117"/>
      <c r="J66" s="117"/>
      <c r="K66" s="180"/>
      <c r="L66" s="180"/>
      <c r="M66" s="59"/>
      <c r="N66" s="117"/>
      <c r="O66" s="48" t="s">
        <v>139</v>
      </c>
      <c r="P66" s="153">
        <v>46062</v>
      </c>
      <c r="Q66" s="59" t="s">
        <v>70</v>
      </c>
      <c r="R66" s="48" t="s">
        <v>140</v>
      </c>
      <c r="S66" s="117"/>
    </row>
    <row r="67" spans="1:19" ht="15.75" customHeight="1" x14ac:dyDescent="0.2">
      <c r="A67" s="78">
        <v>66</v>
      </c>
      <c r="B67" s="50" t="s">
        <v>66</v>
      </c>
      <c r="C67" s="50" t="s">
        <v>67</v>
      </c>
      <c r="D67" s="96" t="s">
        <v>1093</v>
      </c>
      <c r="E67" s="117"/>
      <c r="F67" s="117"/>
      <c r="G67" s="117"/>
      <c r="H67" s="117"/>
      <c r="I67" s="117"/>
      <c r="J67" s="117"/>
      <c r="K67" s="180"/>
      <c r="L67" s="180"/>
      <c r="M67" s="59"/>
      <c r="N67" s="117"/>
      <c r="O67" s="48" t="s">
        <v>139</v>
      </c>
      <c r="P67" s="153">
        <v>46062</v>
      </c>
      <c r="Q67" s="59" t="s">
        <v>70</v>
      </c>
      <c r="R67" s="48" t="s">
        <v>140</v>
      </c>
      <c r="S67" s="117"/>
    </row>
    <row r="68" spans="1:19" ht="15.75" customHeight="1" x14ac:dyDescent="0.2">
      <c r="A68" s="78">
        <v>67</v>
      </c>
      <c r="B68" s="50" t="s">
        <v>66</v>
      </c>
      <c r="C68" s="50" t="s">
        <v>67</v>
      </c>
      <c r="D68" s="96" t="s">
        <v>1093</v>
      </c>
      <c r="E68" s="181"/>
      <c r="F68" s="181"/>
      <c r="G68" s="181"/>
      <c r="H68" s="181"/>
      <c r="I68" s="181"/>
      <c r="J68" s="117"/>
      <c r="K68" s="117"/>
      <c r="L68" s="117"/>
      <c r="M68" s="117"/>
      <c r="N68" s="117"/>
      <c r="O68" s="48" t="s">
        <v>139</v>
      </c>
      <c r="P68" s="153">
        <v>46062</v>
      </c>
      <c r="Q68" s="59" t="s">
        <v>70</v>
      </c>
      <c r="R68" s="48" t="s">
        <v>140</v>
      </c>
      <c r="S68" s="117"/>
    </row>
    <row r="69" spans="1:19" ht="15.75" customHeight="1" x14ac:dyDescent="0.2">
      <c r="A69" s="78">
        <v>68</v>
      </c>
      <c r="B69" s="50" t="s">
        <v>66</v>
      </c>
      <c r="C69" s="50" t="s">
        <v>67</v>
      </c>
      <c r="D69" s="96" t="s">
        <v>1093</v>
      </c>
      <c r="E69" s="181"/>
      <c r="F69" s="181"/>
      <c r="G69" s="181"/>
      <c r="H69" s="181"/>
      <c r="I69" s="181"/>
      <c r="J69" s="117"/>
      <c r="K69" s="117"/>
      <c r="L69" s="117"/>
      <c r="M69" s="117"/>
      <c r="N69" s="117"/>
      <c r="O69" s="48" t="s">
        <v>139</v>
      </c>
      <c r="P69" s="153">
        <v>46062</v>
      </c>
      <c r="Q69" s="59" t="s">
        <v>70</v>
      </c>
      <c r="R69" s="48" t="s">
        <v>140</v>
      </c>
      <c r="S69" s="117"/>
    </row>
    <row r="70" spans="1:19" ht="15.75" customHeight="1" x14ac:dyDescent="0.2">
      <c r="A70" s="78">
        <v>69</v>
      </c>
      <c r="B70" s="50" t="s">
        <v>66</v>
      </c>
      <c r="C70" s="50" t="s">
        <v>67</v>
      </c>
      <c r="D70" s="96" t="s">
        <v>1093</v>
      </c>
      <c r="E70" s="181"/>
      <c r="F70" s="181"/>
      <c r="G70" s="181"/>
      <c r="H70" s="181"/>
      <c r="I70" s="181"/>
      <c r="J70" s="117"/>
      <c r="K70" s="117"/>
      <c r="L70" s="117"/>
      <c r="M70" s="117"/>
      <c r="N70" s="117"/>
      <c r="O70" s="48" t="s">
        <v>139</v>
      </c>
      <c r="P70" s="153">
        <v>46062</v>
      </c>
      <c r="Q70" s="59" t="s">
        <v>70</v>
      </c>
      <c r="R70" s="48" t="s">
        <v>140</v>
      </c>
      <c r="S70" s="117"/>
    </row>
    <row r="71" spans="1:19" ht="15.75" customHeight="1" x14ac:dyDescent="0.2">
      <c r="A71" s="78">
        <v>70</v>
      </c>
      <c r="B71" s="50" t="s">
        <v>66</v>
      </c>
      <c r="C71" s="50" t="s">
        <v>67</v>
      </c>
      <c r="D71" s="96" t="s">
        <v>1093</v>
      </c>
      <c r="E71" s="181"/>
      <c r="F71" s="181"/>
      <c r="G71" s="181"/>
      <c r="H71" s="181"/>
      <c r="I71" s="181"/>
      <c r="J71" s="117"/>
      <c r="K71" s="117"/>
      <c r="L71" s="117"/>
      <c r="M71" s="117"/>
      <c r="N71" s="117"/>
      <c r="O71" s="48" t="s">
        <v>139</v>
      </c>
      <c r="P71" s="153">
        <v>46062</v>
      </c>
      <c r="Q71" s="59" t="s">
        <v>70</v>
      </c>
      <c r="R71" s="48" t="s">
        <v>140</v>
      </c>
      <c r="S71" s="117"/>
    </row>
    <row r="72" spans="1:19" ht="15.75" customHeight="1" x14ac:dyDescent="0.2">
      <c r="A72" s="78">
        <v>71</v>
      </c>
      <c r="B72" s="50" t="s">
        <v>66</v>
      </c>
      <c r="C72" s="50" t="s">
        <v>67</v>
      </c>
      <c r="D72" s="96" t="s">
        <v>1093</v>
      </c>
      <c r="E72" s="181"/>
      <c r="F72" s="181"/>
      <c r="G72" s="181"/>
      <c r="H72" s="181"/>
      <c r="I72" s="181"/>
      <c r="J72" s="117"/>
      <c r="K72" s="117"/>
      <c r="L72" s="117"/>
      <c r="M72" s="117"/>
      <c r="N72" s="117"/>
      <c r="O72" s="48" t="s">
        <v>139</v>
      </c>
      <c r="P72" s="153">
        <v>46062</v>
      </c>
      <c r="Q72" s="59" t="s">
        <v>70</v>
      </c>
      <c r="R72" s="48" t="s">
        <v>140</v>
      </c>
      <c r="S72" s="117"/>
    </row>
    <row r="73" spans="1:19" ht="15.75" customHeight="1" x14ac:dyDescent="0.2">
      <c r="A73" s="78">
        <v>72</v>
      </c>
      <c r="B73" s="50" t="s">
        <v>66</v>
      </c>
      <c r="C73" s="50" t="s">
        <v>67</v>
      </c>
      <c r="D73" s="96" t="s">
        <v>1093</v>
      </c>
      <c r="E73" s="181"/>
      <c r="F73" s="181"/>
      <c r="G73" s="181"/>
      <c r="H73" s="181"/>
      <c r="I73" s="181"/>
      <c r="J73" s="117"/>
      <c r="K73" s="117"/>
      <c r="L73" s="117"/>
      <c r="M73" s="117"/>
      <c r="N73" s="117"/>
      <c r="O73" s="48" t="s">
        <v>139</v>
      </c>
      <c r="P73" s="153">
        <v>46062</v>
      </c>
      <c r="Q73" s="59" t="s">
        <v>70</v>
      </c>
      <c r="R73" s="48" t="s">
        <v>140</v>
      </c>
      <c r="S73" s="117"/>
    </row>
    <row r="74" spans="1:19" ht="15.75" customHeight="1" x14ac:dyDescent="0.2">
      <c r="A74" s="78">
        <v>73</v>
      </c>
      <c r="B74" s="50" t="s">
        <v>66</v>
      </c>
      <c r="C74" s="50" t="s">
        <v>67</v>
      </c>
      <c r="D74" s="96" t="s">
        <v>1093</v>
      </c>
      <c r="E74" s="181"/>
      <c r="F74" s="181"/>
      <c r="G74" s="181"/>
      <c r="H74" s="181"/>
      <c r="I74" s="181"/>
      <c r="J74" s="117"/>
      <c r="K74" s="117"/>
      <c r="L74" s="117"/>
      <c r="M74" s="117"/>
      <c r="N74" s="117"/>
      <c r="O74" s="48" t="s">
        <v>139</v>
      </c>
      <c r="P74" s="153">
        <v>46062</v>
      </c>
      <c r="Q74" s="59" t="s">
        <v>70</v>
      </c>
      <c r="R74" s="48" t="s">
        <v>140</v>
      </c>
      <c r="S74" s="117"/>
    </row>
    <row r="75" spans="1:19" ht="15.75" customHeight="1" x14ac:dyDescent="0.2">
      <c r="A75" s="78">
        <v>74</v>
      </c>
      <c r="B75" s="50" t="s">
        <v>66</v>
      </c>
      <c r="C75" s="50" t="s">
        <v>67</v>
      </c>
      <c r="D75" s="96" t="s">
        <v>1093</v>
      </c>
      <c r="E75" s="181"/>
      <c r="F75" s="181"/>
      <c r="G75" s="181"/>
      <c r="H75" s="181"/>
      <c r="I75" s="181"/>
      <c r="J75" s="117"/>
      <c r="K75" s="117"/>
      <c r="L75" s="117"/>
      <c r="M75" s="117"/>
      <c r="N75" s="117"/>
      <c r="O75" s="48" t="s">
        <v>139</v>
      </c>
      <c r="P75" s="153">
        <v>46062</v>
      </c>
      <c r="Q75" s="59" t="s">
        <v>70</v>
      </c>
      <c r="R75" s="48" t="s">
        <v>140</v>
      </c>
      <c r="S75" s="117"/>
    </row>
    <row r="76" spans="1:19" ht="15.75" customHeight="1" x14ac:dyDescent="0.2">
      <c r="A76" s="78">
        <v>75</v>
      </c>
      <c r="B76" s="50" t="s">
        <v>66</v>
      </c>
      <c r="C76" s="50" t="s">
        <v>67</v>
      </c>
      <c r="D76" s="96" t="s">
        <v>1093</v>
      </c>
      <c r="E76" s="181"/>
      <c r="F76" s="181"/>
      <c r="G76" s="181"/>
      <c r="H76" s="181"/>
      <c r="I76" s="181"/>
      <c r="J76" s="117"/>
      <c r="K76" s="117"/>
      <c r="L76" s="117"/>
      <c r="M76" s="117"/>
      <c r="N76" s="117"/>
      <c r="O76" s="48" t="s">
        <v>139</v>
      </c>
      <c r="P76" s="153">
        <v>46062</v>
      </c>
      <c r="Q76" s="59" t="s">
        <v>70</v>
      </c>
      <c r="R76" s="48" t="s">
        <v>140</v>
      </c>
      <c r="S76" s="117"/>
    </row>
    <row r="77" spans="1:19" ht="15.75" customHeight="1" x14ac:dyDescent="0.2">
      <c r="A77" s="78">
        <v>76</v>
      </c>
      <c r="B77" s="50" t="s">
        <v>66</v>
      </c>
      <c r="C77" s="50" t="s">
        <v>67</v>
      </c>
      <c r="D77" s="96" t="s">
        <v>1093</v>
      </c>
      <c r="E77" s="181"/>
      <c r="F77" s="181"/>
      <c r="G77" s="181"/>
      <c r="H77" s="181"/>
      <c r="I77" s="181"/>
      <c r="J77" s="117"/>
      <c r="K77" s="117"/>
      <c r="L77" s="117"/>
      <c r="M77" s="117"/>
      <c r="N77" s="117"/>
      <c r="O77" s="48" t="s">
        <v>139</v>
      </c>
      <c r="P77" s="153">
        <v>46062</v>
      </c>
      <c r="Q77" s="59" t="s">
        <v>70</v>
      </c>
      <c r="R77" s="48" t="s">
        <v>140</v>
      </c>
      <c r="S77" s="117"/>
    </row>
    <row r="78" spans="1:19" ht="15.75" customHeight="1" x14ac:dyDescent="0.2">
      <c r="A78" s="78">
        <v>77</v>
      </c>
      <c r="B78" s="50" t="s">
        <v>66</v>
      </c>
      <c r="C78" s="50" t="s">
        <v>67</v>
      </c>
      <c r="D78" s="96" t="s">
        <v>1093</v>
      </c>
      <c r="E78" s="181"/>
      <c r="F78" s="181"/>
      <c r="G78" s="181"/>
      <c r="H78" s="181"/>
      <c r="I78" s="181"/>
      <c r="J78" s="117"/>
      <c r="K78" s="117"/>
      <c r="L78" s="117"/>
      <c r="M78" s="117"/>
      <c r="N78" s="117"/>
      <c r="O78" s="48" t="s">
        <v>139</v>
      </c>
      <c r="P78" s="153">
        <v>46062</v>
      </c>
      <c r="Q78" s="59" t="s">
        <v>70</v>
      </c>
      <c r="R78" s="48" t="s">
        <v>140</v>
      </c>
      <c r="S78" s="117"/>
    </row>
    <row r="79" spans="1:19" ht="15.75" customHeight="1" x14ac:dyDescent="0.2">
      <c r="A79" s="78">
        <v>78</v>
      </c>
      <c r="B79" s="50" t="s">
        <v>66</v>
      </c>
      <c r="C79" s="50" t="s">
        <v>67</v>
      </c>
      <c r="D79" s="96" t="s">
        <v>1093</v>
      </c>
      <c r="E79" s="181"/>
      <c r="F79" s="181"/>
      <c r="G79" s="181"/>
      <c r="H79" s="181"/>
      <c r="I79" s="181"/>
      <c r="J79" s="117"/>
      <c r="K79" s="117"/>
      <c r="L79" s="117"/>
      <c r="M79" s="117"/>
      <c r="N79" s="117"/>
      <c r="O79" s="48" t="s">
        <v>139</v>
      </c>
      <c r="P79" s="153">
        <v>46062</v>
      </c>
      <c r="Q79" s="59" t="s">
        <v>70</v>
      </c>
      <c r="R79" s="48" t="s">
        <v>140</v>
      </c>
      <c r="S79" s="117"/>
    </row>
    <row r="80" spans="1:19" ht="15.75" customHeight="1" x14ac:dyDescent="0.2">
      <c r="A80" s="78">
        <v>79</v>
      </c>
      <c r="B80" s="50" t="s">
        <v>66</v>
      </c>
      <c r="C80" s="50" t="s">
        <v>67</v>
      </c>
      <c r="D80" s="96" t="s">
        <v>1093</v>
      </c>
      <c r="E80" s="46"/>
      <c r="F80" s="46"/>
      <c r="G80" s="46"/>
      <c r="H80" s="46"/>
      <c r="I80" s="46"/>
      <c r="O80" s="48" t="s">
        <v>139</v>
      </c>
      <c r="P80" s="153">
        <v>46062</v>
      </c>
      <c r="Q80" s="59" t="s">
        <v>70</v>
      </c>
      <c r="R80" s="48" t="s">
        <v>140</v>
      </c>
    </row>
    <row r="81" spans="1:18" ht="15.75" customHeight="1" x14ac:dyDescent="0.2">
      <c r="A81" s="78">
        <v>80</v>
      </c>
      <c r="B81" s="50" t="s">
        <v>66</v>
      </c>
      <c r="C81" s="50" t="s">
        <v>67</v>
      </c>
      <c r="D81" s="96" t="s">
        <v>1093</v>
      </c>
      <c r="E81" s="46"/>
      <c r="F81" s="46"/>
      <c r="G81" s="46"/>
      <c r="H81" s="46"/>
      <c r="I81" s="46"/>
      <c r="O81" s="48" t="s">
        <v>139</v>
      </c>
      <c r="P81" s="153">
        <v>46062</v>
      </c>
      <c r="Q81" s="59" t="s">
        <v>70</v>
      </c>
      <c r="R81" s="48" t="s">
        <v>140</v>
      </c>
    </row>
    <row r="82" spans="1:18" ht="15.75" customHeight="1" x14ac:dyDescent="0.2">
      <c r="A82" s="78">
        <v>81</v>
      </c>
      <c r="B82" s="50" t="s">
        <v>66</v>
      </c>
      <c r="C82" s="50" t="s">
        <v>67</v>
      </c>
      <c r="D82" s="96" t="s">
        <v>1093</v>
      </c>
      <c r="E82" s="46"/>
      <c r="F82" s="46"/>
      <c r="G82" s="46"/>
      <c r="H82" s="46"/>
      <c r="I82" s="46"/>
      <c r="O82" s="48" t="s">
        <v>139</v>
      </c>
      <c r="P82" s="153">
        <v>46062</v>
      </c>
      <c r="Q82" s="59" t="s">
        <v>70</v>
      </c>
      <c r="R82" s="48" t="s">
        <v>140</v>
      </c>
    </row>
    <row r="83" spans="1:18" ht="15.75" customHeight="1" x14ac:dyDescent="0.2">
      <c r="A83" s="78">
        <v>82</v>
      </c>
      <c r="B83" s="50" t="s">
        <v>66</v>
      </c>
      <c r="C83" s="50" t="s">
        <v>67</v>
      </c>
      <c r="D83" s="96" t="s">
        <v>1093</v>
      </c>
      <c r="E83" s="46"/>
      <c r="F83" s="46"/>
      <c r="G83" s="46"/>
      <c r="H83" s="46"/>
      <c r="I83" s="46"/>
      <c r="O83" s="48" t="s">
        <v>139</v>
      </c>
      <c r="P83" s="153">
        <v>46062</v>
      </c>
      <c r="Q83" s="59" t="s">
        <v>70</v>
      </c>
      <c r="R83" s="48" t="s">
        <v>140</v>
      </c>
    </row>
    <row r="84" spans="1:18" ht="15.75" customHeight="1" x14ac:dyDescent="0.2">
      <c r="A84" s="78">
        <v>83</v>
      </c>
      <c r="B84" s="50" t="s">
        <v>66</v>
      </c>
      <c r="C84" s="50" t="s">
        <v>67</v>
      </c>
      <c r="D84" s="96" t="s">
        <v>1093</v>
      </c>
      <c r="E84" s="46"/>
      <c r="F84" s="46"/>
      <c r="G84" s="46"/>
      <c r="H84" s="46"/>
      <c r="I84" s="46"/>
      <c r="O84" s="48" t="s">
        <v>139</v>
      </c>
      <c r="P84" s="153">
        <v>46062</v>
      </c>
      <c r="Q84" s="59" t="s">
        <v>70</v>
      </c>
      <c r="R84" s="48" t="s">
        <v>140</v>
      </c>
    </row>
    <row r="85" spans="1:18" ht="15.75" customHeight="1" x14ac:dyDescent="0.2">
      <c r="A85" s="78">
        <v>84</v>
      </c>
      <c r="B85" s="50" t="s">
        <v>66</v>
      </c>
      <c r="C85" s="50" t="s">
        <v>67</v>
      </c>
      <c r="D85" s="96" t="s">
        <v>1093</v>
      </c>
      <c r="E85" s="46"/>
      <c r="F85" s="46"/>
      <c r="G85" s="46"/>
      <c r="H85" s="46"/>
      <c r="I85" s="46"/>
      <c r="O85" s="48" t="s">
        <v>139</v>
      </c>
      <c r="P85" s="153">
        <v>46062</v>
      </c>
      <c r="Q85" s="59" t="s">
        <v>70</v>
      </c>
      <c r="R85" s="48" t="s">
        <v>140</v>
      </c>
    </row>
    <row r="86" spans="1:18" ht="15.75" customHeight="1" x14ac:dyDescent="0.2">
      <c r="A86" s="78">
        <v>85</v>
      </c>
      <c r="B86" s="50" t="s">
        <v>66</v>
      </c>
      <c r="C86" s="50" t="s">
        <v>67</v>
      </c>
      <c r="D86" s="96" t="s">
        <v>1093</v>
      </c>
      <c r="E86" s="46"/>
      <c r="F86" s="46"/>
      <c r="G86" s="46"/>
      <c r="H86" s="46"/>
      <c r="I86" s="46"/>
      <c r="O86" s="48" t="s">
        <v>139</v>
      </c>
      <c r="P86" s="153">
        <v>46062</v>
      </c>
      <c r="Q86" s="59" t="s">
        <v>70</v>
      </c>
      <c r="R86" s="48" t="s">
        <v>140</v>
      </c>
    </row>
    <row r="87" spans="1:18" ht="15.75" customHeight="1" x14ac:dyDescent="0.2">
      <c r="A87" s="78">
        <v>86</v>
      </c>
      <c r="B87" s="50" t="s">
        <v>66</v>
      </c>
      <c r="C87" s="50" t="s">
        <v>67</v>
      </c>
      <c r="D87" s="96" t="s">
        <v>1093</v>
      </c>
      <c r="E87" s="46"/>
      <c r="F87" s="46"/>
      <c r="G87" s="46"/>
      <c r="H87" s="46"/>
      <c r="I87" s="46"/>
      <c r="O87" s="48" t="s">
        <v>139</v>
      </c>
      <c r="P87" s="153">
        <v>46062</v>
      </c>
      <c r="Q87" s="59" t="s">
        <v>70</v>
      </c>
      <c r="R87" s="48" t="s">
        <v>140</v>
      </c>
    </row>
    <row r="88" spans="1:18" ht="15.75" customHeight="1" x14ac:dyDescent="0.2">
      <c r="A88" s="78">
        <v>87</v>
      </c>
      <c r="B88" s="50" t="s">
        <v>66</v>
      </c>
      <c r="C88" s="50" t="s">
        <v>67</v>
      </c>
      <c r="D88" s="96" t="s">
        <v>1093</v>
      </c>
      <c r="E88" s="46"/>
      <c r="F88" s="46"/>
      <c r="G88" s="46"/>
      <c r="H88" s="46"/>
      <c r="I88" s="46"/>
      <c r="O88" s="48" t="s">
        <v>139</v>
      </c>
      <c r="P88" s="153">
        <v>46062</v>
      </c>
      <c r="Q88" s="59" t="s">
        <v>70</v>
      </c>
      <c r="R88" s="48" t="s">
        <v>140</v>
      </c>
    </row>
    <row r="89" spans="1:18" ht="15.75" customHeight="1" x14ac:dyDescent="0.2">
      <c r="A89" s="78">
        <v>88</v>
      </c>
      <c r="B89" s="50" t="s">
        <v>66</v>
      </c>
      <c r="C89" s="50" t="s">
        <v>67</v>
      </c>
      <c r="D89" s="96" t="s">
        <v>1093</v>
      </c>
      <c r="E89" s="46"/>
      <c r="F89" s="46"/>
      <c r="G89" s="46"/>
      <c r="H89" s="46"/>
      <c r="I89" s="46"/>
      <c r="O89" s="48" t="s">
        <v>139</v>
      </c>
      <c r="P89" s="153">
        <v>46062</v>
      </c>
      <c r="Q89" s="59" t="s">
        <v>70</v>
      </c>
      <c r="R89" s="48" t="s">
        <v>140</v>
      </c>
    </row>
    <row r="90" spans="1:18" ht="15.75" customHeight="1" x14ac:dyDescent="0.2">
      <c r="A90" s="78">
        <v>89</v>
      </c>
      <c r="B90" s="50" t="s">
        <v>66</v>
      </c>
      <c r="C90" s="50" t="s">
        <v>67</v>
      </c>
      <c r="D90" s="96" t="s">
        <v>1093</v>
      </c>
      <c r="E90" s="46"/>
      <c r="F90" s="46"/>
      <c r="G90" s="46"/>
      <c r="H90" s="46"/>
      <c r="I90" s="46"/>
      <c r="O90" s="48" t="s">
        <v>139</v>
      </c>
      <c r="P90" s="153">
        <v>46062</v>
      </c>
      <c r="Q90" s="59" t="s">
        <v>70</v>
      </c>
      <c r="R90" s="48" t="s">
        <v>140</v>
      </c>
    </row>
    <row r="91" spans="1:18" ht="15.75" customHeight="1" x14ac:dyDescent="0.2">
      <c r="A91" s="78">
        <v>90</v>
      </c>
      <c r="B91" s="50" t="s">
        <v>66</v>
      </c>
      <c r="C91" s="50" t="s">
        <v>67</v>
      </c>
      <c r="D91" s="96" t="s">
        <v>1093</v>
      </c>
      <c r="E91" s="46"/>
      <c r="F91" s="46"/>
      <c r="G91" s="46"/>
      <c r="H91" s="46"/>
      <c r="I91" s="46"/>
      <c r="O91" s="48" t="s">
        <v>139</v>
      </c>
      <c r="P91" s="153">
        <v>46062</v>
      </c>
      <c r="Q91" s="59" t="s">
        <v>70</v>
      </c>
      <c r="R91" s="48" t="s">
        <v>140</v>
      </c>
    </row>
    <row r="92" spans="1:18" ht="15.75" customHeight="1" x14ac:dyDescent="0.2">
      <c r="A92" s="78">
        <v>91</v>
      </c>
      <c r="B92" s="50" t="s">
        <v>66</v>
      </c>
      <c r="C92" s="50" t="s">
        <v>67</v>
      </c>
      <c r="D92" s="96" t="s">
        <v>1093</v>
      </c>
      <c r="E92" s="46"/>
      <c r="F92" s="46"/>
      <c r="G92" s="46"/>
      <c r="H92" s="46"/>
      <c r="I92" s="46"/>
      <c r="O92" s="48" t="s">
        <v>139</v>
      </c>
      <c r="P92" s="153">
        <v>46062</v>
      </c>
      <c r="Q92" s="59" t="s">
        <v>70</v>
      </c>
      <c r="R92" s="48" t="s">
        <v>140</v>
      </c>
    </row>
    <row r="93" spans="1:18" ht="15.75" customHeight="1" x14ac:dyDescent="0.2">
      <c r="A93" s="78">
        <v>92</v>
      </c>
      <c r="B93" s="50" t="s">
        <v>66</v>
      </c>
      <c r="C93" s="50" t="s">
        <v>67</v>
      </c>
      <c r="D93" s="96" t="s">
        <v>1093</v>
      </c>
      <c r="E93" s="46"/>
      <c r="F93" s="46"/>
      <c r="G93" s="46"/>
      <c r="H93" s="46"/>
      <c r="I93" s="46"/>
      <c r="O93" s="48" t="s">
        <v>139</v>
      </c>
      <c r="P93" s="153">
        <v>46062</v>
      </c>
      <c r="Q93" s="59" t="s">
        <v>70</v>
      </c>
      <c r="R93" s="48" t="s">
        <v>140</v>
      </c>
    </row>
    <row r="94" spans="1:18" ht="15.75" customHeight="1" x14ac:dyDescent="0.2">
      <c r="A94" s="78">
        <v>93</v>
      </c>
      <c r="B94" s="50" t="s">
        <v>66</v>
      </c>
      <c r="C94" s="50" t="s">
        <v>67</v>
      </c>
      <c r="D94" s="96" t="s">
        <v>1093</v>
      </c>
      <c r="H94" s="50"/>
      <c r="O94" s="48" t="s">
        <v>139</v>
      </c>
      <c r="P94" s="153">
        <v>46062</v>
      </c>
      <c r="Q94" s="59" t="s">
        <v>70</v>
      </c>
      <c r="R94" s="48" t="s">
        <v>140</v>
      </c>
    </row>
    <row r="95" spans="1:18" ht="15.75" customHeight="1" x14ac:dyDescent="0.2">
      <c r="A95" s="78">
        <v>94</v>
      </c>
      <c r="B95" s="50" t="s">
        <v>66</v>
      </c>
      <c r="C95" s="50" t="s">
        <v>67</v>
      </c>
      <c r="D95" s="96" t="s">
        <v>1093</v>
      </c>
      <c r="H95" s="50"/>
      <c r="O95" s="48" t="s">
        <v>139</v>
      </c>
      <c r="P95" s="153">
        <v>46062</v>
      </c>
      <c r="Q95" s="59" t="s">
        <v>70</v>
      </c>
      <c r="R95" s="48" t="s">
        <v>140</v>
      </c>
    </row>
    <row r="96" spans="1:18" ht="15.75" customHeight="1" x14ac:dyDescent="0.2">
      <c r="A96" s="78">
        <v>95</v>
      </c>
      <c r="B96" s="50" t="s">
        <v>66</v>
      </c>
      <c r="C96" s="50" t="s">
        <v>67</v>
      </c>
      <c r="D96" s="96" t="s">
        <v>1093</v>
      </c>
      <c r="H96" s="50"/>
      <c r="O96" s="48" t="s">
        <v>139</v>
      </c>
      <c r="P96" s="153">
        <v>46062</v>
      </c>
      <c r="Q96" s="59" t="s">
        <v>70</v>
      </c>
      <c r="R96" s="48" t="s">
        <v>140</v>
      </c>
    </row>
    <row r="97" spans="1:18" ht="15.75" customHeight="1" x14ac:dyDescent="0.2">
      <c r="A97" s="78">
        <v>96</v>
      </c>
      <c r="B97" s="50" t="s">
        <v>66</v>
      </c>
      <c r="C97" s="50" t="s">
        <v>67</v>
      </c>
      <c r="D97" s="96" t="s">
        <v>1093</v>
      </c>
      <c r="H97" s="50"/>
      <c r="O97" s="48" t="s">
        <v>139</v>
      </c>
      <c r="P97" s="153">
        <v>46062</v>
      </c>
      <c r="Q97" s="59" t="s">
        <v>70</v>
      </c>
      <c r="R97" s="48" t="s">
        <v>140</v>
      </c>
    </row>
    <row r="98" spans="1:18" ht="15.75" customHeight="1" x14ac:dyDescent="0.2">
      <c r="A98" s="78">
        <v>97</v>
      </c>
      <c r="B98" s="50" t="s">
        <v>66</v>
      </c>
      <c r="C98" s="50" t="s">
        <v>67</v>
      </c>
      <c r="D98" s="96" t="s">
        <v>1093</v>
      </c>
      <c r="H98" s="50"/>
      <c r="O98" s="48" t="s">
        <v>139</v>
      </c>
      <c r="P98" s="153">
        <v>46062</v>
      </c>
      <c r="Q98" s="59" t="s">
        <v>70</v>
      </c>
      <c r="R98" s="48" t="s">
        <v>140</v>
      </c>
    </row>
    <row r="99" spans="1:18" ht="15.75" customHeight="1" x14ac:dyDescent="0.2">
      <c r="A99" s="78">
        <v>98</v>
      </c>
      <c r="B99" s="50" t="s">
        <v>66</v>
      </c>
      <c r="C99" s="50" t="s">
        <v>67</v>
      </c>
      <c r="D99" s="96" t="s">
        <v>1093</v>
      </c>
      <c r="H99" s="50"/>
      <c r="O99" s="48" t="s">
        <v>139</v>
      </c>
      <c r="P99" s="153">
        <v>46062</v>
      </c>
      <c r="Q99" s="59" t="s">
        <v>70</v>
      </c>
      <c r="R99" s="48" t="s">
        <v>140</v>
      </c>
    </row>
    <row r="100" spans="1:18" ht="15.75" customHeight="1" x14ac:dyDescent="0.2">
      <c r="A100" s="78">
        <v>99</v>
      </c>
      <c r="B100" s="50" t="s">
        <v>66</v>
      </c>
      <c r="C100" s="50" t="s">
        <v>67</v>
      </c>
      <c r="D100" s="96" t="s">
        <v>1093</v>
      </c>
      <c r="H100" s="50"/>
      <c r="O100" s="48" t="s">
        <v>139</v>
      </c>
      <c r="P100" s="153">
        <v>46062</v>
      </c>
      <c r="Q100" s="59" t="s">
        <v>70</v>
      </c>
      <c r="R100" s="48" t="s">
        <v>140</v>
      </c>
    </row>
    <row r="101" spans="1:18" ht="15.75" customHeight="1" x14ac:dyDescent="0.2">
      <c r="A101" s="78">
        <v>100</v>
      </c>
      <c r="B101" s="50" t="s">
        <v>66</v>
      </c>
      <c r="C101" s="50" t="s">
        <v>67</v>
      </c>
      <c r="D101" s="96" t="s">
        <v>1093</v>
      </c>
      <c r="H101" s="50"/>
      <c r="O101" s="48" t="s">
        <v>139</v>
      </c>
      <c r="P101" s="153">
        <v>46062</v>
      </c>
      <c r="Q101" s="59" t="s">
        <v>70</v>
      </c>
      <c r="R101" s="48" t="s">
        <v>140</v>
      </c>
    </row>
    <row r="102" spans="1:18" ht="15.75" customHeight="1" x14ac:dyDescent="0.2">
      <c r="A102" s="78">
        <v>101</v>
      </c>
      <c r="B102" s="50" t="s">
        <v>66</v>
      </c>
      <c r="C102" s="50" t="s">
        <v>67</v>
      </c>
      <c r="D102" s="96" t="s">
        <v>1093</v>
      </c>
      <c r="H102" s="50"/>
      <c r="O102" s="48" t="s">
        <v>139</v>
      </c>
      <c r="P102" s="153">
        <v>46062</v>
      </c>
      <c r="Q102" s="59" t="s">
        <v>70</v>
      </c>
      <c r="R102" s="48" t="s">
        <v>140</v>
      </c>
    </row>
    <row r="103" spans="1:18" ht="15.75" customHeight="1" x14ac:dyDescent="0.2">
      <c r="A103" s="78">
        <v>102</v>
      </c>
      <c r="B103" s="50" t="s">
        <v>66</v>
      </c>
      <c r="C103" s="50" t="s">
        <v>67</v>
      </c>
      <c r="D103" s="96" t="s">
        <v>1093</v>
      </c>
      <c r="H103" s="50"/>
      <c r="O103" s="48" t="s">
        <v>139</v>
      </c>
      <c r="P103" s="153">
        <v>46062</v>
      </c>
      <c r="Q103" s="59" t="s">
        <v>70</v>
      </c>
      <c r="R103" s="48" t="s">
        <v>140</v>
      </c>
    </row>
    <row r="104" spans="1:18" ht="15.75" customHeight="1" x14ac:dyDescent="0.2">
      <c r="A104" s="78">
        <v>103</v>
      </c>
      <c r="B104" s="50" t="s">
        <v>66</v>
      </c>
      <c r="C104" s="50" t="s">
        <v>67</v>
      </c>
      <c r="D104" s="96" t="s">
        <v>1093</v>
      </c>
      <c r="H104" s="50"/>
      <c r="O104" s="48" t="s">
        <v>139</v>
      </c>
      <c r="P104" s="153">
        <v>46062</v>
      </c>
      <c r="Q104" s="59" t="s">
        <v>70</v>
      </c>
      <c r="R104" s="48" t="s">
        <v>140</v>
      </c>
    </row>
    <row r="105" spans="1:18" ht="15.75" customHeight="1" x14ac:dyDescent="0.2">
      <c r="A105" s="78">
        <v>104</v>
      </c>
      <c r="B105" s="50" t="s">
        <v>66</v>
      </c>
      <c r="C105" s="50" t="s">
        <v>67</v>
      </c>
      <c r="D105" s="96" t="s">
        <v>1093</v>
      </c>
      <c r="E105" s="46"/>
      <c r="F105" s="46"/>
      <c r="G105" s="46"/>
      <c r="H105" s="46"/>
      <c r="I105" s="46"/>
      <c r="O105" s="48" t="s">
        <v>139</v>
      </c>
      <c r="P105" s="153">
        <v>46062</v>
      </c>
      <c r="Q105" s="59" t="s">
        <v>70</v>
      </c>
      <c r="R105" s="48" t="s">
        <v>140</v>
      </c>
    </row>
    <row r="106" spans="1:18" ht="15.75" customHeight="1" x14ac:dyDescent="0.2">
      <c r="A106" s="78">
        <v>105</v>
      </c>
      <c r="B106" s="50" t="s">
        <v>66</v>
      </c>
      <c r="C106" s="50" t="s">
        <v>67</v>
      </c>
      <c r="D106" s="96" t="s">
        <v>1093</v>
      </c>
      <c r="H106" s="50"/>
      <c r="O106" s="48" t="s">
        <v>139</v>
      </c>
      <c r="P106" s="153">
        <v>46062</v>
      </c>
      <c r="Q106" s="59" t="s">
        <v>70</v>
      </c>
      <c r="R106" s="48" t="s">
        <v>140</v>
      </c>
    </row>
    <row r="107" spans="1:18" ht="15.75" customHeight="1" x14ac:dyDescent="0.2">
      <c r="A107" s="78">
        <v>106</v>
      </c>
      <c r="B107" s="50" t="s">
        <v>66</v>
      </c>
      <c r="C107" s="50" t="s">
        <v>67</v>
      </c>
      <c r="D107" s="96" t="s">
        <v>1093</v>
      </c>
      <c r="E107" s="46"/>
      <c r="F107" s="46"/>
      <c r="G107" s="46"/>
      <c r="H107" s="46"/>
      <c r="I107" s="46"/>
      <c r="O107" s="48" t="s">
        <v>139</v>
      </c>
      <c r="P107" s="153">
        <v>46062</v>
      </c>
      <c r="Q107" s="59" t="s">
        <v>70</v>
      </c>
      <c r="R107" s="48" t="s">
        <v>140</v>
      </c>
    </row>
    <row r="108" spans="1:18" ht="15.75" customHeight="1" x14ac:dyDescent="0.2">
      <c r="A108" s="78">
        <v>107</v>
      </c>
      <c r="B108" s="50" t="s">
        <v>66</v>
      </c>
      <c r="C108" s="50" t="s">
        <v>67</v>
      </c>
      <c r="D108" s="96" t="s">
        <v>1093</v>
      </c>
      <c r="H108" s="50"/>
      <c r="O108" s="48" t="s">
        <v>139</v>
      </c>
      <c r="P108" s="153">
        <v>46062</v>
      </c>
      <c r="Q108" s="59" t="s">
        <v>70</v>
      </c>
      <c r="R108" s="48" t="s">
        <v>140</v>
      </c>
    </row>
    <row r="109" spans="1:18" ht="15.75" customHeight="1" x14ac:dyDescent="0.2">
      <c r="A109" s="78">
        <v>108</v>
      </c>
      <c r="B109" s="50" t="s">
        <v>66</v>
      </c>
      <c r="C109" s="50" t="s">
        <v>67</v>
      </c>
      <c r="D109" s="96" t="s">
        <v>1093</v>
      </c>
      <c r="H109" s="50"/>
      <c r="O109" s="48" t="s">
        <v>139</v>
      </c>
      <c r="P109" s="153">
        <v>46062</v>
      </c>
      <c r="Q109" s="59" t="s">
        <v>70</v>
      </c>
      <c r="R109" s="48" t="s">
        <v>140</v>
      </c>
    </row>
    <row r="110" spans="1:18" ht="15.75" customHeight="1" x14ac:dyDescent="0.2">
      <c r="A110" s="78">
        <v>109</v>
      </c>
      <c r="B110" s="50" t="s">
        <v>66</v>
      </c>
      <c r="C110" s="50" t="s">
        <v>67</v>
      </c>
      <c r="D110" s="96" t="s">
        <v>1093</v>
      </c>
      <c r="H110" s="50"/>
      <c r="O110" s="48" t="s">
        <v>139</v>
      </c>
      <c r="P110" s="153">
        <v>46062</v>
      </c>
      <c r="Q110" s="59" t="s">
        <v>70</v>
      </c>
      <c r="R110" s="48" t="s">
        <v>140</v>
      </c>
    </row>
    <row r="111" spans="1:18" ht="15.75" customHeight="1" x14ac:dyDescent="0.2">
      <c r="A111" s="78">
        <v>110</v>
      </c>
      <c r="B111" s="50" t="s">
        <v>66</v>
      </c>
      <c r="C111" s="50" t="s">
        <v>67</v>
      </c>
      <c r="D111" s="96" t="s">
        <v>1093</v>
      </c>
      <c r="E111" s="46"/>
      <c r="F111" s="46"/>
      <c r="G111" s="46"/>
      <c r="H111" s="46"/>
      <c r="I111" s="46"/>
      <c r="O111" s="48" t="s">
        <v>139</v>
      </c>
      <c r="P111" s="153">
        <v>46062</v>
      </c>
      <c r="Q111" s="59" t="s">
        <v>70</v>
      </c>
      <c r="R111" s="48" t="s">
        <v>140</v>
      </c>
    </row>
    <row r="112" spans="1:18" ht="15.75" customHeight="1" x14ac:dyDescent="0.2">
      <c r="A112" s="78">
        <v>111</v>
      </c>
      <c r="B112" s="50" t="s">
        <v>66</v>
      </c>
      <c r="C112" s="50" t="s">
        <v>67</v>
      </c>
      <c r="D112" s="96" t="s">
        <v>1093</v>
      </c>
      <c r="H112" s="50"/>
      <c r="O112" s="48" t="s">
        <v>139</v>
      </c>
      <c r="P112" s="153">
        <v>46062</v>
      </c>
      <c r="Q112" s="59" t="s">
        <v>70</v>
      </c>
      <c r="R112" s="48" t="s">
        <v>140</v>
      </c>
    </row>
    <row r="113" spans="1:18" ht="15.75" customHeight="1" x14ac:dyDescent="0.2">
      <c r="A113" s="78">
        <v>112</v>
      </c>
      <c r="B113" s="50" t="s">
        <v>66</v>
      </c>
      <c r="C113" s="50" t="s">
        <v>67</v>
      </c>
      <c r="D113" s="96" t="s">
        <v>1093</v>
      </c>
      <c r="H113" s="50"/>
      <c r="O113" s="48" t="s">
        <v>139</v>
      </c>
      <c r="P113" s="153">
        <v>46062</v>
      </c>
      <c r="Q113" s="59" t="s">
        <v>70</v>
      </c>
      <c r="R113" s="48" t="s">
        <v>140</v>
      </c>
    </row>
    <row r="114" spans="1:18" ht="15.75" customHeight="1" x14ac:dyDescent="0.2">
      <c r="A114" s="78">
        <v>113</v>
      </c>
      <c r="B114" s="50" t="s">
        <v>66</v>
      </c>
      <c r="C114" s="50" t="s">
        <v>67</v>
      </c>
      <c r="D114" s="96" t="s">
        <v>1093</v>
      </c>
      <c r="H114" s="50"/>
      <c r="O114" s="48" t="s">
        <v>139</v>
      </c>
      <c r="P114" s="153">
        <v>46062</v>
      </c>
      <c r="Q114" s="59" t="s">
        <v>70</v>
      </c>
      <c r="R114" s="48" t="s">
        <v>140</v>
      </c>
    </row>
    <row r="115" spans="1:18" ht="15.75" customHeight="1" x14ac:dyDescent="0.2">
      <c r="A115" s="78">
        <v>114</v>
      </c>
      <c r="B115" s="50" t="s">
        <v>66</v>
      </c>
      <c r="C115" s="50" t="s">
        <v>67</v>
      </c>
      <c r="D115" s="96" t="s">
        <v>1093</v>
      </c>
      <c r="H115" s="50"/>
      <c r="O115" s="48" t="s">
        <v>139</v>
      </c>
      <c r="P115" s="153">
        <v>46062</v>
      </c>
      <c r="Q115" s="59" t="s">
        <v>70</v>
      </c>
      <c r="R115" s="48" t="s">
        <v>140</v>
      </c>
    </row>
    <row r="116" spans="1:18" ht="15.75" customHeight="1" x14ac:dyDescent="0.2">
      <c r="A116" s="78">
        <v>115</v>
      </c>
      <c r="B116" s="50" t="s">
        <v>66</v>
      </c>
      <c r="C116" s="50" t="s">
        <v>67</v>
      </c>
      <c r="D116" s="96" t="s">
        <v>1093</v>
      </c>
      <c r="H116" s="50"/>
      <c r="O116" s="48" t="s">
        <v>139</v>
      </c>
      <c r="P116" s="153">
        <v>46062</v>
      </c>
      <c r="Q116" s="59" t="s">
        <v>70</v>
      </c>
      <c r="R116" s="48" t="s">
        <v>140</v>
      </c>
    </row>
    <row r="117" spans="1:18" ht="15.75" customHeight="1" x14ac:dyDescent="0.2">
      <c r="A117" s="78">
        <v>116</v>
      </c>
      <c r="B117" s="50" t="s">
        <v>66</v>
      </c>
      <c r="C117" s="50" t="s">
        <v>67</v>
      </c>
      <c r="D117" s="96" t="s">
        <v>1093</v>
      </c>
      <c r="H117" s="50"/>
      <c r="O117" s="48" t="s">
        <v>139</v>
      </c>
      <c r="P117" s="153">
        <v>46062</v>
      </c>
      <c r="Q117" s="59" t="s">
        <v>70</v>
      </c>
      <c r="R117" s="48" t="s">
        <v>140</v>
      </c>
    </row>
    <row r="118" spans="1:18" ht="15.75" customHeight="1" x14ac:dyDescent="0.2">
      <c r="A118" s="78">
        <v>117</v>
      </c>
      <c r="B118" s="50" t="s">
        <v>66</v>
      </c>
      <c r="C118" s="50" t="s">
        <v>67</v>
      </c>
      <c r="D118" s="96" t="s">
        <v>1093</v>
      </c>
      <c r="H118" s="50"/>
      <c r="O118" s="48" t="s">
        <v>139</v>
      </c>
      <c r="P118" s="153">
        <v>46062</v>
      </c>
      <c r="Q118" s="59" t="s">
        <v>70</v>
      </c>
      <c r="R118" s="48" t="s">
        <v>140</v>
      </c>
    </row>
    <row r="119" spans="1:18" ht="15.75" customHeight="1" x14ac:dyDescent="0.2">
      <c r="A119" s="78">
        <v>118</v>
      </c>
      <c r="B119" s="50" t="s">
        <v>66</v>
      </c>
      <c r="C119" s="50" t="s">
        <v>67</v>
      </c>
      <c r="D119" s="96" t="s">
        <v>1093</v>
      </c>
      <c r="H119" s="50"/>
      <c r="O119" s="48" t="s">
        <v>139</v>
      </c>
      <c r="P119" s="153">
        <v>46062</v>
      </c>
      <c r="Q119" s="59" t="s">
        <v>70</v>
      </c>
      <c r="R119" s="48" t="s">
        <v>140</v>
      </c>
    </row>
    <row r="120" spans="1:18" ht="15.75" customHeight="1" x14ac:dyDescent="0.2">
      <c r="A120" s="78">
        <v>119</v>
      </c>
      <c r="B120" s="50" t="s">
        <v>66</v>
      </c>
      <c r="C120" s="50" t="s">
        <v>67</v>
      </c>
      <c r="D120" s="96" t="s">
        <v>1093</v>
      </c>
      <c r="H120" s="50"/>
      <c r="O120" s="48" t="s">
        <v>139</v>
      </c>
      <c r="P120" s="153">
        <v>46062</v>
      </c>
      <c r="Q120" s="59" t="s">
        <v>70</v>
      </c>
      <c r="R120" s="48" t="s">
        <v>140</v>
      </c>
    </row>
    <row r="121" spans="1:18" ht="15.75" customHeight="1" x14ac:dyDescent="0.2">
      <c r="A121" s="78">
        <v>120</v>
      </c>
      <c r="B121" s="50" t="s">
        <v>66</v>
      </c>
      <c r="C121" s="50" t="s">
        <v>67</v>
      </c>
      <c r="D121" s="96" t="s">
        <v>1093</v>
      </c>
      <c r="H121" s="50"/>
      <c r="O121" s="48" t="s">
        <v>139</v>
      </c>
      <c r="P121" s="153">
        <v>46062</v>
      </c>
      <c r="Q121" s="59" t="s">
        <v>70</v>
      </c>
      <c r="R121" s="48" t="s">
        <v>140</v>
      </c>
    </row>
    <row r="122" spans="1:18" ht="15.75" customHeight="1" x14ac:dyDescent="0.2">
      <c r="A122" s="182"/>
      <c r="B122" s="50"/>
      <c r="C122" s="50"/>
      <c r="H122" s="50"/>
    </row>
    <row r="123" spans="1:18" ht="15.75" customHeight="1" x14ac:dyDescent="0.2">
      <c r="A123" s="182"/>
      <c r="B123" s="50"/>
      <c r="C123" s="50"/>
      <c r="H123" s="50"/>
    </row>
    <row r="124" spans="1:18" ht="15.75" customHeight="1" x14ac:dyDescent="0.2">
      <c r="A124" s="182"/>
      <c r="B124" s="50"/>
      <c r="C124" s="50"/>
      <c r="H124" s="50"/>
    </row>
    <row r="125" spans="1:18" ht="15.75" customHeight="1" x14ac:dyDescent="0.2">
      <c r="A125" s="182"/>
      <c r="B125" s="50"/>
      <c r="C125" s="50"/>
      <c r="H125" s="50"/>
    </row>
    <row r="126" spans="1:18" ht="15.75" customHeight="1" x14ac:dyDescent="0.2">
      <c r="A126" s="182"/>
      <c r="B126" s="50"/>
      <c r="C126" s="50"/>
      <c r="H126" s="50"/>
    </row>
    <row r="127" spans="1:18" ht="15.75" customHeight="1" x14ac:dyDescent="0.2">
      <c r="A127" s="182"/>
      <c r="B127" s="50"/>
      <c r="C127" s="50"/>
      <c r="H127" s="50"/>
    </row>
    <row r="128" spans="1:18" ht="15.75" customHeight="1" x14ac:dyDescent="0.2">
      <c r="A128" s="182"/>
      <c r="B128" s="50"/>
      <c r="C128" s="50"/>
      <c r="H128" s="50"/>
    </row>
    <row r="129" spans="1:8" ht="15.75" customHeight="1" x14ac:dyDescent="0.2">
      <c r="A129" s="182"/>
      <c r="B129" s="50"/>
      <c r="C129" s="50"/>
      <c r="H129" s="50"/>
    </row>
    <row r="130" spans="1:8" ht="15.75" customHeight="1" x14ac:dyDescent="0.2">
      <c r="A130" s="182"/>
      <c r="B130" s="50"/>
      <c r="C130" s="50"/>
      <c r="H130" s="50"/>
    </row>
    <row r="131" spans="1:8" ht="15.75" customHeight="1" x14ac:dyDescent="0.2">
      <c r="A131" s="182"/>
      <c r="B131" s="50"/>
      <c r="C131" s="50"/>
      <c r="H131" s="50"/>
    </row>
    <row r="132" spans="1:8" ht="15.75" customHeight="1" x14ac:dyDescent="0.2">
      <c r="A132" s="182"/>
      <c r="B132" s="50"/>
      <c r="C132" s="50"/>
      <c r="H132" s="50"/>
    </row>
    <row r="133" spans="1:8" ht="15.75" customHeight="1" x14ac:dyDescent="0.2">
      <c r="A133" s="182"/>
      <c r="B133" s="50"/>
      <c r="C133" s="50"/>
      <c r="H133" s="50"/>
    </row>
    <row r="134" spans="1:8" ht="15.75" customHeight="1" x14ac:dyDescent="0.2">
      <c r="A134" s="182"/>
      <c r="B134" s="50"/>
      <c r="C134" s="50"/>
      <c r="H134" s="50"/>
    </row>
    <row r="135" spans="1:8" ht="15.75" customHeight="1" x14ac:dyDescent="0.2">
      <c r="A135" s="182"/>
      <c r="B135" s="50"/>
      <c r="C135" s="50"/>
      <c r="H135" s="50"/>
    </row>
    <row r="136" spans="1:8" ht="15.75" customHeight="1" x14ac:dyDescent="0.2">
      <c r="A136" s="182"/>
      <c r="B136" s="50"/>
      <c r="C136" s="50"/>
      <c r="H136" s="50"/>
    </row>
    <row r="137" spans="1:8" ht="15.75" customHeight="1" x14ac:dyDescent="0.2">
      <c r="A137" s="182"/>
      <c r="B137" s="50"/>
      <c r="C137" s="50"/>
      <c r="H137" s="50"/>
    </row>
    <row r="138" spans="1:8" ht="15.75" customHeight="1" x14ac:dyDescent="0.2">
      <c r="A138" s="182"/>
      <c r="B138" s="50"/>
      <c r="C138" s="50"/>
      <c r="H138" s="50"/>
    </row>
    <row r="139" spans="1:8" ht="15.75" customHeight="1" x14ac:dyDescent="0.2">
      <c r="A139" s="182"/>
      <c r="B139" s="50"/>
      <c r="C139" s="50"/>
      <c r="H139" s="50"/>
    </row>
    <row r="140" spans="1:8" ht="15.75" customHeight="1" x14ac:dyDescent="0.2">
      <c r="A140" s="182"/>
      <c r="B140" s="50"/>
      <c r="C140" s="50"/>
      <c r="H140" s="50"/>
    </row>
    <row r="141" spans="1:8" ht="15.75" customHeight="1" x14ac:dyDescent="0.2">
      <c r="A141" s="182"/>
      <c r="B141" s="50"/>
      <c r="C141" s="50"/>
      <c r="H141" s="50"/>
    </row>
    <row r="142" spans="1:8" ht="15.75" customHeight="1" x14ac:dyDescent="0.2">
      <c r="A142" s="182"/>
      <c r="B142" s="50"/>
      <c r="C142" s="50"/>
      <c r="H142" s="50"/>
    </row>
    <row r="143" spans="1:8" ht="15.75" customHeight="1" x14ac:dyDescent="0.2">
      <c r="A143" s="182"/>
      <c r="B143" s="50"/>
      <c r="C143" s="50"/>
      <c r="H143" s="50"/>
    </row>
    <row r="144" spans="1:8" ht="15.75" customHeight="1" x14ac:dyDescent="0.2">
      <c r="A144" s="182"/>
      <c r="B144" s="50"/>
      <c r="C144" s="50"/>
      <c r="H144" s="50"/>
    </row>
    <row r="145" spans="1:8" ht="15.75" customHeight="1" x14ac:dyDescent="0.2">
      <c r="A145" s="182"/>
      <c r="B145" s="50"/>
      <c r="C145" s="50"/>
      <c r="H145" s="50"/>
    </row>
    <row r="146" spans="1:8" ht="15.75" customHeight="1" x14ac:dyDescent="0.2">
      <c r="A146" s="182"/>
      <c r="B146" s="50"/>
      <c r="C146" s="50"/>
      <c r="H146" s="50"/>
    </row>
    <row r="147" spans="1:8" ht="15.75" customHeight="1" x14ac:dyDescent="0.2">
      <c r="A147" s="182"/>
      <c r="B147" s="50"/>
      <c r="C147" s="50"/>
      <c r="H147" s="50"/>
    </row>
    <row r="148" spans="1:8" ht="15.75" customHeight="1" x14ac:dyDescent="0.2">
      <c r="A148" s="182"/>
      <c r="B148" s="50"/>
      <c r="C148" s="50"/>
      <c r="H148" s="50"/>
    </row>
    <row r="149" spans="1:8" ht="15.75" customHeight="1" x14ac:dyDescent="0.2">
      <c r="A149" s="182"/>
      <c r="B149" s="50"/>
      <c r="C149" s="50"/>
      <c r="H149" s="50"/>
    </row>
    <row r="150" spans="1:8" ht="15.75" customHeight="1" x14ac:dyDescent="0.2">
      <c r="A150" s="182"/>
      <c r="B150" s="50"/>
      <c r="C150" s="50"/>
      <c r="H150" s="50"/>
    </row>
    <row r="151" spans="1:8" ht="15.75" customHeight="1" x14ac:dyDescent="0.2">
      <c r="A151" s="182"/>
      <c r="B151" s="50"/>
      <c r="C151" s="50"/>
      <c r="H151" s="50"/>
    </row>
    <row r="152" spans="1:8" ht="15.75" customHeight="1" x14ac:dyDescent="0.2">
      <c r="A152" s="182"/>
      <c r="B152" s="50"/>
      <c r="C152" s="50"/>
      <c r="H152" s="50"/>
    </row>
    <row r="153" spans="1:8" ht="15.75" customHeight="1" x14ac:dyDescent="0.2">
      <c r="A153" s="182"/>
      <c r="B153" s="50"/>
      <c r="C153" s="50"/>
      <c r="H153" s="50"/>
    </row>
    <row r="154" spans="1:8" ht="15.75" customHeight="1" x14ac:dyDescent="0.2">
      <c r="A154" s="182"/>
      <c r="B154" s="50"/>
      <c r="C154" s="50"/>
      <c r="H154" s="50"/>
    </row>
    <row r="155" spans="1:8" ht="15.75" customHeight="1" x14ac:dyDescent="0.2">
      <c r="A155" s="182"/>
      <c r="B155" s="50"/>
      <c r="C155" s="50"/>
      <c r="H155" s="50"/>
    </row>
    <row r="156" spans="1:8" ht="15.75" customHeight="1" x14ac:dyDescent="0.2">
      <c r="A156" s="182"/>
      <c r="B156" s="50"/>
      <c r="C156" s="50"/>
      <c r="H156" s="50"/>
    </row>
    <row r="157" spans="1:8" ht="15.75" customHeight="1" x14ac:dyDescent="0.2">
      <c r="A157" s="182"/>
      <c r="B157" s="50"/>
      <c r="C157" s="50"/>
      <c r="H157" s="50"/>
    </row>
    <row r="158" spans="1:8" ht="15.75" customHeight="1" x14ac:dyDescent="0.2">
      <c r="A158" s="182"/>
      <c r="B158" s="50"/>
      <c r="C158" s="50"/>
      <c r="H158" s="50"/>
    </row>
    <row r="159" spans="1:8" ht="15.75" customHeight="1" x14ac:dyDescent="0.2">
      <c r="A159" s="182"/>
      <c r="B159" s="50"/>
      <c r="C159" s="50"/>
      <c r="H159" s="50"/>
    </row>
    <row r="160" spans="1:8" ht="15.75" customHeight="1" x14ac:dyDescent="0.2">
      <c r="A160" s="182"/>
      <c r="B160" s="50"/>
      <c r="C160" s="50"/>
      <c r="H160" s="50"/>
    </row>
    <row r="161" spans="1:8" ht="15.75" customHeight="1" x14ac:dyDescent="0.2">
      <c r="A161" s="182"/>
      <c r="B161" s="50"/>
      <c r="C161" s="50"/>
      <c r="H161" s="50"/>
    </row>
    <row r="162" spans="1:8" ht="15.75" customHeight="1" x14ac:dyDescent="0.2">
      <c r="A162" s="182"/>
      <c r="B162" s="50"/>
      <c r="C162" s="50"/>
      <c r="H162" s="50"/>
    </row>
    <row r="163" spans="1:8" ht="15.75" customHeight="1" x14ac:dyDescent="0.2">
      <c r="A163" s="182"/>
      <c r="B163" s="50"/>
      <c r="C163" s="50"/>
      <c r="H163" s="50"/>
    </row>
    <row r="164" spans="1:8" ht="15.75" customHeight="1" x14ac:dyDescent="0.2">
      <c r="A164" s="182"/>
      <c r="B164" s="50"/>
      <c r="C164" s="50"/>
      <c r="H164" s="50"/>
    </row>
    <row r="165" spans="1:8" ht="15.75" customHeight="1" x14ac:dyDescent="0.2">
      <c r="A165" s="182"/>
      <c r="B165" s="50"/>
      <c r="C165" s="50"/>
      <c r="H165" s="50"/>
    </row>
    <row r="166" spans="1:8" ht="15.75" customHeight="1" x14ac:dyDescent="0.2">
      <c r="A166" s="182"/>
      <c r="B166" s="50"/>
      <c r="C166" s="50"/>
      <c r="H166" s="50"/>
    </row>
    <row r="167" spans="1:8" ht="15.75" customHeight="1" x14ac:dyDescent="0.2">
      <c r="A167" s="182"/>
      <c r="B167" s="50"/>
      <c r="C167" s="50"/>
      <c r="H167" s="50"/>
    </row>
    <row r="168" spans="1:8" ht="15.75" customHeight="1" x14ac:dyDescent="0.2">
      <c r="A168" s="182"/>
      <c r="B168" s="50"/>
      <c r="C168" s="50"/>
      <c r="H168" s="50"/>
    </row>
    <row r="169" spans="1:8" ht="15.75" customHeight="1" x14ac:dyDescent="0.2">
      <c r="A169" s="182"/>
      <c r="B169" s="50"/>
      <c r="C169" s="50"/>
      <c r="H169" s="50"/>
    </row>
    <row r="170" spans="1:8" ht="15.75" customHeight="1" x14ac:dyDescent="0.2">
      <c r="A170" s="182"/>
      <c r="B170" s="50"/>
      <c r="C170" s="50"/>
      <c r="H170" s="50"/>
    </row>
    <row r="171" spans="1:8" ht="15.75" customHeight="1" x14ac:dyDescent="0.2">
      <c r="A171" s="182"/>
      <c r="B171" s="50"/>
      <c r="C171" s="50"/>
      <c r="H171" s="50"/>
    </row>
    <row r="172" spans="1:8" ht="15.75" customHeight="1" x14ac:dyDescent="0.2">
      <c r="A172" s="182"/>
      <c r="B172" s="50"/>
      <c r="C172" s="50"/>
      <c r="H172" s="50"/>
    </row>
    <row r="173" spans="1:8" ht="15.75" customHeight="1" x14ac:dyDescent="0.2">
      <c r="A173" s="182"/>
      <c r="B173" s="50"/>
      <c r="C173" s="50"/>
      <c r="H173" s="50"/>
    </row>
    <row r="174" spans="1:8" ht="15.75" customHeight="1" x14ac:dyDescent="0.2">
      <c r="A174" s="182"/>
      <c r="B174" s="50"/>
      <c r="C174" s="50"/>
      <c r="H174" s="50"/>
    </row>
    <row r="175" spans="1:8" ht="15.75" customHeight="1" x14ac:dyDescent="0.2">
      <c r="A175" s="182"/>
      <c r="B175" s="50"/>
      <c r="C175" s="50"/>
      <c r="H175" s="50"/>
    </row>
    <row r="176" spans="1:8" ht="15.75" customHeight="1" x14ac:dyDescent="0.2">
      <c r="A176" s="182"/>
      <c r="B176" s="50"/>
      <c r="C176" s="50"/>
      <c r="H176" s="50"/>
    </row>
    <row r="177" spans="1:8" ht="15.75" customHeight="1" x14ac:dyDescent="0.2">
      <c r="A177" s="182"/>
      <c r="B177" s="50"/>
      <c r="C177" s="50"/>
      <c r="H177" s="50"/>
    </row>
    <row r="178" spans="1:8" ht="15.75" customHeight="1" x14ac:dyDescent="0.2">
      <c r="A178" s="182"/>
      <c r="B178" s="50"/>
      <c r="C178" s="50"/>
      <c r="H178" s="50"/>
    </row>
    <row r="179" spans="1:8" ht="15.75" customHeight="1" x14ac:dyDescent="0.2">
      <c r="A179" s="182"/>
      <c r="B179" s="50"/>
      <c r="C179" s="50"/>
      <c r="H179" s="50"/>
    </row>
    <row r="180" spans="1:8" ht="15.75" customHeight="1" x14ac:dyDescent="0.2">
      <c r="A180" s="182"/>
      <c r="B180" s="50"/>
      <c r="C180" s="50"/>
      <c r="H180" s="50"/>
    </row>
    <row r="181" spans="1:8" ht="15.75" customHeight="1" x14ac:dyDescent="0.2">
      <c r="A181" s="182"/>
      <c r="B181" s="50"/>
      <c r="C181" s="50"/>
      <c r="H181" s="50"/>
    </row>
    <row r="182" spans="1:8" ht="15.75" customHeight="1" x14ac:dyDescent="0.2">
      <c r="A182" s="182"/>
      <c r="B182" s="50"/>
      <c r="C182" s="50"/>
      <c r="H182" s="50"/>
    </row>
    <row r="183" spans="1:8" ht="15.75" customHeight="1" x14ac:dyDescent="0.2">
      <c r="A183" s="182"/>
      <c r="B183" s="50"/>
      <c r="C183" s="50"/>
      <c r="H183" s="50"/>
    </row>
    <row r="184" spans="1:8" ht="15.75" customHeight="1" x14ac:dyDescent="0.2">
      <c r="A184" s="182"/>
      <c r="B184" s="50"/>
      <c r="C184" s="50"/>
      <c r="H184" s="50"/>
    </row>
    <row r="185" spans="1:8" ht="15.75" customHeight="1" x14ac:dyDescent="0.2">
      <c r="A185" s="182"/>
      <c r="B185" s="50"/>
      <c r="C185" s="50"/>
      <c r="H185" s="50"/>
    </row>
    <row r="186" spans="1:8" ht="15.75" customHeight="1" x14ac:dyDescent="0.2">
      <c r="A186" s="182"/>
      <c r="B186" s="50"/>
      <c r="C186" s="50"/>
      <c r="H186" s="50"/>
    </row>
    <row r="187" spans="1:8" ht="15.75" customHeight="1" x14ac:dyDescent="0.2">
      <c r="A187" s="182"/>
      <c r="B187" s="50"/>
      <c r="C187" s="50"/>
      <c r="H187" s="50"/>
    </row>
    <row r="188" spans="1:8" ht="15.75" customHeight="1" x14ac:dyDescent="0.2">
      <c r="A188" s="182"/>
      <c r="B188" s="50"/>
      <c r="C188" s="50"/>
      <c r="H188" s="50"/>
    </row>
    <row r="189" spans="1:8" ht="15.75" customHeight="1" x14ac:dyDescent="0.2">
      <c r="A189" s="182"/>
      <c r="B189" s="50"/>
      <c r="C189" s="50"/>
      <c r="H189" s="50"/>
    </row>
    <row r="190" spans="1:8" ht="15.75" customHeight="1" x14ac:dyDescent="0.2">
      <c r="A190" s="182"/>
      <c r="B190" s="50"/>
      <c r="C190" s="50"/>
      <c r="H190" s="50"/>
    </row>
    <row r="191" spans="1:8" ht="15.75" customHeight="1" x14ac:dyDescent="0.2">
      <c r="A191" s="182"/>
      <c r="B191" s="50"/>
      <c r="C191" s="50"/>
      <c r="H191" s="50"/>
    </row>
    <row r="192" spans="1:8" ht="15.75" customHeight="1" x14ac:dyDescent="0.2">
      <c r="A192" s="182"/>
      <c r="B192" s="50"/>
      <c r="C192" s="50"/>
      <c r="H192" s="50"/>
    </row>
    <row r="193" spans="1:8" ht="15.75" customHeight="1" x14ac:dyDescent="0.2">
      <c r="A193" s="182"/>
      <c r="B193" s="50"/>
      <c r="C193" s="50"/>
      <c r="H193" s="50"/>
    </row>
    <row r="194" spans="1:8" ht="15.75" customHeight="1" x14ac:dyDescent="0.2">
      <c r="A194" s="182"/>
      <c r="B194" s="50"/>
      <c r="C194" s="50"/>
      <c r="H194" s="50"/>
    </row>
    <row r="195" spans="1:8" ht="15.75" customHeight="1" x14ac:dyDescent="0.2">
      <c r="A195" s="182"/>
      <c r="B195" s="50"/>
      <c r="C195" s="50"/>
      <c r="H195" s="50"/>
    </row>
    <row r="196" spans="1:8" ht="15.75" customHeight="1" x14ac:dyDescent="0.2">
      <c r="A196" s="182"/>
      <c r="B196" s="50"/>
      <c r="C196" s="50"/>
      <c r="H196" s="50"/>
    </row>
    <row r="197" spans="1:8" ht="15.75" customHeight="1" x14ac:dyDescent="0.2">
      <c r="A197" s="182"/>
      <c r="B197" s="50"/>
      <c r="C197" s="50"/>
      <c r="H197" s="50"/>
    </row>
    <row r="198" spans="1:8" ht="15.75" customHeight="1" x14ac:dyDescent="0.2">
      <c r="A198" s="182"/>
      <c r="B198" s="50"/>
      <c r="C198" s="50"/>
      <c r="H198" s="50"/>
    </row>
    <row r="199" spans="1:8" ht="15.75" customHeight="1" x14ac:dyDescent="0.2">
      <c r="A199" s="182"/>
      <c r="B199" s="50"/>
      <c r="C199" s="50"/>
      <c r="H199" s="50"/>
    </row>
    <row r="200" spans="1:8" ht="15.75" customHeight="1" x14ac:dyDescent="0.2">
      <c r="A200" s="182"/>
      <c r="B200" s="50"/>
      <c r="C200" s="50"/>
      <c r="H200" s="50"/>
    </row>
    <row r="201" spans="1:8" ht="15.75" customHeight="1" x14ac:dyDescent="0.2">
      <c r="A201" s="182"/>
      <c r="B201" s="50"/>
      <c r="C201" s="50"/>
      <c r="H201" s="50"/>
    </row>
    <row r="202" spans="1:8" ht="15.75" customHeight="1" x14ac:dyDescent="0.2">
      <c r="A202" s="182"/>
      <c r="B202" s="50"/>
      <c r="C202" s="50"/>
      <c r="H202" s="50"/>
    </row>
    <row r="203" spans="1:8" ht="15.75" customHeight="1" x14ac:dyDescent="0.2">
      <c r="A203" s="182"/>
      <c r="B203" s="50"/>
      <c r="C203" s="50"/>
      <c r="H203" s="50"/>
    </row>
    <row r="204" spans="1:8" ht="15.75" customHeight="1" x14ac:dyDescent="0.2">
      <c r="A204" s="182"/>
      <c r="B204" s="50"/>
      <c r="C204" s="50"/>
      <c r="H204" s="50"/>
    </row>
    <row r="205" spans="1:8" ht="15.75" customHeight="1" x14ac:dyDescent="0.2">
      <c r="A205" s="182"/>
      <c r="B205" s="50"/>
      <c r="C205" s="50"/>
      <c r="H205" s="50"/>
    </row>
    <row r="206" spans="1:8" ht="15.75" customHeight="1" x14ac:dyDescent="0.2">
      <c r="A206" s="182"/>
      <c r="B206" s="50"/>
      <c r="C206" s="50"/>
      <c r="H206" s="50"/>
    </row>
    <row r="207" spans="1:8" ht="15.75" customHeight="1" x14ac:dyDescent="0.2">
      <c r="A207" s="182"/>
      <c r="B207" s="50"/>
      <c r="C207" s="50"/>
      <c r="H207" s="50"/>
    </row>
    <row r="208" spans="1:8" ht="15.75" customHeight="1" x14ac:dyDescent="0.2">
      <c r="A208" s="182"/>
      <c r="B208" s="50"/>
      <c r="C208" s="50"/>
      <c r="H208" s="50"/>
    </row>
    <row r="209" spans="1:8" ht="15.75" customHeight="1" x14ac:dyDescent="0.2">
      <c r="A209" s="182"/>
      <c r="B209" s="50"/>
      <c r="C209" s="50"/>
      <c r="H209" s="50"/>
    </row>
    <row r="210" spans="1:8" ht="15.75" customHeight="1" x14ac:dyDescent="0.2">
      <c r="A210" s="182"/>
      <c r="B210" s="50"/>
      <c r="C210" s="50"/>
      <c r="H210" s="50"/>
    </row>
    <row r="211" spans="1:8" ht="15.75" customHeight="1" x14ac:dyDescent="0.2">
      <c r="A211" s="182"/>
      <c r="B211" s="50"/>
      <c r="C211" s="50"/>
      <c r="H211" s="50"/>
    </row>
    <row r="212" spans="1:8" ht="15.75" customHeight="1" x14ac:dyDescent="0.2">
      <c r="A212" s="182"/>
      <c r="B212" s="50"/>
      <c r="C212" s="50"/>
      <c r="H212" s="50"/>
    </row>
    <row r="213" spans="1:8" ht="15.75" customHeight="1" x14ac:dyDescent="0.2">
      <c r="A213" s="182"/>
      <c r="B213" s="50"/>
      <c r="C213" s="50"/>
      <c r="H213" s="50"/>
    </row>
    <row r="214" spans="1:8" ht="15.75" customHeight="1" x14ac:dyDescent="0.2">
      <c r="A214" s="182"/>
      <c r="B214" s="50"/>
      <c r="C214" s="50"/>
      <c r="H214" s="50"/>
    </row>
    <row r="215" spans="1:8" ht="15.75" customHeight="1" x14ac:dyDescent="0.2">
      <c r="A215" s="182"/>
      <c r="B215" s="50"/>
      <c r="C215" s="50"/>
      <c r="H215" s="50"/>
    </row>
    <row r="216" spans="1:8" ht="15.75" customHeight="1" x14ac:dyDescent="0.2">
      <c r="B216" s="59"/>
      <c r="C216" s="59"/>
      <c r="H216" s="59"/>
    </row>
    <row r="217" spans="1:8" ht="15.75" customHeight="1" x14ac:dyDescent="0.2">
      <c r="B217" s="59"/>
      <c r="C217" s="59"/>
      <c r="H217" s="59"/>
    </row>
    <row r="218" spans="1:8" ht="15.75" customHeight="1" x14ac:dyDescent="0.2">
      <c r="B218" s="59"/>
      <c r="C218" s="59"/>
      <c r="H218" s="59"/>
    </row>
    <row r="219" spans="1:8" ht="15.75" customHeight="1" x14ac:dyDescent="0.2">
      <c r="B219" s="59"/>
      <c r="C219" s="59"/>
      <c r="H219" s="59"/>
    </row>
    <row r="220" spans="1:8" ht="15.75" customHeight="1" x14ac:dyDescent="0.2">
      <c r="B220" s="59"/>
      <c r="C220" s="59"/>
      <c r="H220" s="59"/>
    </row>
    <row r="221" spans="1:8" ht="15.75" customHeight="1" x14ac:dyDescent="0.2">
      <c r="B221" s="59"/>
      <c r="C221" s="59"/>
      <c r="H221" s="59"/>
    </row>
    <row r="222" spans="1:8" ht="15.75" customHeight="1" x14ac:dyDescent="0.2">
      <c r="B222" s="59"/>
      <c r="C222" s="59"/>
      <c r="H222" s="59"/>
    </row>
    <row r="223" spans="1:8" ht="15.75" customHeight="1" x14ac:dyDescent="0.2">
      <c r="B223" s="59"/>
      <c r="C223" s="59"/>
      <c r="H223" s="59"/>
    </row>
    <row r="224" spans="1:8" ht="15.75" customHeight="1" x14ac:dyDescent="0.2">
      <c r="B224" s="59"/>
      <c r="C224" s="59"/>
      <c r="H224" s="59"/>
    </row>
    <row r="225" spans="2:8" ht="15.75" customHeight="1" x14ac:dyDescent="0.2">
      <c r="B225" s="59"/>
      <c r="C225" s="59"/>
      <c r="H225" s="59"/>
    </row>
    <row r="226" spans="2:8" ht="15.75" customHeight="1" x14ac:dyDescent="0.2">
      <c r="B226" s="59"/>
      <c r="C226" s="59"/>
      <c r="H226" s="59"/>
    </row>
    <row r="227" spans="2:8" ht="15.75" customHeight="1" x14ac:dyDescent="0.2">
      <c r="B227" s="59"/>
      <c r="C227" s="59"/>
      <c r="H227" s="59"/>
    </row>
    <row r="228" spans="2:8" ht="15.75" customHeight="1" x14ac:dyDescent="0.2">
      <c r="B228" s="59"/>
      <c r="C228" s="59"/>
      <c r="H228" s="59"/>
    </row>
    <row r="229" spans="2:8" ht="15.75" customHeight="1" x14ac:dyDescent="0.2">
      <c r="B229" s="59"/>
      <c r="C229" s="59"/>
      <c r="H229" s="59"/>
    </row>
    <row r="230" spans="2:8" ht="15.75" customHeight="1" x14ac:dyDescent="0.2">
      <c r="B230" s="59"/>
      <c r="C230" s="59"/>
      <c r="H230" s="59"/>
    </row>
    <row r="231" spans="2:8" ht="15.75" customHeight="1" x14ac:dyDescent="0.2">
      <c r="B231" s="59"/>
      <c r="C231" s="59"/>
      <c r="H231" s="59"/>
    </row>
    <row r="232" spans="2:8" ht="15.75" customHeight="1" x14ac:dyDescent="0.2">
      <c r="B232" s="59"/>
      <c r="C232" s="59"/>
      <c r="H232" s="59"/>
    </row>
    <row r="233" spans="2:8" ht="15.75" customHeight="1" x14ac:dyDescent="0.2">
      <c r="B233" s="59"/>
      <c r="C233" s="59"/>
      <c r="H233" s="59"/>
    </row>
    <row r="234" spans="2:8" ht="15.75" customHeight="1" x14ac:dyDescent="0.2">
      <c r="B234" s="59"/>
      <c r="C234" s="59"/>
      <c r="H234" s="59"/>
    </row>
    <row r="235" spans="2:8" ht="15.75" customHeight="1" x14ac:dyDescent="0.2">
      <c r="B235" s="59"/>
      <c r="C235" s="59"/>
      <c r="H235" s="59"/>
    </row>
    <row r="236" spans="2:8" ht="15.75" customHeight="1" x14ac:dyDescent="0.2">
      <c r="B236" s="59"/>
      <c r="C236" s="59"/>
      <c r="H236" s="59"/>
    </row>
    <row r="237" spans="2:8" ht="15.75" customHeight="1" x14ac:dyDescent="0.2">
      <c r="B237" s="59"/>
      <c r="C237" s="59"/>
      <c r="H237" s="59"/>
    </row>
    <row r="238" spans="2:8" ht="15.75" customHeight="1" x14ac:dyDescent="0.2">
      <c r="B238" s="59"/>
      <c r="C238" s="59"/>
      <c r="H238" s="59"/>
    </row>
    <row r="239" spans="2:8" ht="15.75" customHeight="1" x14ac:dyDescent="0.2">
      <c r="B239" s="59"/>
      <c r="C239" s="59"/>
      <c r="H239" s="59"/>
    </row>
    <row r="240" spans="2:8" ht="15.75" customHeight="1" x14ac:dyDescent="0.2">
      <c r="B240" s="59"/>
      <c r="C240" s="59"/>
      <c r="H240" s="59"/>
    </row>
    <row r="241" spans="2:8" ht="15.75" customHeight="1" x14ac:dyDescent="0.2">
      <c r="B241" s="59"/>
      <c r="C241" s="59"/>
      <c r="H241" s="59"/>
    </row>
    <row r="242" spans="2:8" ht="15.75" customHeight="1" x14ac:dyDescent="0.2">
      <c r="B242" s="59"/>
      <c r="C242" s="59"/>
      <c r="H242" s="59"/>
    </row>
    <row r="243" spans="2:8" ht="15.75" customHeight="1" x14ac:dyDescent="0.2">
      <c r="B243" s="59"/>
      <c r="C243" s="59"/>
      <c r="H243" s="59"/>
    </row>
    <row r="244" spans="2:8" ht="15.75" customHeight="1" x14ac:dyDescent="0.2">
      <c r="B244" s="59"/>
      <c r="C244" s="59"/>
      <c r="H244" s="59"/>
    </row>
    <row r="245" spans="2:8" ht="15.75" customHeight="1" x14ac:dyDescent="0.2">
      <c r="B245" s="59"/>
      <c r="C245" s="59"/>
      <c r="H245" s="59"/>
    </row>
    <row r="246" spans="2:8" ht="15.75" customHeight="1" x14ac:dyDescent="0.2">
      <c r="B246" s="59"/>
      <c r="C246" s="59"/>
      <c r="H246" s="59"/>
    </row>
    <row r="247" spans="2:8" ht="15.75" customHeight="1" x14ac:dyDescent="0.2">
      <c r="B247" s="59"/>
      <c r="C247" s="59"/>
      <c r="H247" s="59"/>
    </row>
    <row r="248" spans="2:8" ht="15.75" customHeight="1" x14ac:dyDescent="0.2">
      <c r="B248" s="59"/>
      <c r="C248" s="59"/>
      <c r="H248" s="59"/>
    </row>
    <row r="249" spans="2:8" ht="15.75" customHeight="1" x14ac:dyDescent="0.2">
      <c r="B249" s="59"/>
      <c r="C249" s="59"/>
      <c r="H249" s="59"/>
    </row>
    <row r="250" spans="2:8" ht="15.75" customHeight="1" x14ac:dyDescent="0.2">
      <c r="B250" s="59"/>
      <c r="C250" s="59"/>
      <c r="H250" s="59"/>
    </row>
    <row r="251" spans="2:8" ht="15.75" customHeight="1" x14ac:dyDescent="0.2">
      <c r="B251" s="59"/>
      <c r="C251" s="59"/>
      <c r="H251" s="59"/>
    </row>
    <row r="252" spans="2:8" ht="15.75" customHeight="1" x14ac:dyDescent="0.2">
      <c r="B252" s="59"/>
      <c r="C252" s="59"/>
      <c r="H252" s="59"/>
    </row>
    <row r="253" spans="2:8" ht="15.75" customHeight="1" x14ac:dyDescent="0.2">
      <c r="B253" s="59"/>
      <c r="C253" s="59"/>
      <c r="H253" s="59"/>
    </row>
    <row r="254" spans="2:8" ht="15.75" customHeight="1" x14ac:dyDescent="0.2">
      <c r="B254" s="59"/>
      <c r="C254" s="59"/>
      <c r="H254" s="59"/>
    </row>
    <row r="255" spans="2:8" ht="15.75" customHeight="1" x14ac:dyDescent="0.2">
      <c r="B255" s="59"/>
      <c r="C255" s="59"/>
      <c r="H255" s="59"/>
    </row>
    <row r="256" spans="2:8" ht="15.75" customHeight="1" x14ac:dyDescent="0.2">
      <c r="B256" s="59"/>
      <c r="C256" s="59"/>
      <c r="H256" s="59"/>
    </row>
    <row r="257" spans="2:8" ht="15.75" customHeight="1" x14ac:dyDescent="0.2">
      <c r="B257" s="59"/>
      <c r="C257" s="59"/>
      <c r="H257" s="59"/>
    </row>
    <row r="258" spans="2:8" ht="15.75" customHeight="1" x14ac:dyDescent="0.2">
      <c r="B258" s="59"/>
      <c r="C258" s="59"/>
      <c r="H258" s="59"/>
    </row>
    <row r="259" spans="2:8" ht="15.75" customHeight="1" x14ac:dyDescent="0.2">
      <c r="B259" s="59"/>
      <c r="C259" s="59"/>
      <c r="H259" s="59"/>
    </row>
    <row r="260" spans="2:8" ht="15.75" customHeight="1" x14ac:dyDescent="0.2">
      <c r="B260" s="59"/>
      <c r="C260" s="59"/>
      <c r="H260" s="59"/>
    </row>
    <row r="261" spans="2:8" ht="15.75" customHeight="1" x14ac:dyDescent="0.2">
      <c r="B261" s="59"/>
      <c r="C261" s="59"/>
      <c r="H261" s="59"/>
    </row>
    <row r="262" spans="2:8" ht="15.75" customHeight="1" x14ac:dyDescent="0.2">
      <c r="B262" s="59"/>
      <c r="C262" s="59"/>
      <c r="H262" s="59"/>
    </row>
    <row r="263" spans="2:8" ht="15.75" customHeight="1" x14ac:dyDescent="0.2">
      <c r="B263" s="59"/>
      <c r="C263" s="59"/>
      <c r="H263" s="59"/>
    </row>
    <row r="264" spans="2:8" ht="15.75" customHeight="1" x14ac:dyDescent="0.2">
      <c r="B264" s="59"/>
      <c r="C264" s="59"/>
      <c r="H264" s="59"/>
    </row>
    <row r="265" spans="2:8" ht="15.75" customHeight="1" x14ac:dyDescent="0.2">
      <c r="B265" s="59"/>
      <c r="C265" s="59"/>
      <c r="H265" s="59"/>
    </row>
    <row r="266" spans="2:8" ht="15.75" customHeight="1" x14ac:dyDescent="0.2">
      <c r="B266" s="59"/>
      <c r="C266" s="59"/>
      <c r="H266" s="59"/>
    </row>
    <row r="267" spans="2:8" ht="15.75" customHeight="1" x14ac:dyDescent="0.2">
      <c r="B267" s="59"/>
      <c r="C267" s="59"/>
      <c r="H267" s="59"/>
    </row>
    <row r="268" spans="2:8" ht="15.75" customHeight="1" x14ac:dyDescent="0.2">
      <c r="B268" s="59"/>
      <c r="C268" s="59"/>
      <c r="H268" s="59"/>
    </row>
    <row r="269" spans="2:8" ht="15.75" customHeight="1" x14ac:dyDescent="0.2">
      <c r="B269" s="59"/>
      <c r="C269" s="59"/>
      <c r="H269" s="59"/>
    </row>
    <row r="270" spans="2:8" ht="15.75" customHeight="1" x14ac:dyDescent="0.2">
      <c r="B270" s="59"/>
      <c r="C270" s="59"/>
      <c r="H270" s="59"/>
    </row>
    <row r="271" spans="2:8" ht="15.75" customHeight="1" x14ac:dyDescent="0.2">
      <c r="B271" s="59"/>
      <c r="C271" s="59"/>
      <c r="H271" s="59"/>
    </row>
    <row r="272" spans="2:8" ht="15.75" customHeight="1" x14ac:dyDescent="0.2">
      <c r="B272" s="59"/>
      <c r="C272" s="59"/>
      <c r="H272" s="59"/>
    </row>
    <row r="273" spans="2:8" ht="15.75" customHeight="1" x14ac:dyDescent="0.2">
      <c r="B273" s="59"/>
      <c r="C273" s="59"/>
      <c r="H273" s="59"/>
    </row>
    <row r="274" spans="2:8" ht="15.75" customHeight="1" x14ac:dyDescent="0.2">
      <c r="B274" s="59"/>
      <c r="C274" s="59"/>
      <c r="H274" s="59"/>
    </row>
    <row r="275" spans="2:8" ht="15.75" customHeight="1" x14ac:dyDescent="0.2">
      <c r="B275" s="59"/>
      <c r="C275" s="59"/>
      <c r="H275" s="59"/>
    </row>
    <row r="276" spans="2:8" ht="15.75" customHeight="1" x14ac:dyDescent="0.2">
      <c r="B276" s="59"/>
      <c r="C276" s="59"/>
      <c r="H276" s="59"/>
    </row>
    <row r="277" spans="2:8" ht="15.75" customHeight="1" x14ac:dyDescent="0.2">
      <c r="B277" s="59"/>
      <c r="C277" s="59"/>
      <c r="H277" s="59"/>
    </row>
    <row r="278" spans="2:8" ht="15.75" customHeight="1" x14ac:dyDescent="0.2">
      <c r="B278" s="59"/>
      <c r="C278" s="59"/>
      <c r="H278" s="59"/>
    </row>
    <row r="279" spans="2:8" ht="15.75" customHeight="1" x14ac:dyDescent="0.2">
      <c r="B279" s="59"/>
      <c r="C279" s="59"/>
      <c r="H279" s="59"/>
    </row>
    <row r="280" spans="2:8" ht="15.75" customHeight="1" x14ac:dyDescent="0.2">
      <c r="B280" s="59"/>
      <c r="C280" s="59"/>
      <c r="H280" s="59"/>
    </row>
    <row r="281" spans="2:8" ht="15.75" customHeight="1" x14ac:dyDescent="0.2">
      <c r="B281" s="59"/>
      <c r="C281" s="59"/>
      <c r="H281" s="59"/>
    </row>
    <row r="282" spans="2:8" ht="15.75" customHeight="1" x14ac:dyDescent="0.2">
      <c r="B282" s="59"/>
      <c r="C282" s="59"/>
      <c r="H282" s="59"/>
    </row>
    <row r="283" spans="2:8" ht="15.75" customHeight="1" x14ac:dyDescent="0.2">
      <c r="B283" s="59"/>
      <c r="C283" s="59"/>
      <c r="H283" s="59"/>
    </row>
    <row r="284" spans="2:8" ht="15.75" customHeight="1" x14ac:dyDescent="0.2">
      <c r="B284" s="59"/>
      <c r="C284" s="59"/>
      <c r="H284" s="59"/>
    </row>
    <row r="285" spans="2:8" ht="15.75" customHeight="1" x14ac:dyDescent="0.2">
      <c r="B285" s="59"/>
      <c r="C285" s="59"/>
      <c r="H285" s="59"/>
    </row>
    <row r="286" spans="2:8" ht="15.75" customHeight="1" x14ac:dyDescent="0.2">
      <c r="B286" s="59"/>
      <c r="C286" s="59"/>
      <c r="H286" s="59"/>
    </row>
    <row r="287" spans="2:8" ht="15.75" customHeight="1" x14ac:dyDescent="0.2">
      <c r="B287" s="59"/>
      <c r="C287" s="59"/>
      <c r="H287" s="59"/>
    </row>
    <row r="288" spans="2:8" ht="15.75" customHeight="1" x14ac:dyDescent="0.2">
      <c r="B288" s="59"/>
      <c r="C288" s="59"/>
      <c r="H288" s="59"/>
    </row>
    <row r="289" spans="2:8" ht="15.75" customHeight="1" x14ac:dyDescent="0.2">
      <c r="B289" s="59"/>
      <c r="C289" s="59"/>
      <c r="H289" s="59"/>
    </row>
    <row r="290" spans="2:8" ht="15.75" customHeight="1" x14ac:dyDescent="0.2">
      <c r="B290" s="59"/>
      <c r="C290" s="59"/>
      <c r="H290" s="59"/>
    </row>
    <row r="291" spans="2:8" ht="15.75" customHeight="1" x14ac:dyDescent="0.2">
      <c r="B291" s="59"/>
      <c r="C291" s="59"/>
      <c r="H291" s="59"/>
    </row>
    <row r="292" spans="2:8" ht="15.75" customHeight="1" x14ac:dyDescent="0.2">
      <c r="B292" s="59"/>
      <c r="C292" s="59"/>
      <c r="H292" s="59"/>
    </row>
    <row r="293" spans="2:8" ht="15.75" customHeight="1" x14ac:dyDescent="0.2">
      <c r="B293" s="59"/>
      <c r="C293" s="59"/>
      <c r="H293" s="59"/>
    </row>
    <row r="294" spans="2:8" ht="15.75" customHeight="1" x14ac:dyDescent="0.2">
      <c r="B294" s="59"/>
      <c r="C294" s="59"/>
      <c r="H294" s="59"/>
    </row>
    <row r="295" spans="2:8" ht="15.75" customHeight="1" x14ac:dyDescent="0.2">
      <c r="B295" s="59"/>
      <c r="C295" s="59"/>
      <c r="H295" s="59"/>
    </row>
    <row r="296" spans="2:8" ht="15.75" customHeight="1" x14ac:dyDescent="0.2">
      <c r="B296" s="59"/>
      <c r="C296" s="59"/>
      <c r="H296" s="59"/>
    </row>
    <row r="297" spans="2:8" ht="15.75" customHeight="1" x14ac:dyDescent="0.2">
      <c r="B297" s="59"/>
      <c r="C297" s="59"/>
      <c r="H297" s="59"/>
    </row>
    <row r="298" spans="2:8" ht="15.75" customHeight="1" x14ac:dyDescent="0.2">
      <c r="B298" s="59"/>
      <c r="C298" s="59"/>
      <c r="H298" s="59"/>
    </row>
    <row r="299" spans="2:8" ht="15.75" customHeight="1" x14ac:dyDescent="0.2">
      <c r="B299" s="59"/>
      <c r="C299" s="59"/>
      <c r="H299" s="59"/>
    </row>
    <row r="300" spans="2:8" ht="15.75" customHeight="1" x14ac:dyDescent="0.2">
      <c r="B300" s="59"/>
      <c r="C300" s="59"/>
      <c r="H300" s="59"/>
    </row>
    <row r="301" spans="2:8" ht="15.75" customHeight="1" x14ac:dyDescent="0.2">
      <c r="B301" s="59"/>
      <c r="C301" s="59"/>
      <c r="H301" s="59"/>
    </row>
    <row r="302" spans="2:8" ht="15.75" customHeight="1" x14ac:dyDescent="0.2">
      <c r="B302" s="59"/>
      <c r="C302" s="59"/>
      <c r="H302" s="59"/>
    </row>
    <row r="303" spans="2:8" ht="15.75" customHeight="1" x14ac:dyDescent="0.2">
      <c r="B303" s="59"/>
      <c r="C303" s="59"/>
      <c r="H303" s="59"/>
    </row>
    <row r="304" spans="2:8" ht="15.75" customHeight="1" x14ac:dyDescent="0.2">
      <c r="B304" s="59"/>
      <c r="C304" s="59"/>
      <c r="H304" s="59"/>
    </row>
    <row r="305" spans="2:8" ht="15.75" customHeight="1" x14ac:dyDescent="0.2">
      <c r="B305" s="59"/>
      <c r="C305" s="59"/>
      <c r="H305" s="59"/>
    </row>
    <row r="306" spans="2:8" ht="15.75" customHeight="1" x14ac:dyDescent="0.2">
      <c r="B306" s="59"/>
      <c r="C306" s="59"/>
      <c r="H306" s="59"/>
    </row>
    <row r="307" spans="2:8" ht="15.75" customHeight="1" x14ac:dyDescent="0.2">
      <c r="B307" s="59"/>
      <c r="C307" s="59"/>
      <c r="H307" s="59"/>
    </row>
    <row r="308" spans="2:8" ht="15.75" customHeight="1" x14ac:dyDescent="0.2">
      <c r="B308" s="59"/>
      <c r="C308" s="59"/>
      <c r="H308" s="59"/>
    </row>
    <row r="309" spans="2:8" ht="15.75" customHeight="1" x14ac:dyDescent="0.2">
      <c r="B309" s="59"/>
      <c r="C309" s="59"/>
      <c r="H309" s="59"/>
    </row>
    <row r="310" spans="2:8" ht="15.75" customHeight="1" x14ac:dyDescent="0.2">
      <c r="B310" s="59"/>
      <c r="C310" s="59"/>
      <c r="H310" s="59"/>
    </row>
    <row r="311" spans="2:8" ht="15.75" customHeight="1" x14ac:dyDescent="0.2">
      <c r="B311" s="59"/>
      <c r="C311" s="59"/>
      <c r="H311" s="59"/>
    </row>
    <row r="312" spans="2:8" ht="15.75" customHeight="1" x14ac:dyDescent="0.2">
      <c r="B312" s="59"/>
      <c r="C312" s="59"/>
      <c r="H312" s="59"/>
    </row>
    <row r="313" spans="2:8" ht="15.75" customHeight="1" x14ac:dyDescent="0.2">
      <c r="B313" s="59"/>
      <c r="C313" s="59"/>
      <c r="H313" s="59"/>
    </row>
    <row r="314" spans="2:8" ht="15.75" customHeight="1" x14ac:dyDescent="0.2">
      <c r="B314" s="59"/>
      <c r="C314" s="59"/>
      <c r="H314" s="59"/>
    </row>
    <row r="315" spans="2:8" ht="15.75" customHeight="1" x14ac:dyDescent="0.2">
      <c r="B315" s="59"/>
      <c r="C315" s="59"/>
      <c r="H315" s="59"/>
    </row>
    <row r="316" spans="2:8" ht="15.75" customHeight="1" x14ac:dyDescent="0.2">
      <c r="B316" s="59"/>
      <c r="C316" s="59"/>
      <c r="H316" s="59"/>
    </row>
    <row r="317" spans="2:8" ht="15.75" customHeight="1" x14ac:dyDescent="0.2">
      <c r="B317" s="59"/>
      <c r="C317" s="59"/>
      <c r="H317" s="59"/>
    </row>
    <row r="318" spans="2:8" ht="15.75" customHeight="1" x14ac:dyDescent="0.2">
      <c r="B318" s="59"/>
      <c r="C318" s="59"/>
      <c r="H318" s="59"/>
    </row>
    <row r="319" spans="2:8" ht="15.75" customHeight="1" x14ac:dyDescent="0.2">
      <c r="B319" s="59"/>
      <c r="C319" s="59"/>
      <c r="H319" s="59"/>
    </row>
    <row r="320" spans="2:8" ht="15.75" customHeight="1" x14ac:dyDescent="0.2">
      <c r="B320" s="59"/>
      <c r="C320" s="59"/>
      <c r="H320" s="59"/>
    </row>
    <row r="321" spans="2:8" ht="15.75" customHeight="1" x14ac:dyDescent="0.2">
      <c r="B321" s="59"/>
      <c r="C321" s="59"/>
      <c r="H321" s="59"/>
    </row>
    <row r="322" spans="2:8" ht="15.75" customHeight="1" x14ac:dyDescent="0.2">
      <c r="B322" s="59"/>
      <c r="C322" s="59"/>
      <c r="H322" s="59"/>
    </row>
    <row r="323" spans="2:8" ht="15.75" customHeight="1" x14ac:dyDescent="0.2">
      <c r="B323" s="59"/>
      <c r="C323" s="59"/>
      <c r="H323" s="59"/>
    </row>
    <row r="324" spans="2:8" ht="15.75" customHeight="1" x14ac:dyDescent="0.2">
      <c r="B324" s="59"/>
      <c r="C324" s="59"/>
      <c r="H324" s="59"/>
    </row>
    <row r="325" spans="2:8" ht="15.75" customHeight="1" x14ac:dyDescent="0.2">
      <c r="B325" s="59"/>
      <c r="C325" s="59"/>
      <c r="H325" s="59"/>
    </row>
    <row r="326" spans="2:8" ht="15.75" customHeight="1" x14ac:dyDescent="0.2">
      <c r="B326" s="59"/>
      <c r="C326" s="59"/>
      <c r="H326" s="59"/>
    </row>
    <row r="327" spans="2:8" ht="15.75" customHeight="1" x14ac:dyDescent="0.2">
      <c r="B327" s="59"/>
      <c r="C327" s="59"/>
      <c r="H327" s="59"/>
    </row>
    <row r="328" spans="2:8" ht="15.75" customHeight="1" x14ac:dyDescent="0.2">
      <c r="B328" s="59"/>
      <c r="C328" s="59"/>
      <c r="H328" s="59"/>
    </row>
    <row r="329" spans="2:8" ht="15.75" customHeight="1" x14ac:dyDescent="0.2">
      <c r="B329" s="59"/>
      <c r="C329" s="59"/>
      <c r="H329" s="59"/>
    </row>
    <row r="330" spans="2:8" ht="15.75" customHeight="1" x14ac:dyDescent="0.2">
      <c r="B330" s="59"/>
      <c r="C330" s="59"/>
      <c r="H330" s="59"/>
    </row>
    <row r="331" spans="2:8" ht="15.75" customHeight="1" x14ac:dyDescent="0.2">
      <c r="B331" s="59"/>
      <c r="C331" s="59"/>
      <c r="H331" s="59"/>
    </row>
    <row r="332" spans="2:8" ht="15.75" customHeight="1" x14ac:dyDescent="0.2">
      <c r="B332" s="59"/>
      <c r="C332" s="59"/>
      <c r="H332" s="59"/>
    </row>
    <row r="333" spans="2:8" ht="15.75" customHeight="1" x14ac:dyDescent="0.2">
      <c r="B333" s="59"/>
      <c r="C333" s="59"/>
      <c r="H333" s="59"/>
    </row>
    <row r="334" spans="2:8" ht="15.75" customHeight="1" x14ac:dyDescent="0.2">
      <c r="B334" s="59"/>
      <c r="C334" s="59"/>
      <c r="H334" s="59"/>
    </row>
    <row r="335" spans="2:8" ht="15.75" customHeight="1" x14ac:dyDescent="0.2">
      <c r="B335" s="59"/>
      <c r="C335" s="59"/>
      <c r="H335" s="59"/>
    </row>
    <row r="336" spans="2:8" ht="15.75" customHeight="1" x14ac:dyDescent="0.2">
      <c r="B336" s="59"/>
      <c r="C336" s="59"/>
      <c r="H336" s="59"/>
    </row>
    <row r="337" spans="2:8" ht="15.75" customHeight="1" x14ac:dyDescent="0.2">
      <c r="B337" s="59"/>
      <c r="C337" s="59"/>
      <c r="H337" s="59"/>
    </row>
    <row r="338" spans="2:8" ht="15.75" customHeight="1" x14ac:dyDescent="0.2">
      <c r="B338" s="59"/>
      <c r="C338" s="59"/>
      <c r="H338" s="59"/>
    </row>
    <row r="339" spans="2:8" ht="15.75" customHeight="1" x14ac:dyDescent="0.2">
      <c r="B339" s="59"/>
      <c r="C339" s="59"/>
      <c r="H339" s="59"/>
    </row>
    <row r="340" spans="2:8" ht="15.75" customHeight="1" x14ac:dyDescent="0.2">
      <c r="B340" s="59"/>
      <c r="C340" s="59"/>
      <c r="H340" s="59"/>
    </row>
    <row r="341" spans="2:8" ht="15.75" customHeight="1" x14ac:dyDescent="0.2">
      <c r="B341" s="59"/>
      <c r="C341" s="59"/>
      <c r="H341" s="59"/>
    </row>
    <row r="342" spans="2:8" ht="15.75" customHeight="1" x14ac:dyDescent="0.2">
      <c r="B342" s="59"/>
      <c r="C342" s="59"/>
      <c r="H342" s="59"/>
    </row>
    <row r="343" spans="2:8" ht="15.75" customHeight="1" x14ac:dyDescent="0.2">
      <c r="B343" s="59"/>
      <c r="C343" s="59"/>
      <c r="H343" s="59"/>
    </row>
    <row r="344" spans="2:8" ht="15.75" customHeight="1" x14ac:dyDescent="0.2">
      <c r="B344" s="59"/>
      <c r="C344" s="59"/>
      <c r="H344" s="59"/>
    </row>
    <row r="345" spans="2:8" ht="15.75" customHeight="1" x14ac:dyDescent="0.2">
      <c r="B345" s="59"/>
      <c r="C345" s="59"/>
      <c r="H345" s="59"/>
    </row>
    <row r="346" spans="2:8" ht="15.75" customHeight="1" x14ac:dyDescent="0.2">
      <c r="B346" s="59"/>
      <c r="C346" s="59"/>
      <c r="H346" s="59"/>
    </row>
    <row r="347" spans="2:8" ht="15.75" customHeight="1" x14ac:dyDescent="0.2">
      <c r="B347" s="59"/>
      <c r="C347" s="59"/>
      <c r="H347" s="59"/>
    </row>
    <row r="348" spans="2:8" ht="15.75" customHeight="1" x14ac:dyDescent="0.2">
      <c r="B348" s="59"/>
      <c r="C348" s="59"/>
      <c r="H348" s="59"/>
    </row>
    <row r="349" spans="2:8" ht="15.75" customHeight="1" x14ac:dyDescent="0.2">
      <c r="B349" s="59"/>
      <c r="C349" s="59"/>
      <c r="H349" s="59"/>
    </row>
    <row r="350" spans="2:8" ht="15.75" customHeight="1" x14ac:dyDescent="0.2">
      <c r="B350" s="59"/>
      <c r="C350" s="59"/>
      <c r="H350" s="59"/>
    </row>
    <row r="351" spans="2:8" ht="15.75" customHeight="1" x14ac:dyDescent="0.2">
      <c r="B351" s="59"/>
      <c r="C351" s="59"/>
      <c r="H351" s="59"/>
    </row>
    <row r="352" spans="2:8" ht="15.75" customHeight="1" x14ac:dyDescent="0.2">
      <c r="B352" s="59"/>
      <c r="C352" s="59"/>
      <c r="H352" s="59"/>
    </row>
    <row r="353" spans="2:8" ht="15.75" customHeight="1" x14ac:dyDescent="0.2">
      <c r="B353" s="59"/>
      <c r="C353" s="59"/>
      <c r="H353" s="59"/>
    </row>
    <row r="354" spans="2:8" ht="15.75" customHeight="1" x14ac:dyDescent="0.2">
      <c r="B354" s="59"/>
      <c r="C354" s="59"/>
      <c r="H354" s="59"/>
    </row>
    <row r="355" spans="2:8" ht="15.75" customHeight="1" x14ac:dyDescent="0.2">
      <c r="B355" s="59"/>
      <c r="C355" s="59"/>
      <c r="H355" s="59"/>
    </row>
    <row r="356" spans="2:8" ht="15.75" customHeight="1" x14ac:dyDescent="0.2">
      <c r="B356" s="59"/>
      <c r="C356" s="59"/>
      <c r="H356" s="59"/>
    </row>
    <row r="357" spans="2:8" ht="15.75" customHeight="1" x14ac:dyDescent="0.2">
      <c r="B357" s="59"/>
      <c r="C357" s="59"/>
      <c r="H357" s="59"/>
    </row>
    <row r="358" spans="2:8" ht="15.75" customHeight="1" x14ac:dyDescent="0.2">
      <c r="B358" s="59"/>
      <c r="C358" s="59"/>
      <c r="H358" s="59"/>
    </row>
    <row r="359" spans="2:8" ht="15.75" customHeight="1" x14ac:dyDescent="0.2">
      <c r="B359" s="59"/>
      <c r="C359" s="59"/>
      <c r="H359" s="59"/>
    </row>
    <row r="360" spans="2:8" ht="15.75" customHeight="1" x14ac:dyDescent="0.2">
      <c r="B360" s="59"/>
      <c r="C360" s="59"/>
      <c r="H360" s="59"/>
    </row>
    <row r="361" spans="2:8" ht="15.75" customHeight="1" x14ac:dyDescent="0.2">
      <c r="B361" s="59"/>
      <c r="C361" s="59"/>
      <c r="H361" s="59"/>
    </row>
    <row r="362" spans="2:8" ht="15.75" customHeight="1" x14ac:dyDescent="0.2">
      <c r="B362" s="59"/>
      <c r="C362" s="59"/>
      <c r="H362" s="59"/>
    </row>
    <row r="363" spans="2:8" ht="15.75" customHeight="1" x14ac:dyDescent="0.2">
      <c r="B363" s="59"/>
      <c r="C363" s="59"/>
      <c r="H363" s="59"/>
    </row>
    <row r="364" spans="2:8" ht="15.75" customHeight="1" x14ac:dyDescent="0.2">
      <c r="B364" s="59"/>
      <c r="C364" s="59"/>
      <c r="H364" s="59"/>
    </row>
    <row r="365" spans="2:8" ht="15.75" customHeight="1" x14ac:dyDescent="0.2">
      <c r="B365" s="59"/>
      <c r="C365" s="59"/>
      <c r="H365" s="59"/>
    </row>
    <row r="366" spans="2:8" ht="15.75" customHeight="1" x14ac:dyDescent="0.2">
      <c r="B366" s="59"/>
      <c r="C366" s="59"/>
      <c r="H366" s="59"/>
    </row>
    <row r="367" spans="2:8" ht="15.75" customHeight="1" x14ac:dyDescent="0.2">
      <c r="B367" s="59"/>
      <c r="C367" s="59"/>
      <c r="H367" s="59"/>
    </row>
    <row r="368" spans="2:8" ht="15.75" customHeight="1" x14ac:dyDescent="0.2">
      <c r="B368" s="59"/>
      <c r="C368" s="59"/>
      <c r="H368" s="59"/>
    </row>
    <row r="369" spans="2:8" ht="15.75" customHeight="1" x14ac:dyDescent="0.2">
      <c r="B369" s="59"/>
      <c r="C369" s="59"/>
      <c r="H369" s="59"/>
    </row>
    <row r="370" spans="2:8" ht="15.75" customHeight="1" x14ac:dyDescent="0.2">
      <c r="B370" s="59"/>
      <c r="C370" s="59"/>
      <c r="H370" s="59"/>
    </row>
    <row r="371" spans="2:8" ht="15.75" customHeight="1" x14ac:dyDescent="0.2">
      <c r="B371" s="59"/>
      <c r="C371" s="59"/>
      <c r="H371" s="59"/>
    </row>
    <row r="372" spans="2:8" ht="15.75" customHeight="1" x14ac:dyDescent="0.2">
      <c r="B372" s="59"/>
      <c r="C372" s="59"/>
      <c r="H372" s="59"/>
    </row>
    <row r="373" spans="2:8" ht="15.75" customHeight="1" x14ac:dyDescent="0.2">
      <c r="B373" s="59"/>
      <c r="C373" s="59"/>
      <c r="H373" s="59"/>
    </row>
    <row r="374" spans="2:8" ht="15.75" customHeight="1" x14ac:dyDescent="0.2">
      <c r="B374" s="59"/>
      <c r="C374" s="59"/>
      <c r="H374" s="59"/>
    </row>
    <row r="375" spans="2:8" ht="15.75" customHeight="1" x14ac:dyDescent="0.2">
      <c r="B375" s="59"/>
      <c r="C375" s="59"/>
      <c r="H375" s="59"/>
    </row>
    <row r="376" spans="2:8" ht="15.75" customHeight="1" x14ac:dyDescent="0.2">
      <c r="B376" s="59"/>
      <c r="C376" s="59"/>
      <c r="H376" s="59"/>
    </row>
    <row r="377" spans="2:8" ht="15.75" customHeight="1" x14ac:dyDescent="0.2">
      <c r="B377" s="59"/>
      <c r="C377" s="59"/>
      <c r="H377" s="59"/>
    </row>
    <row r="378" spans="2:8" ht="15.75" customHeight="1" x14ac:dyDescent="0.2">
      <c r="B378" s="59"/>
      <c r="C378" s="59"/>
      <c r="H378" s="59"/>
    </row>
    <row r="379" spans="2:8" ht="15.75" customHeight="1" x14ac:dyDescent="0.2">
      <c r="B379" s="59"/>
      <c r="C379" s="59"/>
      <c r="H379" s="59"/>
    </row>
    <row r="380" spans="2:8" ht="15.75" customHeight="1" x14ac:dyDescent="0.2">
      <c r="B380" s="59"/>
      <c r="C380" s="59"/>
      <c r="H380" s="59"/>
    </row>
    <row r="381" spans="2:8" ht="15.75" customHeight="1" x14ac:dyDescent="0.2">
      <c r="B381" s="59"/>
      <c r="C381" s="59"/>
      <c r="H381" s="59"/>
    </row>
    <row r="382" spans="2:8" ht="15.75" customHeight="1" x14ac:dyDescent="0.2">
      <c r="B382" s="59"/>
      <c r="C382" s="59"/>
      <c r="H382" s="59"/>
    </row>
    <row r="383" spans="2:8" ht="15.75" customHeight="1" x14ac:dyDescent="0.2">
      <c r="B383" s="59"/>
      <c r="C383" s="59"/>
      <c r="H383" s="59"/>
    </row>
    <row r="384" spans="2:8" ht="15.75" customHeight="1" x14ac:dyDescent="0.2">
      <c r="B384" s="59"/>
      <c r="C384" s="59"/>
      <c r="H384" s="59"/>
    </row>
    <row r="385" spans="2:8" ht="15.75" customHeight="1" x14ac:dyDescent="0.2">
      <c r="B385" s="59"/>
      <c r="C385" s="59"/>
      <c r="H385" s="59"/>
    </row>
    <row r="386" spans="2:8" ht="15.75" customHeight="1" x14ac:dyDescent="0.2">
      <c r="B386" s="59"/>
      <c r="C386" s="59"/>
      <c r="H386" s="59"/>
    </row>
    <row r="387" spans="2:8" ht="15.75" customHeight="1" x14ac:dyDescent="0.2">
      <c r="B387" s="59"/>
      <c r="C387" s="59"/>
      <c r="H387" s="59"/>
    </row>
    <row r="388" spans="2:8" ht="15.75" customHeight="1" x14ac:dyDescent="0.2">
      <c r="B388" s="59"/>
      <c r="C388" s="59"/>
      <c r="H388" s="59"/>
    </row>
    <row r="389" spans="2:8" ht="15.75" customHeight="1" x14ac:dyDescent="0.2">
      <c r="B389" s="59"/>
      <c r="C389" s="59"/>
      <c r="H389" s="59"/>
    </row>
    <row r="390" spans="2:8" ht="15.75" customHeight="1" x14ac:dyDescent="0.2">
      <c r="B390" s="59"/>
      <c r="C390" s="59"/>
      <c r="H390" s="59"/>
    </row>
    <row r="391" spans="2:8" ht="15.75" customHeight="1" x14ac:dyDescent="0.2">
      <c r="B391" s="59"/>
      <c r="C391" s="59"/>
      <c r="H391" s="59"/>
    </row>
    <row r="392" spans="2:8" ht="15.75" customHeight="1" x14ac:dyDescent="0.2">
      <c r="B392" s="59"/>
      <c r="C392" s="59"/>
      <c r="H392" s="59"/>
    </row>
    <row r="393" spans="2:8" ht="15.75" customHeight="1" x14ac:dyDescent="0.2">
      <c r="B393" s="59"/>
      <c r="C393" s="59"/>
      <c r="H393" s="59"/>
    </row>
    <row r="394" spans="2:8" ht="15.75" customHeight="1" x14ac:dyDescent="0.2">
      <c r="B394" s="59"/>
      <c r="C394" s="59"/>
      <c r="H394" s="59"/>
    </row>
    <row r="395" spans="2:8" ht="15.75" customHeight="1" x14ac:dyDescent="0.2">
      <c r="B395" s="59"/>
      <c r="C395" s="59"/>
      <c r="H395" s="59"/>
    </row>
    <row r="396" spans="2:8" ht="15.75" customHeight="1" x14ac:dyDescent="0.2">
      <c r="B396" s="59"/>
      <c r="C396" s="59"/>
      <c r="H396" s="59"/>
    </row>
    <row r="397" spans="2:8" ht="15.75" customHeight="1" x14ac:dyDescent="0.2">
      <c r="B397" s="59"/>
      <c r="C397" s="59"/>
      <c r="H397" s="59"/>
    </row>
    <row r="398" spans="2:8" ht="15.75" customHeight="1" x14ac:dyDescent="0.2">
      <c r="B398" s="59"/>
      <c r="C398" s="59"/>
      <c r="H398" s="59"/>
    </row>
    <row r="399" spans="2:8" ht="15.75" customHeight="1" x14ac:dyDescent="0.2">
      <c r="B399" s="59"/>
      <c r="C399" s="59"/>
      <c r="H399" s="59"/>
    </row>
    <row r="400" spans="2:8" ht="15.75" customHeight="1" x14ac:dyDescent="0.2">
      <c r="B400" s="59"/>
      <c r="C400" s="59"/>
      <c r="H400" s="59"/>
    </row>
    <row r="401" spans="2:8" ht="15.75" customHeight="1" x14ac:dyDescent="0.2">
      <c r="B401" s="59"/>
      <c r="C401" s="59"/>
      <c r="H401" s="59"/>
    </row>
    <row r="402" spans="2:8" ht="15.75" customHeight="1" x14ac:dyDescent="0.2">
      <c r="B402" s="59"/>
      <c r="C402" s="59"/>
      <c r="H402" s="59"/>
    </row>
    <row r="403" spans="2:8" ht="15.75" customHeight="1" x14ac:dyDescent="0.2">
      <c r="B403" s="59"/>
      <c r="C403" s="59"/>
      <c r="H403" s="59"/>
    </row>
    <row r="404" spans="2:8" ht="15.75" customHeight="1" x14ac:dyDescent="0.2">
      <c r="B404" s="59"/>
      <c r="C404" s="59"/>
      <c r="H404" s="59"/>
    </row>
    <row r="405" spans="2:8" ht="15.75" customHeight="1" x14ac:dyDescent="0.2">
      <c r="B405" s="59"/>
      <c r="C405" s="59"/>
      <c r="H405" s="59"/>
    </row>
    <row r="406" spans="2:8" ht="15.75" customHeight="1" x14ac:dyDescent="0.2">
      <c r="B406" s="59"/>
      <c r="C406" s="59"/>
      <c r="H406" s="59"/>
    </row>
    <row r="407" spans="2:8" ht="15.75" customHeight="1" x14ac:dyDescent="0.2">
      <c r="B407" s="59"/>
      <c r="C407" s="59"/>
      <c r="H407" s="59"/>
    </row>
    <row r="408" spans="2:8" ht="15.75" customHeight="1" x14ac:dyDescent="0.2">
      <c r="B408" s="59"/>
      <c r="C408" s="59"/>
      <c r="H408" s="59"/>
    </row>
    <row r="409" spans="2:8" ht="15.75" customHeight="1" x14ac:dyDescent="0.2">
      <c r="B409" s="59"/>
      <c r="C409" s="59"/>
      <c r="H409" s="59"/>
    </row>
    <row r="410" spans="2:8" ht="15.75" customHeight="1" x14ac:dyDescent="0.2">
      <c r="B410" s="59"/>
      <c r="C410" s="59"/>
      <c r="H410" s="59"/>
    </row>
    <row r="411" spans="2:8" ht="15.75" customHeight="1" x14ac:dyDescent="0.2">
      <c r="B411" s="59"/>
      <c r="C411" s="59"/>
      <c r="H411" s="59"/>
    </row>
    <row r="412" spans="2:8" ht="15.75" customHeight="1" x14ac:dyDescent="0.2">
      <c r="B412" s="59"/>
      <c r="C412" s="59"/>
      <c r="H412" s="59"/>
    </row>
    <row r="413" spans="2:8" ht="15.75" customHeight="1" x14ac:dyDescent="0.2">
      <c r="B413" s="59"/>
      <c r="C413" s="59"/>
      <c r="H413" s="59"/>
    </row>
    <row r="414" spans="2:8" ht="15.75" customHeight="1" x14ac:dyDescent="0.2">
      <c r="B414" s="59"/>
      <c r="C414" s="59"/>
      <c r="H414" s="59"/>
    </row>
    <row r="415" spans="2:8" ht="15.75" customHeight="1" x14ac:dyDescent="0.2">
      <c r="B415" s="59"/>
      <c r="C415" s="59"/>
      <c r="H415" s="59"/>
    </row>
    <row r="416" spans="2:8" ht="15.75" customHeight="1" x14ac:dyDescent="0.2">
      <c r="B416" s="59"/>
      <c r="C416" s="59"/>
      <c r="H416" s="59"/>
    </row>
    <row r="417" spans="2:8" ht="15.75" customHeight="1" x14ac:dyDescent="0.2">
      <c r="B417" s="59"/>
      <c r="C417" s="59"/>
      <c r="H417" s="59"/>
    </row>
    <row r="418" spans="2:8" ht="15.75" customHeight="1" x14ac:dyDescent="0.2">
      <c r="B418" s="59"/>
      <c r="C418" s="59"/>
      <c r="H418" s="59"/>
    </row>
    <row r="419" spans="2:8" ht="15.75" customHeight="1" x14ac:dyDescent="0.2">
      <c r="B419" s="59"/>
      <c r="C419" s="59"/>
      <c r="H419" s="59"/>
    </row>
    <row r="420" spans="2:8" ht="15.75" customHeight="1" x14ac:dyDescent="0.2">
      <c r="B420" s="59"/>
      <c r="C420" s="59"/>
      <c r="H420" s="59"/>
    </row>
    <row r="421" spans="2:8" ht="15.75" customHeight="1" x14ac:dyDescent="0.2">
      <c r="B421" s="59"/>
      <c r="C421" s="59"/>
      <c r="H421" s="59"/>
    </row>
    <row r="422" spans="2:8" ht="15.75" customHeight="1" x14ac:dyDescent="0.2">
      <c r="B422" s="59"/>
      <c r="C422" s="59"/>
      <c r="H422" s="59"/>
    </row>
    <row r="423" spans="2:8" ht="15.75" customHeight="1" x14ac:dyDescent="0.2">
      <c r="B423" s="59"/>
      <c r="C423" s="59"/>
      <c r="H423" s="59"/>
    </row>
    <row r="424" spans="2:8" ht="15.75" customHeight="1" x14ac:dyDescent="0.2">
      <c r="B424" s="59"/>
      <c r="C424" s="59"/>
      <c r="H424" s="59"/>
    </row>
    <row r="425" spans="2:8" ht="15.75" customHeight="1" x14ac:dyDescent="0.2">
      <c r="B425" s="59"/>
      <c r="C425" s="59"/>
      <c r="H425" s="59"/>
    </row>
    <row r="426" spans="2:8" ht="15.75" customHeight="1" x14ac:dyDescent="0.2">
      <c r="B426" s="59"/>
      <c r="C426" s="59"/>
      <c r="H426" s="59"/>
    </row>
    <row r="427" spans="2:8" ht="15.75" customHeight="1" x14ac:dyDescent="0.2">
      <c r="B427" s="59"/>
      <c r="C427" s="59"/>
      <c r="H427" s="59"/>
    </row>
    <row r="428" spans="2:8" ht="15.75" customHeight="1" x14ac:dyDescent="0.2">
      <c r="B428" s="59"/>
      <c r="C428" s="59"/>
      <c r="H428" s="59"/>
    </row>
    <row r="429" spans="2:8" ht="15.75" customHeight="1" x14ac:dyDescent="0.2">
      <c r="B429" s="59"/>
      <c r="C429" s="59"/>
      <c r="H429" s="59"/>
    </row>
    <row r="430" spans="2:8" ht="15.75" customHeight="1" x14ac:dyDescent="0.2">
      <c r="B430" s="59"/>
      <c r="C430" s="59"/>
      <c r="H430" s="59"/>
    </row>
    <row r="431" spans="2:8" ht="15.75" customHeight="1" x14ac:dyDescent="0.2">
      <c r="B431" s="59"/>
      <c r="C431" s="59"/>
      <c r="H431" s="59"/>
    </row>
    <row r="432" spans="2:8" ht="15.75" customHeight="1" x14ac:dyDescent="0.2">
      <c r="B432" s="59"/>
      <c r="C432" s="59"/>
      <c r="H432" s="59"/>
    </row>
    <row r="433" spans="2:8" ht="15.75" customHeight="1" x14ac:dyDescent="0.2">
      <c r="B433" s="59"/>
      <c r="C433" s="59"/>
      <c r="H433" s="59"/>
    </row>
    <row r="434" spans="2:8" ht="15.75" customHeight="1" x14ac:dyDescent="0.2">
      <c r="B434" s="59"/>
      <c r="C434" s="59"/>
      <c r="H434" s="59"/>
    </row>
    <row r="435" spans="2:8" ht="15.75" customHeight="1" x14ac:dyDescent="0.2">
      <c r="B435" s="59"/>
      <c r="C435" s="59"/>
      <c r="H435" s="59"/>
    </row>
    <row r="436" spans="2:8" ht="15.75" customHeight="1" x14ac:dyDescent="0.2">
      <c r="B436" s="59"/>
      <c r="C436" s="59"/>
      <c r="H436" s="59"/>
    </row>
    <row r="437" spans="2:8" ht="15.75" customHeight="1" x14ac:dyDescent="0.2">
      <c r="B437" s="59"/>
      <c r="C437" s="59"/>
      <c r="H437" s="59"/>
    </row>
    <row r="438" spans="2:8" ht="15.75" customHeight="1" x14ac:dyDescent="0.2">
      <c r="B438" s="59"/>
      <c r="C438" s="59"/>
      <c r="H438" s="59"/>
    </row>
    <row r="439" spans="2:8" ht="15.75" customHeight="1" x14ac:dyDescent="0.2">
      <c r="B439" s="59"/>
      <c r="C439" s="59"/>
      <c r="H439" s="59"/>
    </row>
    <row r="440" spans="2:8" ht="15.75" customHeight="1" x14ac:dyDescent="0.2">
      <c r="B440" s="59"/>
      <c r="C440" s="59"/>
      <c r="H440" s="59"/>
    </row>
    <row r="441" spans="2:8" ht="15.75" customHeight="1" x14ac:dyDescent="0.2">
      <c r="B441" s="59"/>
      <c r="C441" s="59"/>
      <c r="H441" s="59"/>
    </row>
    <row r="442" spans="2:8" ht="15.75" customHeight="1" x14ac:dyDescent="0.2">
      <c r="B442" s="59"/>
      <c r="C442" s="59"/>
      <c r="H442" s="59"/>
    </row>
    <row r="443" spans="2:8" ht="15.75" customHeight="1" x14ac:dyDescent="0.2">
      <c r="B443" s="59"/>
      <c r="C443" s="59"/>
      <c r="H443" s="59"/>
    </row>
    <row r="444" spans="2:8" ht="15.75" customHeight="1" x14ac:dyDescent="0.2">
      <c r="B444" s="59"/>
      <c r="C444" s="59"/>
      <c r="H444" s="59"/>
    </row>
    <row r="445" spans="2:8" ht="15.75" customHeight="1" x14ac:dyDescent="0.2">
      <c r="B445" s="59"/>
      <c r="C445" s="59"/>
      <c r="H445" s="59"/>
    </row>
    <row r="446" spans="2:8" ht="15.75" customHeight="1" x14ac:dyDescent="0.2">
      <c r="B446" s="59"/>
      <c r="C446" s="59"/>
      <c r="H446" s="59"/>
    </row>
    <row r="447" spans="2:8" ht="15.75" customHeight="1" x14ac:dyDescent="0.2">
      <c r="B447" s="59"/>
      <c r="C447" s="59"/>
      <c r="H447" s="59"/>
    </row>
    <row r="448" spans="2:8" ht="15.75" customHeight="1" x14ac:dyDescent="0.2">
      <c r="B448" s="59"/>
      <c r="C448" s="59"/>
      <c r="H448" s="59"/>
    </row>
    <row r="449" spans="2:8" ht="15.75" customHeight="1" x14ac:dyDescent="0.2">
      <c r="B449" s="59"/>
      <c r="C449" s="59"/>
      <c r="H449" s="59"/>
    </row>
    <row r="450" spans="2:8" ht="15.75" customHeight="1" x14ac:dyDescent="0.2">
      <c r="B450" s="59"/>
      <c r="C450" s="59"/>
      <c r="H450" s="59"/>
    </row>
    <row r="451" spans="2:8" ht="15.75" customHeight="1" x14ac:dyDescent="0.2">
      <c r="B451" s="59"/>
      <c r="C451" s="59"/>
      <c r="H451" s="59"/>
    </row>
    <row r="452" spans="2:8" ht="15.75" customHeight="1" x14ac:dyDescent="0.2">
      <c r="B452" s="59"/>
      <c r="C452" s="59"/>
      <c r="H452" s="59"/>
    </row>
    <row r="453" spans="2:8" ht="15.75" customHeight="1" x14ac:dyDescent="0.2">
      <c r="B453" s="59"/>
      <c r="C453" s="59"/>
      <c r="H453" s="59"/>
    </row>
    <row r="454" spans="2:8" ht="15.75" customHeight="1" x14ac:dyDescent="0.2">
      <c r="B454" s="59"/>
      <c r="C454" s="59"/>
      <c r="H454" s="59"/>
    </row>
    <row r="455" spans="2:8" ht="15.75" customHeight="1" x14ac:dyDescent="0.2">
      <c r="B455" s="59"/>
      <c r="C455" s="59"/>
      <c r="H455" s="59"/>
    </row>
    <row r="456" spans="2:8" ht="15.75" customHeight="1" x14ac:dyDescent="0.2">
      <c r="B456" s="59"/>
      <c r="C456" s="59"/>
      <c r="H456" s="59"/>
    </row>
    <row r="457" spans="2:8" ht="15.75" customHeight="1" x14ac:dyDescent="0.2">
      <c r="B457" s="59"/>
      <c r="C457" s="59"/>
      <c r="H457" s="59"/>
    </row>
    <row r="458" spans="2:8" ht="15.75" customHeight="1" x14ac:dyDescent="0.2">
      <c r="B458" s="59"/>
      <c r="C458" s="59"/>
      <c r="H458" s="59"/>
    </row>
    <row r="459" spans="2:8" ht="15.75" customHeight="1" x14ac:dyDescent="0.2">
      <c r="B459" s="59"/>
      <c r="C459" s="59"/>
      <c r="H459" s="59"/>
    </row>
    <row r="460" spans="2:8" ht="15.75" customHeight="1" x14ac:dyDescent="0.2">
      <c r="B460" s="59"/>
      <c r="C460" s="59"/>
      <c r="H460" s="59"/>
    </row>
    <row r="461" spans="2:8" ht="15.75" customHeight="1" x14ac:dyDescent="0.2">
      <c r="B461" s="59"/>
      <c r="C461" s="59"/>
      <c r="H461" s="59"/>
    </row>
    <row r="462" spans="2:8" ht="15.75" customHeight="1" x14ac:dyDescent="0.2">
      <c r="B462" s="59"/>
      <c r="C462" s="59"/>
      <c r="H462" s="59"/>
    </row>
    <row r="463" spans="2:8" ht="15.75" customHeight="1" x14ac:dyDescent="0.2">
      <c r="B463" s="59"/>
      <c r="C463" s="59"/>
      <c r="H463" s="59"/>
    </row>
    <row r="464" spans="2:8" ht="15.75" customHeight="1" x14ac:dyDescent="0.2">
      <c r="B464" s="59"/>
      <c r="C464" s="59"/>
      <c r="H464" s="59"/>
    </row>
    <row r="465" spans="2:8" ht="15.75" customHeight="1" x14ac:dyDescent="0.2">
      <c r="B465" s="59"/>
      <c r="C465" s="59"/>
      <c r="H465" s="59"/>
    </row>
    <row r="466" spans="2:8" ht="15.75" customHeight="1" x14ac:dyDescent="0.2">
      <c r="B466" s="59"/>
      <c r="C466" s="59"/>
      <c r="H466" s="59"/>
    </row>
    <row r="467" spans="2:8" ht="15.75" customHeight="1" x14ac:dyDescent="0.2">
      <c r="B467" s="59"/>
      <c r="C467" s="59"/>
      <c r="H467" s="59"/>
    </row>
    <row r="468" spans="2:8" ht="15.75" customHeight="1" x14ac:dyDescent="0.2">
      <c r="B468" s="59"/>
      <c r="C468" s="59"/>
      <c r="H468" s="59"/>
    </row>
    <row r="469" spans="2:8" ht="15.75" customHeight="1" x14ac:dyDescent="0.2">
      <c r="B469" s="59"/>
      <c r="C469" s="59"/>
      <c r="H469" s="59"/>
    </row>
    <row r="470" spans="2:8" ht="15.75" customHeight="1" x14ac:dyDescent="0.2">
      <c r="B470" s="59"/>
      <c r="C470" s="59"/>
      <c r="H470" s="59"/>
    </row>
    <row r="471" spans="2:8" ht="15.75" customHeight="1" x14ac:dyDescent="0.2">
      <c r="B471" s="59"/>
      <c r="C471" s="59"/>
      <c r="H471" s="59"/>
    </row>
    <row r="472" spans="2:8" ht="15.75" customHeight="1" x14ac:dyDescent="0.2">
      <c r="B472" s="59"/>
      <c r="C472" s="59"/>
      <c r="H472" s="59"/>
    </row>
    <row r="473" spans="2:8" ht="15.75" customHeight="1" x14ac:dyDescent="0.2">
      <c r="B473" s="59"/>
      <c r="C473" s="59"/>
      <c r="H473" s="59"/>
    </row>
    <row r="474" spans="2:8" ht="15.75" customHeight="1" x14ac:dyDescent="0.2">
      <c r="B474" s="59"/>
      <c r="C474" s="59"/>
      <c r="H474" s="59"/>
    </row>
    <row r="475" spans="2:8" ht="15.75" customHeight="1" x14ac:dyDescent="0.2">
      <c r="B475" s="59"/>
      <c r="C475" s="59"/>
      <c r="H475" s="59"/>
    </row>
    <row r="476" spans="2:8" ht="15.75" customHeight="1" x14ac:dyDescent="0.2">
      <c r="B476" s="59"/>
      <c r="C476" s="59"/>
      <c r="H476" s="59"/>
    </row>
    <row r="477" spans="2:8" ht="15.75" customHeight="1" x14ac:dyDescent="0.2">
      <c r="B477" s="59"/>
      <c r="C477" s="59"/>
      <c r="H477" s="59"/>
    </row>
    <row r="478" spans="2:8" ht="15.75" customHeight="1" x14ac:dyDescent="0.2">
      <c r="B478" s="59"/>
      <c r="C478" s="59"/>
      <c r="H478" s="59"/>
    </row>
    <row r="479" spans="2:8" ht="15.75" customHeight="1" x14ac:dyDescent="0.2">
      <c r="B479" s="59"/>
      <c r="C479" s="59"/>
      <c r="H479" s="59"/>
    </row>
    <row r="480" spans="2:8" ht="15.75" customHeight="1" x14ac:dyDescent="0.2">
      <c r="B480" s="59"/>
      <c r="C480" s="59"/>
      <c r="H480" s="59"/>
    </row>
    <row r="481" spans="2:8" ht="15.75" customHeight="1" x14ac:dyDescent="0.2">
      <c r="B481" s="59"/>
      <c r="C481" s="59"/>
      <c r="H481" s="59"/>
    </row>
    <row r="482" spans="2:8" ht="15.75" customHeight="1" x14ac:dyDescent="0.2">
      <c r="B482" s="59"/>
      <c r="C482" s="59"/>
      <c r="H482" s="59"/>
    </row>
    <row r="483" spans="2:8" ht="15.75" customHeight="1" x14ac:dyDescent="0.2">
      <c r="B483" s="59"/>
      <c r="C483" s="59"/>
      <c r="H483" s="59"/>
    </row>
    <row r="484" spans="2:8" ht="15.75" customHeight="1" x14ac:dyDescent="0.2">
      <c r="B484" s="59"/>
      <c r="C484" s="59"/>
      <c r="H484" s="59"/>
    </row>
    <row r="485" spans="2:8" ht="15.75" customHeight="1" x14ac:dyDescent="0.2">
      <c r="B485" s="59"/>
      <c r="C485" s="59"/>
      <c r="H485" s="59"/>
    </row>
    <row r="486" spans="2:8" ht="15.75" customHeight="1" x14ac:dyDescent="0.2">
      <c r="B486" s="59"/>
      <c r="C486" s="59"/>
      <c r="H486" s="59"/>
    </row>
    <row r="487" spans="2:8" ht="15.75" customHeight="1" x14ac:dyDescent="0.2">
      <c r="B487" s="59"/>
      <c r="C487" s="59"/>
      <c r="H487" s="59"/>
    </row>
    <row r="488" spans="2:8" ht="15.75" customHeight="1" x14ac:dyDescent="0.2">
      <c r="B488" s="59"/>
      <c r="C488" s="59"/>
      <c r="H488" s="59"/>
    </row>
    <row r="489" spans="2:8" ht="15.75" customHeight="1" x14ac:dyDescent="0.2">
      <c r="B489" s="59"/>
      <c r="C489" s="59"/>
      <c r="H489" s="59"/>
    </row>
    <row r="490" spans="2:8" ht="15.75" customHeight="1" x14ac:dyDescent="0.2">
      <c r="B490" s="59"/>
      <c r="C490" s="59"/>
      <c r="H490" s="59"/>
    </row>
    <row r="491" spans="2:8" ht="15.75" customHeight="1" x14ac:dyDescent="0.2">
      <c r="B491" s="59"/>
      <c r="C491" s="59"/>
      <c r="H491" s="59"/>
    </row>
    <row r="492" spans="2:8" ht="15.75" customHeight="1" x14ac:dyDescent="0.2">
      <c r="B492" s="59"/>
      <c r="C492" s="59"/>
      <c r="H492" s="59"/>
    </row>
    <row r="493" spans="2:8" ht="15.75" customHeight="1" x14ac:dyDescent="0.2">
      <c r="B493" s="59"/>
      <c r="C493" s="59"/>
      <c r="H493" s="59"/>
    </row>
    <row r="494" spans="2:8" ht="15.75" customHeight="1" x14ac:dyDescent="0.2">
      <c r="B494" s="59"/>
      <c r="C494" s="59"/>
      <c r="H494" s="59"/>
    </row>
    <row r="495" spans="2:8" ht="15.75" customHeight="1" x14ac:dyDescent="0.2">
      <c r="B495" s="59"/>
      <c r="C495" s="59"/>
      <c r="H495" s="59"/>
    </row>
    <row r="496" spans="2:8" ht="15.75" customHeight="1" x14ac:dyDescent="0.2">
      <c r="B496" s="59"/>
      <c r="C496" s="59"/>
      <c r="H496" s="59"/>
    </row>
    <row r="497" spans="2:8" ht="15.75" customHeight="1" x14ac:dyDescent="0.2">
      <c r="B497" s="59"/>
      <c r="C497" s="59"/>
      <c r="H497" s="59"/>
    </row>
    <row r="498" spans="2:8" ht="15.75" customHeight="1" x14ac:dyDescent="0.2">
      <c r="B498" s="59"/>
      <c r="C498" s="59"/>
      <c r="H498" s="59"/>
    </row>
    <row r="499" spans="2:8" ht="15.75" customHeight="1" x14ac:dyDescent="0.2">
      <c r="B499" s="59"/>
      <c r="C499" s="59"/>
      <c r="H499" s="59"/>
    </row>
    <row r="500" spans="2:8" ht="15.75" customHeight="1" x14ac:dyDescent="0.2">
      <c r="B500" s="59"/>
      <c r="C500" s="59"/>
      <c r="H500" s="59"/>
    </row>
    <row r="501" spans="2:8" ht="15.75" customHeight="1" x14ac:dyDescent="0.2">
      <c r="B501" s="59"/>
      <c r="C501" s="59"/>
      <c r="H501" s="59"/>
    </row>
    <row r="502" spans="2:8" ht="15.75" customHeight="1" x14ac:dyDescent="0.2">
      <c r="B502" s="59"/>
      <c r="C502" s="59"/>
      <c r="H502" s="59"/>
    </row>
    <row r="503" spans="2:8" ht="15.75" customHeight="1" x14ac:dyDescent="0.2">
      <c r="B503" s="59"/>
      <c r="C503" s="59"/>
      <c r="H503" s="59"/>
    </row>
    <row r="504" spans="2:8" ht="15.75" customHeight="1" x14ac:dyDescent="0.2">
      <c r="B504" s="59"/>
      <c r="C504" s="59"/>
      <c r="H504" s="59"/>
    </row>
    <row r="505" spans="2:8" ht="15.75" customHeight="1" x14ac:dyDescent="0.2">
      <c r="B505" s="59"/>
      <c r="C505" s="59"/>
      <c r="H505" s="59"/>
    </row>
    <row r="506" spans="2:8" ht="15.75" customHeight="1" x14ac:dyDescent="0.2">
      <c r="B506" s="59"/>
      <c r="C506" s="59"/>
      <c r="H506" s="59"/>
    </row>
    <row r="507" spans="2:8" ht="15.75" customHeight="1" x14ac:dyDescent="0.2">
      <c r="B507" s="59"/>
      <c r="C507" s="59"/>
      <c r="H507" s="59"/>
    </row>
    <row r="508" spans="2:8" ht="15.75" customHeight="1" x14ac:dyDescent="0.2">
      <c r="B508" s="59"/>
      <c r="C508" s="59"/>
      <c r="H508" s="59"/>
    </row>
    <row r="509" spans="2:8" ht="15.75" customHeight="1" x14ac:dyDescent="0.2">
      <c r="B509" s="59"/>
      <c r="C509" s="59"/>
      <c r="H509" s="59"/>
    </row>
    <row r="510" spans="2:8" ht="15.75" customHeight="1" x14ac:dyDescent="0.2">
      <c r="B510" s="59"/>
      <c r="C510" s="59"/>
      <c r="H510" s="59"/>
    </row>
    <row r="511" spans="2:8" ht="15.75" customHeight="1" x14ac:dyDescent="0.2">
      <c r="B511" s="59"/>
      <c r="C511" s="59"/>
      <c r="H511" s="59"/>
    </row>
    <row r="512" spans="2:8" ht="15.75" customHeight="1" x14ac:dyDescent="0.2">
      <c r="B512" s="59"/>
      <c r="C512" s="59"/>
      <c r="H512" s="59"/>
    </row>
    <row r="513" spans="2:8" ht="15.75" customHeight="1" x14ac:dyDescent="0.2">
      <c r="B513" s="59"/>
      <c r="C513" s="59"/>
      <c r="H513" s="59"/>
    </row>
    <row r="514" spans="2:8" ht="15.75" customHeight="1" x14ac:dyDescent="0.2">
      <c r="B514" s="59"/>
      <c r="C514" s="59"/>
      <c r="H514" s="59"/>
    </row>
    <row r="515" spans="2:8" ht="15.75" customHeight="1" x14ac:dyDescent="0.2">
      <c r="B515" s="59"/>
      <c r="C515" s="59"/>
      <c r="H515" s="59"/>
    </row>
    <row r="516" spans="2:8" ht="15.75" customHeight="1" x14ac:dyDescent="0.2">
      <c r="B516" s="59"/>
      <c r="C516" s="59"/>
      <c r="H516" s="59"/>
    </row>
    <row r="517" spans="2:8" ht="15.75" customHeight="1" x14ac:dyDescent="0.2">
      <c r="B517" s="59"/>
      <c r="C517" s="59"/>
      <c r="H517" s="59"/>
    </row>
    <row r="518" spans="2:8" ht="15.75" customHeight="1" x14ac:dyDescent="0.2">
      <c r="B518" s="59"/>
      <c r="C518" s="59"/>
      <c r="H518" s="59"/>
    </row>
    <row r="519" spans="2:8" ht="15.75" customHeight="1" x14ac:dyDescent="0.2">
      <c r="B519" s="59"/>
      <c r="C519" s="59"/>
      <c r="H519" s="59"/>
    </row>
    <row r="520" spans="2:8" ht="15.75" customHeight="1" x14ac:dyDescent="0.2">
      <c r="B520" s="59"/>
      <c r="C520" s="59"/>
      <c r="H520" s="59"/>
    </row>
    <row r="521" spans="2:8" ht="15.75" customHeight="1" x14ac:dyDescent="0.2">
      <c r="B521" s="59"/>
      <c r="C521" s="59"/>
      <c r="H521" s="59"/>
    </row>
    <row r="522" spans="2:8" ht="15.75" customHeight="1" x14ac:dyDescent="0.2">
      <c r="B522" s="59"/>
      <c r="C522" s="59"/>
      <c r="H522" s="59"/>
    </row>
    <row r="523" spans="2:8" ht="15.75" customHeight="1" x14ac:dyDescent="0.2">
      <c r="B523" s="59"/>
      <c r="C523" s="59"/>
      <c r="H523" s="59"/>
    </row>
    <row r="524" spans="2:8" ht="15.75" customHeight="1" x14ac:dyDescent="0.2">
      <c r="B524" s="59"/>
      <c r="C524" s="59"/>
      <c r="H524" s="59"/>
    </row>
    <row r="525" spans="2:8" ht="15.75" customHeight="1" x14ac:dyDescent="0.2">
      <c r="B525" s="59"/>
      <c r="C525" s="59"/>
      <c r="H525" s="59"/>
    </row>
    <row r="526" spans="2:8" ht="15.75" customHeight="1" x14ac:dyDescent="0.2">
      <c r="B526" s="59"/>
      <c r="C526" s="59"/>
      <c r="H526" s="59"/>
    </row>
    <row r="527" spans="2:8" ht="15.75" customHeight="1" x14ac:dyDescent="0.2">
      <c r="B527" s="59"/>
      <c r="C527" s="59"/>
      <c r="H527" s="59"/>
    </row>
    <row r="528" spans="2:8" ht="15.75" customHeight="1" x14ac:dyDescent="0.2">
      <c r="B528" s="59"/>
      <c r="C528" s="59"/>
      <c r="H528" s="59"/>
    </row>
    <row r="529" spans="2:8" ht="15.75" customHeight="1" x14ac:dyDescent="0.2">
      <c r="B529" s="59"/>
      <c r="C529" s="59"/>
      <c r="H529" s="59"/>
    </row>
    <row r="530" spans="2:8" ht="15.75" customHeight="1" x14ac:dyDescent="0.2">
      <c r="B530" s="59"/>
      <c r="C530" s="59"/>
      <c r="H530" s="59"/>
    </row>
    <row r="531" spans="2:8" ht="15.75" customHeight="1" x14ac:dyDescent="0.2">
      <c r="B531" s="59"/>
      <c r="C531" s="59"/>
      <c r="H531" s="59"/>
    </row>
    <row r="532" spans="2:8" ht="15.75" customHeight="1" x14ac:dyDescent="0.2">
      <c r="B532" s="59"/>
      <c r="C532" s="59"/>
      <c r="H532" s="59"/>
    </row>
    <row r="533" spans="2:8" ht="15.75" customHeight="1" x14ac:dyDescent="0.2">
      <c r="B533" s="59"/>
      <c r="C533" s="59"/>
      <c r="H533" s="59"/>
    </row>
    <row r="534" spans="2:8" ht="15.75" customHeight="1" x14ac:dyDescent="0.2">
      <c r="B534" s="59"/>
      <c r="C534" s="59"/>
      <c r="H534" s="59"/>
    </row>
    <row r="535" spans="2:8" ht="15.75" customHeight="1" x14ac:dyDescent="0.2">
      <c r="B535" s="59"/>
      <c r="C535" s="59"/>
      <c r="H535" s="59"/>
    </row>
    <row r="536" spans="2:8" ht="15.75" customHeight="1" x14ac:dyDescent="0.2">
      <c r="B536" s="59"/>
      <c r="C536" s="59"/>
      <c r="H536" s="59"/>
    </row>
    <row r="537" spans="2:8" ht="15.75" customHeight="1" x14ac:dyDescent="0.2">
      <c r="B537" s="59"/>
      <c r="C537" s="59"/>
      <c r="H537" s="59"/>
    </row>
    <row r="538" spans="2:8" ht="15.75" customHeight="1" x14ac:dyDescent="0.2">
      <c r="B538" s="59"/>
      <c r="C538" s="59"/>
      <c r="H538" s="59"/>
    </row>
    <row r="539" spans="2:8" ht="15.75" customHeight="1" x14ac:dyDescent="0.2">
      <c r="B539" s="59"/>
      <c r="C539" s="59"/>
      <c r="H539" s="59"/>
    </row>
    <row r="540" spans="2:8" ht="15.75" customHeight="1" x14ac:dyDescent="0.2">
      <c r="B540" s="59"/>
      <c r="C540" s="59"/>
      <c r="H540" s="59"/>
    </row>
    <row r="541" spans="2:8" ht="15.75" customHeight="1" x14ac:dyDescent="0.2">
      <c r="B541" s="59"/>
      <c r="C541" s="59"/>
      <c r="H541" s="59"/>
    </row>
    <row r="542" spans="2:8" ht="15.75" customHeight="1" x14ac:dyDescent="0.2">
      <c r="B542" s="59"/>
      <c r="C542" s="59"/>
      <c r="H542" s="59"/>
    </row>
    <row r="543" spans="2:8" ht="15.75" customHeight="1" x14ac:dyDescent="0.2">
      <c r="B543" s="59"/>
      <c r="C543" s="59"/>
      <c r="H543" s="59"/>
    </row>
    <row r="544" spans="2:8" ht="15.75" customHeight="1" x14ac:dyDescent="0.2">
      <c r="B544" s="59"/>
      <c r="C544" s="59"/>
      <c r="H544" s="59"/>
    </row>
    <row r="545" spans="2:8" ht="15.75" customHeight="1" x14ac:dyDescent="0.2">
      <c r="B545" s="59"/>
      <c r="C545" s="59"/>
      <c r="H545" s="59"/>
    </row>
    <row r="546" spans="2:8" ht="15.75" customHeight="1" x14ac:dyDescent="0.2">
      <c r="B546" s="59"/>
      <c r="C546" s="59"/>
      <c r="H546" s="59"/>
    </row>
    <row r="547" spans="2:8" ht="15.75" customHeight="1" x14ac:dyDescent="0.2">
      <c r="B547" s="59"/>
      <c r="C547" s="59"/>
      <c r="H547" s="59"/>
    </row>
    <row r="548" spans="2:8" ht="15.75" customHeight="1" x14ac:dyDescent="0.2">
      <c r="B548" s="59"/>
      <c r="C548" s="59"/>
      <c r="H548" s="59"/>
    </row>
    <row r="549" spans="2:8" ht="15.75" customHeight="1" x14ac:dyDescent="0.2">
      <c r="B549" s="59"/>
      <c r="C549" s="59"/>
      <c r="H549" s="59"/>
    </row>
    <row r="550" spans="2:8" ht="15.75" customHeight="1" x14ac:dyDescent="0.2">
      <c r="B550" s="59"/>
      <c r="C550" s="59"/>
      <c r="H550" s="59"/>
    </row>
    <row r="551" spans="2:8" ht="15.75" customHeight="1" x14ac:dyDescent="0.2">
      <c r="B551" s="59"/>
      <c r="C551" s="59"/>
      <c r="H551" s="59"/>
    </row>
    <row r="552" spans="2:8" ht="15.75" customHeight="1" x14ac:dyDescent="0.2">
      <c r="B552" s="59"/>
      <c r="C552" s="59"/>
      <c r="H552" s="59"/>
    </row>
    <row r="553" spans="2:8" ht="15.75" customHeight="1" x14ac:dyDescent="0.2">
      <c r="B553" s="59"/>
      <c r="C553" s="59"/>
      <c r="H553" s="59"/>
    </row>
    <row r="554" spans="2:8" ht="15.75" customHeight="1" x14ac:dyDescent="0.2">
      <c r="B554" s="59"/>
      <c r="C554" s="59"/>
      <c r="H554" s="59"/>
    </row>
    <row r="555" spans="2:8" ht="15.75" customHeight="1" x14ac:dyDescent="0.2">
      <c r="B555" s="59"/>
      <c r="C555" s="59"/>
      <c r="H555" s="59"/>
    </row>
    <row r="556" spans="2:8" ht="15.75" customHeight="1" x14ac:dyDescent="0.2">
      <c r="B556" s="59"/>
      <c r="C556" s="59"/>
      <c r="H556" s="59"/>
    </row>
    <row r="557" spans="2:8" ht="15.75" customHeight="1" x14ac:dyDescent="0.2">
      <c r="B557" s="59"/>
      <c r="C557" s="59"/>
      <c r="H557" s="59"/>
    </row>
    <row r="558" spans="2:8" ht="15.75" customHeight="1" x14ac:dyDescent="0.2">
      <c r="B558" s="59"/>
      <c r="C558" s="59"/>
      <c r="H558" s="59"/>
    </row>
    <row r="559" spans="2:8" ht="15.75" customHeight="1" x14ac:dyDescent="0.2">
      <c r="B559" s="59"/>
      <c r="C559" s="59"/>
      <c r="H559" s="59"/>
    </row>
    <row r="560" spans="2:8" ht="15.75" customHeight="1" x14ac:dyDescent="0.2">
      <c r="B560" s="59"/>
      <c r="C560" s="59"/>
      <c r="H560" s="59"/>
    </row>
    <row r="561" spans="2:8" ht="15.75" customHeight="1" x14ac:dyDescent="0.2">
      <c r="B561" s="59"/>
      <c r="C561" s="59"/>
      <c r="H561" s="59"/>
    </row>
    <row r="562" spans="2:8" ht="15.75" customHeight="1" x14ac:dyDescent="0.2">
      <c r="B562" s="59"/>
      <c r="C562" s="59"/>
      <c r="H562" s="59"/>
    </row>
    <row r="563" spans="2:8" ht="15.75" customHeight="1" x14ac:dyDescent="0.2">
      <c r="B563" s="59"/>
      <c r="C563" s="59"/>
      <c r="H563" s="59"/>
    </row>
    <row r="564" spans="2:8" ht="15.75" customHeight="1" x14ac:dyDescent="0.2">
      <c r="B564" s="59"/>
      <c r="C564" s="59"/>
      <c r="H564" s="59"/>
    </row>
    <row r="565" spans="2:8" ht="15.75" customHeight="1" x14ac:dyDescent="0.2">
      <c r="B565" s="59"/>
      <c r="C565" s="59"/>
      <c r="H565" s="59"/>
    </row>
    <row r="566" spans="2:8" ht="15.75" customHeight="1" x14ac:dyDescent="0.2">
      <c r="B566" s="59"/>
      <c r="C566" s="59"/>
      <c r="H566" s="59"/>
    </row>
    <row r="567" spans="2:8" ht="15.75" customHeight="1" x14ac:dyDescent="0.2">
      <c r="B567" s="59"/>
      <c r="C567" s="59"/>
      <c r="H567" s="59"/>
    </row>
    <row r="568" spans="2:8" ht="15.75" customHeight="1" x14ac:dyDescent="0.2">
      <c r="B568" s="59"/>
      <c r="C568" s="59"/>
      <c r="H568" s="59"/>
    </row>
    <row r="569" spans="2:8" ht="15.75" customHeight="1" x14ac:dyDescent="0.2">
      <c r="B569" s="59"/>
      <c r="C569" s="59"/>
      <c r="H569" s="59"/>
    </row>
    <row r="570" spans="2:8" ht="15.75" customHeight="1" x14ac:dyDescent="0.2">
      <c r="B570" s="59"/>
      <c r="C570" s="59"/>
      <c r="H570" s="59"/>
    </row>
    <row r="571" spans="2:8" ht="15.75" customHeight="1" x14ac:dyDescent="0.2">
      <c r="B571" s="59"/>
      <c r="C571" s="59"/>
      <c r="H571" s="59"/>
    </row>
    <row r="572" spans="2:8" ht="15.75" customHeight="1" x14ac:dyDescent="0.2">
      <c r="B572" s="59"/>
      <c r="C572" s="59"/>
      <c r="H572" s="59"/>
    </row>
    <row r="573" spans="2:8" ht="15.75" customHeight="1" x14ac:dyDescent="0.2">
      <c r="B573" s="59"/>
      <c r="C573" s="59"/>
      <c r="H573" s="59"/>
    </row>
    <row r="574" spans="2:8" ht="15.75" customHeight="1" x14ac:dyDescent="0.2">
      <c r="B574" s="59"/>
      <c r="C574" s="59"/>
      <c r="H574" s="59"/>
    </row>
    <row r="575" spans="2:8" ht="15.75" customHeight="1" x14ac:dyDescent="0.2">
      <c r="B575" s="59"/>
      <c r="C575" s="59"/>
      <c r="H575" s="59"/>
    </row>
    <row r="576" spans="2:8" ht="15.75" customHeight="1" x14ac:dyDescent="0.2">
      <c r="B576" s="59"/>
      <c r="C576" s="59"/>
      <c r="H576" s="59"/>
    </row>
    <row r="577" spans="2:8" ht="15.75" customHeight="1" x14ac:dyDescent="0.2">
      <c r="B577" s="59"/>
      <c r="C577" s="59"/>
      <c r="H577" s="59"/>
    </row>
    <row r="578" spans="2:8" ht="15.75" customHeight="1" x14ac:dyDescent="0.2">
      <c r="B578" s="59"/>
      <c r="C578" s="59"/>
      <c r="H578" s="59"/>
    </row>
    <row r="579" spans="2:8" ht="15.75" customHeight="1" x14ac:dyDescent="0.2">
      <c r="B579" s="59"/>
      <c r="C579" s="59"/>
      <c r="H579" s="59"/>
    </row>
    <row r="580" spans="2:8" ht="15.75" customHeight="1" x14ac:dyDescent="0.2">
      <c r="B580" s="59"/>
      <c r="C580" s="59"/>
      <c r="H580" s="59"/>
    </row>
    <row r="581" spans="2:8" ht="15.75" customHeight="1" x14ac:dyDescent="0.2">
      <c r="B581" s="59"/>
      <c r="C581" s="59"/>
      <c r="H581" s="59"/>
    </row>
    <row r="582" spans="2:8" ht="15.75" customHeight="1" x14ac:dyDescent="0.2">
      <c r="B582" s="59"/>
      <c r="C582" s="59"/>
      <c r="H582" s="59"/>
    </row>
    <row r="583" spans="2:8" ht="15.75" customHeight="1" x14ac:dyDescent="0.2">
      <c r="B583" s="59"/>
      <c r="C583" s="59"/>
      <c r="H583" s="59"/>
    </row>
    <row r="584" spans="2:8" ht="15.75" customHeight="1" x14ac:dyDescent="0.2">
      <c r="B584" s="59"/>
      <c r="C584" s="59"/>
      <c r="H584" s="59"/>
    </row>
    <row r="585" spans="2:8" ht="15.75" customHeight="1" x14ac:dyDescent="0.2">
      <c r="B585" s="59"/>
      <c r="C585" s="59"/>
      <c r="H585" s="59"/>
    </row>
    <row r="586" spans="2:8" ht="15.75" customHeight="1" x14ac:dyDescent="0.2">
      <c r="B586" s="59"/>
      <c r="C586" s="59"/>
      <c r="H586" s="59"/>
    </row>
    <row r="587" spans="2:8" ht="15.75" customHeight="1" x14ac:dyDescent="0.2">
      <c r="B587" s="59"/>
      <c r="C587" s="59"/>
      <c r="H587" s="59"/>
    </row>
    <row r="588" spans="2:8" ht="15.75" customHeight="1" x14ac:dyDescent="0.2">
      <c r="B588" s="59"/>
      <c r="C588" s="59"/>
      <c r="H588" s="59"/>
    </row>
    <row r="589" spans="2:8" ht="15.75" customHeight="1" x14ac:dyDescent="0.2">
      <c r="B589" s="59"/>
      <c r="C589" s="59"/>
      <c r="H589" s="59"/>
    </row>
    <row r="590" spans="2:8" ht="15.75" customHeight="1" x14ac:dyDescent="0.2">
      <c r="B590" s="59"/>
      <c r="C590" s="59"/>
      <c r="H590" s="59"/>
    </row>
    <row r="591" spans="2:8" ht="15.75" customHeight="1" x14ac:dyDescent="0.2">
      <c r="B591" s="59"/>
      <c r="C591" s="59"/>
      <c r="H591" s="59"/>
    </row>
    <row r="592" spans="2:8" ht="15.75" customHeight="1" x14ac:dyDescent="0.2">
      <c r="B592" s="59"/>
      <c r="C592" s="59"/>
      <c r="H592" s="59"/>
    </row>
    <row r="593" spans="2:8" ht="15.75" customHeight="1" x14ac:dyDescent="0.2">
      <c r="B593" s="59"/>
      <c r="C593" s="59"/>
      <c r="H593" s="59"/>
    </row>
    <row r="594" spans="2:8" ht="15.75" customHeight="1" x14ac:dyDescent="0.2">
      <c r="B594" s="59"/>
      <c r="C594" s="59"/>
      <c r="H594" s="59"/>
    </row>
    <row r="595" spans="2:8" ht="15.75" customHeight="1" x14ac:dyDescent="0.2">
      <c r="B595" s="59"/>
      <c r="C595" s="59"/>
      <c r="H595" s="59"/>
    </row>
    <row r="596" spans="2:8" ht="15.75" customHeight="1" x14ac:dyDescent="0.2">
      <c r="B596" s="59"/>
      <c r="C596" s="59"/>
      <c r="H596" s="59"/>
    </row>
    <row r="597" spans="2:8" ht="15.75" customHeight="1" x14ac:dyDescent="0.2">
      <c r="B597" s="59"/>
      <c r="C597" s="59"/>
      <c r="H597" s="59"/>
    </row>
    <row r="598" spans="2:8" ht="15.75" customHeight="1" x14ac:dyDescent="0.2">
      <c r="B598" s="59"/>
      <c r="C598" s="59"/>
      <c r="H598" s="59"/>
    </row>
    <row r="599" spans="2:8" ht="15.75" customHeight="1" x14ac:dyDescent="0.2">
      <c r="B599" s="59"/>
      <c r="C599" s="59"/>
      <c r="H599" s="59"/>
    </row>
    <row r="600" spans="2:8" ht="15.75" customHeight="1" x14ac:dyDescent="0.2">
      <c r="B600" s="59"/>
      <c r="C600" s="59"/>
      <c r="H600" s="59"/>
    </row>
    <row r="601" spans="2:8" ht="15.75" customHeight="1" x14ac:dyDescent="0.2">
      <c r="B601" s="59"/>
      <c r="C601" s="59"/>
      <c r="H601" s="59"/>
    </row>
    <row r="602" spans="2:8" ht="15.75" customHeight="1" x14ac:dyDescent="0.2">
      <c r="B602" s="59"/>
      <c r="C602" s="59"/>
      <c r="H602" s="59"/>
    </row>
    <row r="603" spans="2:8" ht="15.75" customHeight="1" x14ac:dyDescent="0.2">
      <c r="B603" s="59"/>
      <c r="C603" s="59"/>
      <c r="H603" s="59"/>
    </row>
    <row r="604" spans="2:8" ht="15.75" customHeight="1" x14ac:dyDescent="0.2">
      <c r="B604" s="59"/>
      <c r="C604" s="59"/>
      <c r="H604" s="59"/>
    </row>
    <row r="605" spans="2:8" ht="15.75" customHeight="1" x14ac:dyDescent="0.2">
      <c r="B605" s="59"/>
      <c r="C605" s="59"/>
      <c r="H605" s="59"/>
    </row>
    <row r="606" spans="2:8" ht="15.75" customHeight="1" x14ac:dyDescent="0.2">
      <c r="B606" s="59"/>
      <c r="C606" s="59"/>
      <c r="H606" s="59"/>
    </row>
    <row r="607" spans="2:8" ht="15.75" customHeight="1" x14ac:dyDescent="0.2">
      <c r="B607" s="59"/>
      <c r="C607" s="59"/>
      <c r="H607" s="59"/>
    </row>
    <row r="608" spans="2:8" ht="15.75" customHeight="1" x14ac:dyDescent="0.2">
      <c r="B608" s="59"/>
      <c r="C608" s="59"/>
      <c r="H608" s="59"/>
    </row>
    <row r="609" spans="2:8" ht="15.75" customHeight="1" x14ac:dyDescent="0.2">
      <c r="B609" s="59"/>
      <c r="C609" s="59"/>
      <c r="H609" s="59"/>
    </row>
    <row r="610" spans="2:8" ht="15.75" customHeight="1" x14ac:dyDescent="0.2">
      <c r="B610" s="59"/>
      <c r="C610" s="59"/>
      <c r="H610" s="59"/>
    </row>
    <row r="611" spans="2:8" ht="15.75" customHeight="1" x14ac:dyDescent="0.2">
      <c r="B611" s="59"/>
      <c r="C611" s="59"/>
      <c r="H611" s="59"/>
    </row>
    <row r="612" spans="2:8" ht="15.75" customHeight="1" x14ac:dyDescent="0.2">
      <c r="B612" s="59"/>
      <c r="C612" s="59"/>
      <c r="H612" s="59"/>
    </row>
    <row r="613" spans="2:8" ht="15.75" customHeight="1" x14ac:dyDescent="0.2">
      <c r="B613" s="59"/>
      <c r="C613" s="59"/>
      <c r="H613" s="59"/>
    </row>
    <row r="614" spans="2:8" ht="15.75" customHeight="1" x14ac:dyDescent="0.2">
      <c r="B614" s="59"/>
      <c r="C614" s="59"/>
      <c r="H614" s="59"/>
    </row>
    <row r="615" spans="2:8" ht="15.75" customHeight="1" x14ac:dyDescent="0.2">
      <c r="B615" s="59"/>
      <c r="C615" s="59"/>
      <c r="H615" s="59"/>
    </row>
    <row r="616" spans="2:8" ht="15.75" customHeight="1" x14ac:dyDescent="0.2">
      <c r="B616" s="59"/>
      <c r="C616" s="59"/>
      <c r="H616" s="59"/>
    </row>
    <row r="617" spans="2:8" ht="15.75" customHeight="1" x14ac:dyDescent="0.2">
      <c r="B617" s="59"/>
      <c r="C617" s="59"/>
      <c r="H617" s="59"/>
    </row>
    <row r="618" spans="2:8" ht="15.75" customHeight="1" x14ac:dyDescent="0.2">
      <c r="B618" s="59"/>
      <c r="C618" s="59"/>
      <c r="H618" s="59"/>
    </row>
    <row r="619" spans="2:8" ht="15.75" customHeight="1" x14ac:dyDescent="0.2">
      <c r="B619" s="59"/>
      <c r="C619" s="59"/>
      <c r="H619" s="59"/>
    </row>
    <row r="620" spans="2:8" ht="15.75" customHeight="1" x14ac:dyDescent="0.2">
      <c r="B620" s="59"/>
      <c r="C620" s="59"/>
      <c r="H620" s="59"/>
    </row>
    <row r="621" spans="2:8" ht="15.75" customHeight="1" x14ac:dyDescent="0.2">
      <c r="B621" s="59"/>
      <c r="C621" s="59"/>
      <c r="H621" s="59"/>
    </row>
    <row r="622" spans="2:8" ht="15.75" customHeight="1" x14ac:dyDescent="0.2">
      <c r="B622" s="59"/>
      <c r="C622" s="59"/>
      <c r="H622" s="59"/>
    </row>
    <row r="623" spans="2:8" ht="15.75" customHeight="1" x14ac:dyDescent="0.2">
      <c r="B623" s="59"/>
      <c r="C623" s="59"/>
      <c r="H623" s="59"/>
    </row>
    <row r="624" spans="2:8" ht="15.75" customHeight="1" x14ac:dyDescent="0.2">
      <c r="B624" s="59"/>
      <c r="C624" s="59"/>
      <c r="H624" s="59"/>
    </row>
    <row r="625" spans="2:8" ht="15.75" customHeight="1" x14ac:dyDescent="0.2">
      <c r="B625" s="59"/>
      <c r="C625" s="59"/>
      <c r="H625" s="59"/>
    </row>
    <row r="626" spans="2:8" ht="15.75" customHeight="1" x14ac:dyDescent="0.2">
      <c r="B626" s="59"/>
      <c r="C626" s="59"/>
      <c r="H626" s="59"/>
    </row>
    <row r="627" spans="2:8" ht="15.75" customHeight="1" x14ac:dyDescent="0.2">
      <c r="B627" s="59"/>
      <c r="C627" s="59"/>
      <c r="H627" s="59"/>
    </row>
    <row r="628" spans="2:8" ht="15.75" customHeight="1" x14ac:dyDescent="0.2">
      <c r="B628" s="59"/>
      <c r="C628" s="59"/>
      <c r="H628" s="59"/>
    </row>
    <row r="629" spans="2:8" ht="15.75" customHeight="1" x14ac:dyDescent="0.2">
      <c r="B629" s="59"/>
      <c r="C629" s="59"/>
      <c r="H629" s="59"/>
    </row>
    <row r="630" spans="2:8" ht="15.75" customHeight="1" x14ac:dyDescent="0.2">
      <c r="B630" s="59"/>
      <c r="C630" s="59"/>
      <c r="H630" s="59"/>
    </row>
    <row r="631" spans="2:8" ht="15.75" customHeight="1" x14ac:dyDescent="0.2">
      <c r="B631" s="59"/>
      <c r="C631" s="59"/>
      <c r="H631" s="59"/>
    </row>
    <row r="632" spans="2:8" ht="15.75" customHeight="1" x14ac:dyDescent="0.2">
      <c r="B632" s="59"/>
      <c r="C632" s="59"/>
      <c r="H632" s="59"/>
    </row>
    <row r="633" spans="2:8" ht="15.75" customHeight="1" x14ac:dyDescent="0.2">
      <c r="B633" s="59"/>
      <c r="C633" s="59"/>
      <c r="H633" s="59"/>
    </row>
    <row r="634" spans="2:8" ht="15.75" customHeight="1" x14ac:dyDescent="0.2">
      <c r="B634" s="59"/>
      <c r="C634" s="59"/>
      <c r="H634" s="59"/>
    </row>
    <row r="635" spans="2:8" ht="15.75" customHeight="1" x14ac:dyDescent="0.2">
      <c r="B635" s="59"/>
      <c r="C635" s="59"/>
      <c r="H635" s="59"/>
    </row>
    <row r="636" spans="2:8" ht="15.75" customHeight="1" x14ac:dyDescent="0.2">
      <c r="B636" s="59"/>
      <c r="C636" s="59"/>
      <c r="H636" s="59"/>
    </row>
    <row r="637" spans="2:8" ht="15.75" customHeight="1" x14ac:dyDescent="0.2">
      <c r="B637" s="59"/>
      <c r="C637" s="59"/>
      <c r="H637" s="59"/>
    </row>
    <row r="638" spans="2:8" ht="15.75" customHeight="1" x14ac:dyDescent="0.2">
      <c r="B638" s="59"/>
      <c r="C638" s="59"/>
      <c r="H638" s="59"/>
    </row>
    <row r="639" spans="2:8" ht="15.75" customHeight="1" x14ac:dyDescent="0.2">
      <c r="B639" s="59"/>
      <c r="C639" s="59"/>
      <c r="H639" s="59"/>
    </row>
    <row r="640" spans="2:8" ht="15.75" customHeight="1" x14ac:dyDescent="0.2">
      <c r="B640" s="59"/>
      <c r="C640" s="59"/>
      <c r="H640" s="59"/>
    </row>
    <row r="641" spans="2:8" ht="15.75" customHeight="1" x14ac:dyDescent="0.2">
      <c r="B641" s="59"/>
      <c r="C641" s="59"/>
      <c r="H641" s="59"/>
    </row>
    <row r="642" spans="2:8" ht="15.75" customHeight="1" x14ac:dyDescent="0.2">
      <c r="B642" s="59"/>
      <c r="C642" s="59"/>
      <c r="H642" s="59"/>
    </row>
    <row r="643" spans="2:8" ht="15.75" customHeight="1" x14ac:dyDescent="0.2">
      <c r="B643" s="59"/>
      <c r="C643" s="59"/>
      <c r="H643" s="59"/>
    </row>
    <row r="644" spans="2:8" ht="15.75" customHeight="1" x14ac:dyDescent="0.2">
      <c r="B644" s="59"/>
      <c r="C644" s="59"/>
      <c r="H644" s="59"/>
    </row>
    <row r="645" spans="2:8" ht="15.75" customHeight="1" x14ac:dyDescent="0.2">
      <c r="B645" s="59"/>
      <c r="C645" s="59"/>
      <c r="H645" s="59"/>
    </row>
    <row r="646" spans="2:8" ht="15.75" customHeight="1" x14ac:dyDescent="0.2">
      <c r="B646" s="59"/>
      <c r="C646" s="59"/>
      <c r="H646" s="59"/>
    </row>
    <row r="647" spans="2:8" ht="15.75" customHeight="1" x14ac:dyDescent="0.2">
      <c r="B647" s="59"/>
      <c r="C647" s="59"/>
      <c r="H647" s="59"/>
    </row>
    <row r="648" spans="2:8" ht="15.75" customHeight="1" x14ac:dyDescent="0.2">
      <c r="B648" s="59"/>
      <c r="C648" s="59"/>
      <c r="H648" s="59"/>
    </row>
    <row r="649" spans="2:8" ht="15.75" customHeight="1" x14ac:dyDescent="0.2">
      <c r="B649" s="59"/>
      <c r="C649" s="59"/>
      <c r="H649" s="59"/>
    </row>
    <row r="650" spans="2:8" ht="15.75" customHeight="1" x14ac:dyDescent="0.2">
      <c r="B650" s="59"/>
      <c r="C650" s="59"/>
      <c r="H650" s="59"/>
    </row>
    <row r="651" spans="2:8" ht="15.75" customHeight="1" x14ac:dyDescent="0.2">
      <c r="B651" s="59"/>
      <c r="C651" s="59"/>
      <c r="H651" s="59"/>
    </row>
    <row r="652" spans="2:8" ht="15.75" customHeight="1" x14ac:dyDescent="0.2">
      <c r="B652" s="59"/>
      <c r="C652" s="59"/>
      <c r="H652" s="59"/>
    </row>
    <row r="653" spans="2:8" ht="15.75" customHeight="1" x14ac:dyDescent="0.2">
      <c r="B653" s="59"/>
      <c r="C653" s="59"/>
      <c r="H653" s="59"/>
    </row>
    <row r="654" spans="2:8" ht="15.75" customHeight="1" x14ac:dyDescent="0.2">
      <c r="B654" s="59"/>
      <c r="C654" s="59"/>
      <c r="H654" s="59"/>
    </row>
    <row r="655" spans="2:8" ht="15.75" customHeight="1" x14ac:dyDescent="0.2">
      <c r="B655" s="59"/>
      <c r="C655" s="59"/>
      <c r="H655" s="59"/>
    </row>
    <row r="656" spans="2:8" ht="15.75" customHeight="1" x14ac:dyDescent="0.2">
      <c r="B656" s="59"/>
      <c r="C656" s="59"/>
      <c r="H656" s="59"/>
    </row>
    <row r="657" spans="2:8" ht="15.75" customHeight="1" x14ac:dyDescent="0.2">
      <c r="B657" s="59"/>
      <c r="C657" s="59"/>
      <c r="H657" s="59"/>
    </row>
    <row r="658" spans="2:8" ht="15.75" customHeight="1" x14ac:dyDescent="0.2">
      <c r="B658" s="59"/>
      <c r="C658" s="59"/>
      <c r="H658" s="59"/>
    </row>
    <row r="659" spans="2:8" ht="15.75" customHeight="1" x14ac:dyDescent="0.2">
      <c r="B659" s="59"/>
      <c r="C659" s="59"/>
      <c r="H659" s="59"/>
    </row>
    <row r="660" spans="2:8" ht="15.75" customHeight="1" x14ac:dyDescent="0.2">
      <c r="B660" s="59"/>
      <c r="C660" s="59"/>
      <c r="H660" s="59"/>
    </row>
    <row r="661" spans="2:8" ht="15.75" customHeight="1" x14ac:dyDescent="0.2">
      <c r="B661" s="59"/>
      <c r="C661" s="59"/>
      <c r="H661" s="59"/>
    </row>
    <row r="662" spans="2:8" ht="15.75" customHeight="1" x14ac:dyDescent="0.2">
      <c r="B662" s="59"/>
      <c r="C662" s="59"/>
      <c r="H662" s="59"/>
    </row>
    <row r="663" spans="2:8" ht="15.75" customHeight="1" x14ac:dyDescent="0.2">
      <c r="B663" s="59"/>
      <c r="C663" s="59"/>
      <c r="H663" s="59"/>
    </row>
    <row r="664" spans="2:8" ht="15.75" customHeight="1" x14ac:dyDescent="0.2">
      <c r="B664" s="59"/>
      <c r="C664" s="59"/>
      <c r="H664" s="59"/>
    </row>
    <row r="665" spans="2:8" ht="15.75" customHeight="1" x14ac:dyDescent="0.2">
      <c r="B665" s="59"/>
      <c r="C665" s="59"/>
      <c r="H665" s="59"/>
    </row>
    <row r="666" spans="2:8" ht="15.75" customHeight="1" x14ac:dyDescent="0.2">
      <c r="B666" s="59"/>
      <c r="C666" s="59"/>
      <c r="H666" s="59"/>
    </row>
    <row r="667" spans="2:8" ht="15.75" customHeight="1" x14ac:dyDescent="0.2">
      <c r="B667" s="59"/>
      <c r="C667" s="59"/>
      <c r="H667" s="59"/>
    </row>
    <row r="668" spans="2:8" ht="15.75" customHeight="1" x14ac:dyDescent="0.2">
      <c r="B668" s="59"/>
      <c r="C668" s="59"/>
      <c r="H668" s="59"/>
    </row>
    <row r="669" spans="2:8" ht="15.75" customHeight="1" x14ac:dyDescent="0.2">
      <c r="B669" s="59"/>
      <c r="C669" s="59"/>
      <c r="H669" s="59"/>
    </row>
    <row r="670" spans="2:8" ht="15.75" customHeight="1" x14ac:dyDescent="0.2">
      <c r="B670" s="59"/>
      <c r="C670" s="59"/>
      <c r="H670" s="59"/>
    </row>
    <row r="671" spans="2:8" ht="15.75" customHeight="1" x14ac:dyDescent="0.2">
      <c r="B671" s="59"/>
      <c r="C671" s="59"/>
      <c r="H671" s="59"/>
    </row>
    <row r="672" spans="2:8" ht="15.75" customHeight="1" x14ac:dyDescent="0.2">
      <c r="B672" s="59"/>
      <c r="C672" s="59"/>
      <c r="H672" s="59"/>
    </row>
    <row r="673" spans="2:8" ht="15.75" customHeight="1" x14ac:dyDescent="0.2">
      <c r="B673" s="59"/>
      <c r="C673" s="59"/>
      <c r="H673" s="59"/>
    </row>
    <row r="674" spans="2:8" ht="15.75" customHeight="1" x14ac:dyDescent="0.2">
      <c r="B674" s="59"/>
      <c r="C674" s="59"/>
      <c r="H674" s="59"/>
    </row>
    <row r="675" spans="2:8" ht="15.75" customHeight="1" x14ac:dyDescent="0.2">
      <c r="B675" s="59"/>
      <c r="C675" s="59"/>
      <c r="H675" s="59"/>
    </row>
    <row r="676" spans="2:8" ht="15.75" customHeight="1" x14ac:dyDescent="0.2">
      <c r="B676" s="59"/>
      <c r="C676" s="59"/>
      <c r="H676" s="59"/>
    </row>
    <row r="677" spans="2:8" ht="15.75" customHeight="1" x14ac:dyDescent="0.2">
      <c r="B677" s="59"/>
      <c r="C677" s="59"/>
      <c r="H677" s="59"/>
    </row>
    <row r="678" spans="2:8" ht="15.75" customHeight="1" x14ac:dyDescent="0.2">
      <c r="B678" s="59"/>
      <c r="C678" s="59"/>
      <c r="H678" s="59"/>
    </row>
    <row r="679" spans="2:8" ht="15.75" customHeight="1" x14ac:dyDescent="0.2">
      <c r="B679" s="59"/>
      <c r="C679" s="59"/>
      <c r="H679" s="59"/>
    </row>
    <row r="680" spans="2:8" ht="15.75" customHeight="1" x14ac:dyDescent="0.2">
      <c r="B680" s="59"/>
      <c r="C680" s="59"/>
      <c r="H680" s="59"/>
    </row>
    <row r="681" spans="2:8" ht="15.75" customHeight="1" x14ac:dyDescent="0.2">
      <c r="B681" s="59"/>
      <c r="C681" s="59"/>
      <c r="H681" s="59"/>
    </row>
    <row r="682" spans="2:8" ht="15.75" customHeight="1" x14ac:dyDescent="0.2">
      <c r="B682" s="59"/>
      <c r="C682" s="59"/>
      <c r="H682" s="59"/>
    </row>
    <row r="683" spans="2:8" ht="15.75" customHeight="1" x14ac:dyDescent="0.2">
      <c r="B683" s="59"/>
      <c r="C683" s="59"/>
      <c r="H683" s="59"/>
    </row>
    <row r="684" spans="2:8" ht="15.75" customHeight="1" x14ac:dyDescent="0.2">
      <c r="B684" s="59"/>
      <c r="C684" s="59"/>
      <c r="H684" s="59"/>
    </row>
    <row r="685" spans="2:8" ht="15.75" customHeight="1" x14ac:dyDescent="0.2">
      <c r="B685" s="59"/>
      <c r="C685" s="59"/>
      <c r="H685" s="59"/>
    </row>
    <row r="686" spans="2:8" ht="15.75" customHeight="1" x14ac:dyDescent="0.2">
      <c r="B686" s="59"/>
      <c r="C686" s="59"/>
      <c r="H686" s="59"/>
    </row>
    <row r="687" spans="2:8" ht="15.75" customHeight="1" x14ac:dyDescent="0.2">
      <c r="B687" s="59"/>
      <c r="C687" s="59"/>
      <c r="H687" s="59"/>
    </row>
    <row r="688" spans="2:8" ht="15.75" customHeight="1" x14ac:dyDescent="0.2">
      <c r="B688" s="59"/>
      <c r="C688" s="59"/>
      <c r="H688" s="59"/>
    </row>
    <row r="689" spans="2:8" ht="15.75" customHeight="1" x14ac:dyDescent="0.2">
      <c r="B689" s="59"/>
      <c r="C689" s="59"/>
      <c r="H689" s="59"/>
    </row>
    <row r="690" spans="2:8" ht="15.75" customHeight="1" x14ac:dyDescent="0.2">
      <c r="B690" s="59"/>
      <c r="C690" s="59"/>
      <c r="H690" s="59"/>
    </row>
    <row r="691" spans="2:8" ht="15.75" customHeight="1" x14ac:dyDescent="0.2">
      <c r="B691" s="59"/>
      <c r="C691" s="59"/>
      <c r="H691" s="59"/>
    </row>
    <row r="692" spans="2:8" ht="15.75" customHeight="1" x14ac:dyDescent="0.2">
      <c r="B692" s="59"/>
      <c r="C692" s="59"/>
      <c r="H692" s="59"/>
    </row>
    <row r="693" spans="2:8" ht="15.75" customHeight="1" x14ac:dyDescent="0.2">
      <c r="B693" s="59"/>
      <c r="C693" s="59"/>
      <c r="H693" s="59"/>
    </row>
    <row r="694" spans="2:8" ht="15.75" customHeight="1" x14ac:dyDescent="0.2">
      <c r="B694" s="59"/>
      <c r="C694" s="59"/>
      <c r="H694" s="59"/>
    </row>
    <row r="695" spans="2:8" ht="15.75" customHeight="1" x14ac:dyDescent="0.2">
      <c r="B695" s="59"/>
      <c r="C695" s="59"/>
      <c r="H695" s="59"/>
    </row>
    <row r="696" spans="2:8" ht="15.75" customHeight="1" x14ac:dyDescent="0.2">
      <c r="B696" s="59"/>
      <c r="C696" s="59"/>
      <c r="H696" s="59"/>
    </row>
    <row r="697" spans="2:8" ht="15.75" customHeight="1" x14ac:dyDescent="0.2">
      <c r="B697" s="59"/>
      <c r="C697" s="59"/>
      <c r="H697" s="59"/>
    </row>
    <row r="698" spans="2:8" ht="15.75" customHeight="1" x14ac:dyDescent="0.2">
      <c r="B698" s="59"/>
      <c r="C698" s="59"/>
      <c r="H698" s="59"/>
    </row>
    <row r="699" spans="2:8" ht="15.75" customHeight="1" x14ac:dyDescent="0.2">
      <c r="B699" s="59"/>
      <c r="C699" s="59"/>
      <c r="H699" s="59"/>
    </row>
    <row r="700" spans="2:8" ht="15.75" customHeight="1" x14ac:dyDescent="0.2">
      <c r="B700" s="59"/>
      <c r="C700" s="59"/>
      <c r="H700" s="59"/>
    </row>
    <row r="701" spans="2:8" ht="15.75" customHeight="1" x14ac:dyDescent="0.2">
      <c r="B701" s="59"/>
      <c r="C701" s="59"/>
      <c r="H701" s="59"/>
    </row>
    <row r="702" spans="2:8" ht="15.75" customHeight="1" x14ac:dyDescent="0.2">
      <c r="B702" s="59"/>
      <c r="C702" s="59"/>
      <c r="H702" s="59"/>
    </row>
    <row r="703" spans="2:8" ht="15.75" customHeight="1" x14ac:dyDescent="0.2">
      <c r="B703" s="59"/>
      <c r="C703" s="59"/>
      <c r="H703" s="59"/>
    </row>
    <row r="704" spans="2:8" ht="15.75" customHeight="1" x14ac:dyDescent="0.2">
      <c r="B704" s="59"/>
      <c r="C704" s="59"/>
      <c r="H704" s="59"/>
    </row>
    <row r="705" spans="2:8" ht="15.75" customHeight="1" x14ac:dyDescent="0.2">
      <c r="B705" s="59"/>
      <c r="C705" s="59"/>
      <c r="H705" s="59"/>
    </row>
    <row r="706" spans="2:8" ht="15.75" customHeight="1" x14ac:dyDescent="0.2">
      <c r="B706" s="59"/>
      <c r="C706" s="59"/>
      <c r="H706" s="59"/>
    </row>
    <row r="707" spans="2:8" ht="15.75" customHeight="1" x14ac:dyDescent="0.2">
      <c r="B707" s="59"/>
      <c r="C707" s="59"/>
      <c r="H707" s="59"/>
    </row>
    <row r="708" spans="2:8" ht="15.75" customHeight="1" x14ac:dyDescent="0.2">
      <c r="B708" s="59"/>
      <c r="C708" s="59"/>
      <c r="H708" s="59"/>
    </row>
    <row r="709" spans="2:8" ht="15.75" customHeight="1" x14ac:dyDescent="0.2">
      <c r="B709" s="59"/>
      <c r="C709" s="59"/>
      <c r="H709" s="59"/>
    </row>
    <row r="710" spans="2:8" ht="15.75" customHeight="1" x14ac:dyDescent="0.2">
      <c r="B710" s="59"/>
      <c r="C710" s="59"/>
      <c r="H710" s="59"/>
    </row>
    <row r="711" spans="2:8" ht="15.75" customHeight="1" x14ac:dyDescent="0.2">
      <c r="B711" s="59"/>
      <c r="C711" s="59"/>
      <c r="H711" s="59"/>
    </row>
    <row r="712" spans="2:8" ht="15.75" customHeight="1" x14ac:dyDescent="0.2">
      <c r="B712" s="59"/>
      <c r="C712" s="59"/>
      <c r="H712" s="59"/>
    </row>
    <row r="713" spans="2:8" ht="15.75" customHeight="1" x14ac:dyDescent="0.2">
      <c r="B713" s="59"/>
      <c r="C713" s="59"/>
      <c r="H713" s="59"/>
    </row>
    <row r="714" spans="2:8" ht="15.75" customHeight="1" x14ac:dyDescent="0.2">
      <c r="B714" s="59"/>
      <c r="C714" s="59"/>
      <c r="H714" s="59"/>
    </row>
    <row r="715" spans="2:8" ht="15.75" customHeight="1" x14ac:dyDescent="0.2">
      <c r="B715" s="59"/>
      <c r="C715" s="59"/>
      <c r="H715" s="59"/>
    </row>
    <row r="716" spans="2:8" ht="15.75" customHeight="1" x14ac:dyDescent="0.2">
      <c r="B716" s="59"/>
      <c r="C716" s="59"/>
      <c r="H716" s="59"/>
    </row>
    <row r="717" spans="2:8" ht="15.75" customHeight="1" x14ac:dyDescent="0.2">
      <c r="B717" s="59"/>
      <c r="C717" s="59"/>
      <c r="H717" s="59"/>
    </row>
    <row r="718" spans="2:8" ht="15.75" customHeight="1" x14ac:dyDescent="0.2">
      <c r="B718" s="59"/>
      <c r="C718" s="59"/>
      <c r="H718" s="59"/>
    </row>
    <row r="719" spans="2:8" ht="15.75" customHeight="1" x14ac:dyDescent="0.2">
      <c r="B719" s="59"/>
      <c r="C719" s="59"/>
      <c r="H719" s="59"/>
    </row>
    <row r="720" spans="2:8" ht="15.75" customHeight="1" x14ac:dyDescent="0.2">
      <c r="B720" s="59"/>
      <c r="C720" s="59"/>
      <c r="H720" s="59"/>
    </row>
    <row r="721" spans="2:8" ht="15.75" customHeight="1" x14ac:dyDescent="0.2">
      <c r="B721" s="59"/>
      <c r="C721" s="59"/>
      <c r="H721" s="59"/>
    </row>
    <row r="722" spans="2:8" ht="15.75" customHeight="1" x14ac:dyDescent="0.2">
      <c r="B722" s="59"/>
      <c r="C722" s="59"/>
      <c r="H722" s="59"/>
    </row>
    <row r="723" spans="2:8" ht="15.75" customHeight="1" x14ac:dyDescent="0.2">
      <c r="B723" s="59"/>
      <c r="C723" s="59"/>
      <c r="H723" s="59"/>
    </row>
    <row r="724" spans="2:8" ht="15.75" customHeight="1" x14ac:dyDescent="0.2">
      <c r="B724" s="59"/>
      <c r="C724" s="59"/>
      <c r="H724" s="59"/>
    </row>
    <row r="725" spans="2:8" ht="15.75" customHeight="1" x14ac:dyDescent="0.2">
      <c r="B725" s="59"/>
      <c r="C725" s="59"/>
      <c r="H725" s="59"/>
    </row>
    <row r="726" spans="2:8" ht="15.75" customHeight="1" x14ac:dyDescent="0.2">
      <c r="B726" s="59"/>
      <c r="C726" s="59"/>
      <c r="H726" s="59"/>
    </row>
    <row r="727" spans="2:8" ht="15.75" customHeight="1" x14ac:dyDescent="0.2">
      <c r="B727" s="59"/>
      <c r="C727" s="59"/>
      <c r="H727" s="59"/>
    </row>
    <row r="728" spans="2:8" ht="15.75" customHeight="1" x14ac:dyDescent="0.2">
      <c r="B728" s="59"/>
      <c r="C728" s="59"/>
      <c r="H728" s="59"/>
    </row>
    <row r="729" spans="2:8" ht="15.75" customHeight="1" x14ac:dyDescent="0.2">
      <c r="B729" s="59"/>
      <c r="C729" s="59"/>
      <c r="H729" s="59"/>
    </row>
    <row r="730" spans="2:8" ht="15.75" customHeight="1" x14ac:dyDescent="0.2">
      <c r="B730" s="59"/>
      <c r="C730" s="59"/>
      <c r="H730" s="59"/>
    </row>
    <row r="731" spans="2:8" ht="15.75" customHeight="1" x14ac:dyDescent="0.2">
      <c r="B731" s="59"/>
      <c r="C731" s="59"/>
      <c r="H731" s="59"/>
    </row>
    <row r="732" spans="2:8" ht="15.75" customHeight="1" x14ac:dyDescent="0.2">
      <c r="B732" s="59"/>
      <c r="C732" s="59"/>
      <c r="H732" s="59"/>
    </row>
    <row r="733" spans="2:8" ht="15.75" customHeight="1" x14ac:dyDescent="0.2">
      <c r="B733" s="59"/>
      <c r="C733" s="59"/>
      <c r="H733" s="59"/>
    </row>
    <row r="734" spans="2:8" ht="15.75" customHeight="1" x14ac:dyDescent="0.2">
      <c r="B734" s="59"/>
      <c r="C734" s="59"/>
      <c r="H734" s="59"/>
    </row>
    <row r="735" spans="2:8" ht="15.75" customHeight="1" x14ac:dyDescent="0.2">
      <c r="B735" s="59"/>
      <c r="C735" s="59"/>
      <c r="H735" s="59"/>
    </row>
    <row r="736" spans="2:8" ht="15.75" customHeight="1" x14ac:dyDescent="0.2">
      <c r="B736" s="59"/>
      <c r="C736" s="59"/>
      <c r="H736" s="59"/>
    </row>
    <row r="737" spans="2:8" ht="15.75" customHeight="1" x14ac:dyDescent="0.2">
      <c r="B737" s="59"/>
      <c r="C737" s="59"/>
      <c r="H737" s="59"/>
    </row>
    <row r="738" spans="2:8" ht="15.75" customHeight="1" x14ac:dyDescent="0.2">
      <c r="B738" s="59"/>
      <c r="C738" s="59"/>
      <c r="H738" s="59"/>
    </row>
    <row r="739" spans="2:8" ht="15.75" customHeight="1" x14ac:dyDescent="0.2">
      <c r="B739" s="59"/>
      <c r="C739" s="59"/>
      <c r="H739" s="59"/>
    </row>
    <row r="740" spans="2:8" ht="15.75" customHeight="1" x14ac:dyDescent="0.2">
      <c r="B740" s="59"/>
      <c r="C740" s="59"/>
      <c r="H740" s="59"/>
    </row>
    <row r="741" spans="2:8" ht="15.75" customHeight="1" x14ac:dyDescent="0.2">
      <c r="B741" s="59"/>
      <c r="C741" s="59"/>
      <c r="H741" s="59"/>
    </row>
    <row r="742" spans="2:8" ht="15.75" customHeight="1" x14ac:dyDescent="0.2">
      <c r="B742" s="59"/>
      <c r="C742" s="59"/>
      <c r="H742" s="59"/>
    </row>
    <row r="743" spans="2:8" ht="15.75" customHeight="1" x14ac:dyDescent="0.2">
      <c r="B743" s="59"/>
      <c r="C743" s="59"/>
      <c r="H743" s="59"/>
    </row>
    <row r="744" spans="2:8" ht="15.75" customHeight="1" x14ac:dyDescent="0.2">
      <c r="B744" s="59"/>
      <c r="C744" s="59"/>
      <c r="H744" s="59"/>
    </row>
    <row r="745" spans="2:8" ht="15.75" customHeight="1" x14ac:dyDescent="0.2">
      <c r="B745" s="59"/>
      <c r="C745" s="59"/>
      <c r="H745" s="59"/>
    </row>
    <row r="746" spans="2:8" ht="15.75" customHeight="1" x14ac:dyDescent="0.2">
      <c r="B746" s="59"/>
      <c r="C746" s="59"/>
      <c r="H746" s="59"/>
    </row>
    <row r="747" spans="2:8" ht="15.75" customHeight="1" x14ac:dyDescent="0.2">
      <c r="B747" s="59"/>
      <c r="C747" s="59"/>
      <c r="H747" s="59"/>
    </row>
    <row r="748" spans="2:8" ht="15.75" customHeight="1" x14ac:dyDescent="0.2">
      <c r="B748" s="59"/>
      <c r="C748" s="59"/>
      <c r="H748" s="59"/>
    </row>
    <row r="749" spans="2:8" ht="15.75" customHeight="1" x14ac:dyDescent="0.2">
      <c r="B749" s="59"/>
      <c r="C749" s="59"/>
      <c r="H749" s="59"/>
    </row>
    <row r="750" spans="2:8" ht="15.75" customHeight="1" x14ac:dyDescent="0.2">
      <c r="B750" s="59"/>
      <c r="C750" s="59"/>
      <c r="H750" s="59"/>
    </row>
    <row r="751" spans="2:8" ht="15.75" customHeight="1" x14ac:dyDescent="0.2">
      <c r="B751" s="59"/>
      <c r="C751" s="59"/>
      <c r="H751" s="59"/>
    </row>
    <row r="752" spans="2:8" ht="15.75" customHeight="1" x14ac:dyDescent="0.2">
      <c r="B752" s="59"/>
      <c r="C752" s="59"/>
      <c r="H752" s="59"/>
    </row>
    <row r="753" spans="2:8" ht="15.75" customHeight="1" x14ac:dyDescent="0.2">
      <c r="B753" s="59"/>
      <c r="C753" s="59"/>
      <c r="H753" s="59"/>
    </row>
    <row r="754" spans="2:8" ht="15.75" customHeight="1" x14ac:dyDescent="0.2">
      <c r="B754" s="59"/>
      <c r="C754" s="59"/>
      <c r="H754" s="59"/>
    </row>
    <row r="755" spans="2:8" ht="15.75" customHeight="1" x14ac:dyDescent="0.2">
      <c r="B755" s="59"/>
      <c r="C755" s="59"/>
      <c r="H755" s="59"/>
    </row>
    <row r="756" spans="2:8" ht="15.75" customHeight="1" x14ac:dyDescent="0.2">
      <c r="B756" s="59"/>
      <c r="C756" s="59"/>
      <c r="H756" s="59"/>
    </row>
    <row r="757" spans="2:8" ht="15.75" customHeight="1" x14ac:dyDescent="0.2">
      <c r="B757" s="59"/>
      <c r="C757" s="59"/>
      <c r="H757" s="59"/>
    </row>
    <row r="758" spans="2:8" ht="15.75" customHeight="1" x14ac:dyDescent="0.2">
      <c r="B758" s="59"/>
      <c r="C758" s="59"/>
      <c r="H758" s="59"/>
    </row>
    <row r="759" spans="2:8" ht="15.75" customHeight="1" x14ac:dyDescent="0.2">
      <c r="B759" s="59"/>
      <c r="C759" s="59"/>
      <c r="H759" s="59"/>
    </row>
    <row r="760" spans="2:8" ht="15.75" customHeight="1" x14ac:dyDescent="0.2">
      <c r="B760" s="59"/>
      <c r="C760" s="59"/>
      <c r="H760" s="59"/>
    </row>
    <row r="761" spans="2:8" ht="15.75" customHeight="1" x14ac:dyDescent="0.2">
      <c r="B761" s="59"/>
      <c r="C761" s="59"/>
      <c r="H761" s="59"/>
    </row>
    <row r="762" spans="2:8" ht="15.75" customHeight="1" x14ac:dyDescent="0.2">
      <c r="B762" s="59"/>
      <c r="C762" s="59"/>
      <c r="H762" s="59"/>
    </row>
    <row r="763" spans="2:8" ht="15.75" customHeight="1" x14ac:dyDescent="0.2">
      <c r="B763" s="59"/>
      <c r="C763" s="59"/>
      <c r="H763" s="59"/>
    </row>
    <row r="764" spans="2:8" ht="15.75" customHeight="1" x14ac:dyDescent="0.2">
      <c r="B764" s="59"/>
      <c r="C764" s="59"/>
      <c r="H764" s="59"/>
    </row>
    <row r="765" spans="2:8" ht="15.75" customHeight="1" x14ac:dyDescent="0.2">
      <c r="B765" s="59"/>
      <c r="C765" s="59"/>
      <c r="H765" s="59"/>
    </row>
    <row r="766" spans="2:8" ht="15.75" customHeight="1" x14ac:dyDescent="0.2">
      <c r="B766" s="59"/>
      <c r="C766" s="59"/>
      <c r="H766" s="59"/>
    </row>
    <row r="767" spans="2:8" ht="15.75" customHeight="1" x14ac:dyDescent="0.2">
      <c r="B767" s="59"/>
      <c r="C767" s="59"/>
      <c r="H767" s="59"/>
    </row>
    <row r="768" spans="2:8" ht="15.75" customHeight="1" x14ac:dyDescent="0.2">
      <c r="B768" s="59"/>
      <c r="C768" s="59"/>
      <c r="H768" s="59"/>
    </row>
    <row r="769" spans="2:8" ht="15.75" customHeight="1" x14ac:dyDescent="0.2">
      <c r="B769" s="59"/>
      <c r="C769" s="59"/>
      <c r="H769" s="59"/>
    </row>
    <row r="770" spans="2:8" ht="15.75" customHeight="1" x14ac:dyDescent="0.2">
      <c r="B770" s="59"/>
      <c r="C770" s="59"/>
      <c r="H770" s="59"/>
    </row>
    <row r="771" spans="2:8" ht="15.75" customHeight="1" x14ac:dyDescent="0.2">
      <c r="B771" s="59"/>
      <c r="C771" s="59"/>
      <c r="H771" s="59"/>
    </row>
    <row r="772" spans="2:8" ht="15.75" customHeight="1" x14ac:dyDescent="0.2">
      <c r="B772" s="59"/>
      <c r="C772" s="59"/>
      <c r="H772" s="59"/>
    </row>
    <row r="773" spans="2:8" ht="15.75" customHeight="1" x14ac:dyDescent="0.2">
      <c r="B773" s="59"/>
      <c r="C773" s="59"/>
      <c r="H773" s="59"/>
    </row>
    <row r="774" spans="2:8" ht="15.75" customHeight="1" x14ac:dyDescent="0.2">
      <c r="B774" s="59"/>
      <c r="C774" s="59"/>
      <c r="H774" s="59"/>
    </row>
    <row r="775" spans="2:8" ht="15.75" customHeight="1" x14ac:dyDescent="0.2">
      <c r="B775" s="59"/>
      <c r="C775" s="59"/>
      <c r="H775" s="59"/>
    </row>
    <row r="776" spans="2:8" ht="15.75" customHeight="1" x14ac:dyDescent="0.2">
      <c r="B776" s="59"/>
      <c r="C776" s="59"/>
      <c r="H776" s="59"/>
    </row>
    <row r="777" spans="2:8" ht="15.75" customHeight="1" x14ac:dyDescent="0.2">
      <c r="B777" s="59"/>
      <c r="C777" s="59"/>
      <c r="H777" s="59"/>
    </row>
    <row r="778" spans="2:8" ht="15.75" customHeight="1" x14ac:dyDescent="0.2">
      <c r="B778" s="59"/>
      <c r="C778" s="59"/>
      <c r="H778" s="59"/>
    </row>
    <row r="779" spans="2:8" ht="15.75" customHeight="1" x14ac:dyDescent="0.2">
      <c r="B779" s="59"/>
      <c r="C779" s="59"/>
      <c r="H779" s="59"/>
    </row>
    <row r="780" spans="2:8" ht="15.75" customHeight="1" x14ac:dyDescent="0.2">
      <c r="B780" s="59"/>
      <c r="C780" s="59"/>
      <c r="H780" s="59"/>
    </row>
    <row r="781" spans="2:8" ht="15.75" customHeight="1" x14ac:dyDescent="0.2">
      <c r="B781" s="59"/>
      <c r="C781" s="59"/>
      <c r="H781" s="59"/>
    </row>
    <row r="782" spans="2:8" ht="15.75" customHeight="1" x14ac:dyDescent="0.2">
      <c r="B782" s="59"/>
      <c r="C782" s="59"/>
      <c r="H782" s="59"/>
    </row>
    <row r="783" spans="2:8" ht="15.75" customHeight="1" x14ac:dyDescent="0.2">
      <c r="B783" s="59"/>
      <c r="C783" s="59"/>
      <c r="H783" s="59"/>
    </row>
    <row r="784" spans="2:8" ht="15.75" customHeight="1" x14ac:dyDescent="0.2">
      <c r="B784" s="59"/>
      <c r="C784" s="59"/>
      <c r="H784" s="59"/>
    </row>
    <row r="785" spans="2:8" ht="15.75" customHeight="1" x14ac:dyDescent="0.2">
      <c r="B785" s="59"/>
      <c r="C785" s="59"/>
      <c r="H785" s="59"/>
    </row>
    <row r="786" spans="2:8" ht="15.75" customHeight="1" x14ac:dyDescent="0.2">
      <c r="B786" s="59"/>
      <c r="C786" s="59"/>
      <c r="H786" s="59"/>
    </row>
    <row r="787" spans="2:8" ht="15.75" customHeight="1" x14ac:dyDescent="0.2">
      <c r="B787" s="59"/>
      <c r="C787" s="59"/>
      <c r="H787" s="59"/>
    </row>
    <row r="788" spans="2:8" ht="15.75" customHeight="1" x14ac:dyDescent="0.2">
      <c r="B788" s="59"/>
      <c r="C788" s="59"/>
      <c r="H788" s="59"/>
    </row>
    <row r="789" spans="2:8" ht="15.75" customHeight="1" x14ac:dyDescent="0.2">
      <c r="B789" s="59"/>
      <c r="C789" s="59"/>
      <c r="H789" s="59"/>
    </row>
    <row r="790" spans="2:8" ht="15.75" customHeight="1" x14ac:dyDescent="0.2">
      <c r="B790" s="59"/>
      <c r="C790" s="59"/>
      <c r="H790" s="59"/>
    </row>
    <row r="791" spans="2:8" ht="15.75" customHeight="1" x14ac:dyDescent="0.2">
      <c r="B791" s="59"/>
      <c r="C791" s="59"/>
      <c r="H791" s="59"/>
    </row>
    <row r="792" spans="2:8" ht="15.75" customHeight="1" x14ac:dyDescent="0.2">
      <c r="B792" s="59"/>
      <c r="C792" s="59"/>
      <c r="H792" s="59"/>
    </row>
    <row r="793" spans="2:8" ht="15.75" customHeight="1" x14ac:dyDescent="0.2">
      <c r="B793" s="59"/>
      <c r="C793" s="59"/>
      <c r="H793" s="59"/>
    </row>
    <row r="794" spans="2:8" ht="15.75" customHeight="1" x14ac:dyDescent="0.2">
      <c r="B794" s="59"/>
      <c r="C794" s="59"/>
      <c r="H794" s="59"/>
    </row>
    <row r="795" spans="2:8" ht="15.75" customHeight="1" x14ac:dyDescent="0.2">
      <c r="B795" s="59"/>
      <c r="C795" s="59"/>
      <c r="H795" s="59"/>
    </row>
    <row r="796" spans="2:8" ht="15.75" customHeight="1" x14ac:dyDescent="0.2">
      <c r="B796" s="59"/>
      <c r="C796" s="59"/>
      <c r="H796" s="59"/>
    </row>
    <row r="797" spans="2:8" ht="15.75" customHeight="1" x14ac:dyDescent="0.2">
      <c r="B797" s="59"/>
      <c r="C797" s="59"/>
      <c r="H797" s="59"/>
    </row>
    <row r="798" spans="2:8" ht="15.75" customHeight="1" x14ac:dyDescent="0.2">
      <c r="B798" s="59"/>
      <c r="C798" s="59"/>
      <c r="H798" s="59"/>
    </row>
    <row r="799" spans="2:8" ht="15.75" customHeight="1" x14ac:dyDescent="0.2">
      <c r="B799" s="59"/>
      <c r="C799" s="59"/>
      <c r="H799" s="59"/>
    </row>
    <row r="800" spans="2:8" ht="15.75" customHeight="1" x14ac:dyDescent="0.2">
      <c r="B800" s="59"/>
      <c r="C800" s="59"/>
      <c r="H800" s="59"/>
    </row>
    <row r="801" spans="2:8" ht="15.75" customHeight="1" x14ac:dyDescent="0.2">
      <c r="B801" s="59"/>
      <c r="C801" s="59"/>
      <c r="H801" s="59"/>
    </row>
    <row r="802" spans="2:8" ht="15.75" customHeight="1" x14ac:dyDescent="0.2">
      <c r="B802" s="59"/>
      <c r="C802" s="59"/>
      <c r="H802" s="59"/>
    </row>
    <row r="803" spans="2:8" ht="15.75" customHeight="1" x14ac:dyDescent="0.2">
      <c r="B803" s="59"/>
      <c r="C803" s="59"/>
      <c r="H803" s="59"/>
    </row>
    <row r="804" spans="2:8" ht="15.75" customHeight="1" x14ac:dyDescent="0.2">
      <c r="B804" s="59"/>
      <c r="C804" s="59"/>
      <c r="H804" s="59"/>
    </row>
    <row r="805" spans="2:8" ht="15.75" customHeight="1" x14ac:dyDescent="0.2">
      <c r="B805" s="59"/>
      <c r="C805" s="59"/>
      <c r="H805" s="59"/>
    </row>
    <row r="806" spans="2:8" ht="15.75" customHeight="1" x14ac:dyDescent="0.2">
      <c r="B806" s="59"/>
      <c r="C806" s="59"/>
      <c r="H806" s="59"/>
    </row>
    <row r="807" spans="2:8" ht="15.75" customHeight="1" x14ac:dyDescent="0.2">
      <c r="B807" s="59"/>
      <c r="C807" s="59"/>
      <c r="H807" s="59"/>
    </row>
    <row r="808" spans="2:8" ht="15.75" customHeight="1" x14ac:dyDescent="0.2">
      <c r="B808" s="59"/>
      <c r="C808" s="59"/>
      <c r="H808" s="59"/>
    </row>
    <row r="809" spans="2:8" ht="15.75" customHeight="1" x14ac:dyDescent="0.2">
      <c r="B809" s="59"/>
      <c r="C809" s="59"/>
      <c r="H809" s="59"/>
    </row>
    <row r="810" spans="2:8" ht="15.75" customHeight="1" x14ac:dyDescent="0.2">
      <c r="B810" s="59"/>
      <c r="C810" s="59"/>
      <c r="H810" s="59"/>
    </row>
    <row r="811" spans="2:8" ht="15.75" customHeight="1" x14ac:dyDescent="0.2">
      <c r="B811" s="59"/>
      <c r="C811" s="59"/>
      <c r="H811" s="59"/>
    </row>
    <row r="812" spans="2:8" ht="15.75" customHeight="1" x14ac:dyDescent="0.2">
      <c r="B812" s="59"/>
      <c r="C812" s="59"/>
      <c r="H812" s="59"/>
    </row>
    <row r="813" spans="2:8" ht="15.75" customHeight="1" x14ac:dyDescent="0.2">
      <c r="B813" s="59"/>
      <c r="C813" s="59"/>
      <c r="H813" s="59"/>
    </row>
    <row r="814" spans="2:8" ht="15.75" customHeight="1" x14ac:dyDescent="0.2">
      <c r="B814" s="59"/>
      <c r="C814" s="59"/>
      <c r="H814" s="59"/>
    </row>
    <row r="815" spans="2:8" ht="15.75" customHeight="1" x14ac:dyDescent="0.2">
      <c r="B815" s="59"/>
      <c r="C815" s="59"/>
      <c r="H815" s="59"/>
    </row>
    <row r="816" spans="2:8" ht="15.75" customHeight="1" x14ac:dyDescent="0.2">
      <c r="B816" s="59"/>
      <c r="C816" s="59"/>
      <c r="H816" s="59"/>
    </row>
    <row r="817" spans="2:8" ht="15.75" customHeight="1" x14ac:dyDescent="0.2">
      <c r="B817" s="59"/>
      <c r="C817" s="59"/>
      <c r="H817" s="59"/>
    </row>
    <row r="818" spans="2:8" ht="15.75" customHeight="1" x14ac:dyDescent="0.2">
      <c r="B818" s="59"/>
      <c r="C818" s="59"/>
      <c r="H818" s="59"/>
    </row>
    <row r="819" spans="2:8" ht="15.75" customHeight="1" x14ac:dyDescent="0.2">
      <c r="B819" s="59"/>
      <c r="C819" s="59"/>
      <c r="H819" s="59"/>
    </row>
    <row r="820" spans="2:8" ht="15.75" customHeight="1" x14ac:dyDescent="0.2">
      <c r="B820" s="59"/>
      <c r="C820" s="59"/>
      <c r="H820" s="59"/>
    </row>
    <row r="821" spans="2:8" ht="15.75" customHeight="1" x14ac:dyDescent="0.2">
      <c r="B821" s="59"/>
      <c r="C821" s="59"/>
      <c r="H821" s="59"/>
    </row>
    <row r="822" spans="2:8" ht="15.75" customHeight="1" x14ac:dyDescent="0.2">
      <c r="B822" s="59"/>
      <c r="C822" s="59"/>
      <c r="H822" s="59"/>
    </row>
    <row r="823" spans="2:8" ht="15.75" customHeight="1" x14ac:dyDescent="0.2">
      <c r="B823" s="59"/>
      <c r="C823" s="59"/>
      <c r="H823" s="59"/>
    </row>
    <row r="824" spans="2:8" ht="15.75" customHeight="1" x14ac:dyDescent="0.2">
      <c r="B824" s="59"/>
      <c r="C824" s="59"/>
      <c r="H824" s="59"/>
    </row>
    <row r="825" spans="2:8" ht="15.75" customHeight="1" x14ac:dyDescent="0.2">
      <c r="B825" s="59"/>
      <c r="C825" s="59"/>
      <c r="H825" s="59"/>
    </row>
    <row r="826" spans="2:8" ht="15.75" customHeight="1" x14ac:dyDescent="0.2">
      <c r="B826" s="59"/>
      <c r="C826" s="59"/>
      <c r="H826" s="59"/>
    </row>
    <row r="827" spans="2:8" ht="15.75" customHeight="1" x14ac:dyDescent="0.2">
      <c r="B827" s="59"/>
      <c r="C827" s="59"/>
      <c r="H827" s="59"/>
    </row>
    <row r="828" spans="2:8" ht="15.75" customHeight="1" x14ac:dyDescent="0.2">
      <c r="B828" s="59"/>
      <c r="C828" s="59"/>
      <c r="H828" s="59"/>
    </row>
    <row r="829" spans="2:8" ht="15.75" customHeight="1" x14ac:dyDescent="0.2">
      <c r="B829" s="59"/>
      <c r="C829" s="59"/>
      <c r="H829" s="59"/>
    </row>
    <row r="830" spans="2:8" ht="15.75" customHeight="1" x14ac:dyDescent="0.2">
      <c r="B830" s="59"/>
      <c r="C830" s="59"/>
      <c r="H830" s="59"/>
    </row>
    <row r="831" spans="2:8" ht="15.75" customHeight="1" x14ac:dyDescent="0.2">
      <c r="B831" s="59"/>
      <c r="C831" s="59"/>
      <c r="H831" s="59"/>
    </row>
    <row r="832" spans="2:8" ht="15.75" customHeight="1" x14ac:dyDescent="0.2">
      <c r="B832" s="59"/>
      <c r="C832" s="59"/>
      <c r="H832" s="59"/>
    </row>
    <row r="833" spans="2:8" ht="15.75" customHeight="1" x14ac:dyDescent="0.2">
      <c r="B833" s="59"/>
      <c r="C833" s="59"/>
      <c r="H833" s="59"/>
    </row>
    <row r="834" spans="2:8" ht="15.75" customHeight="1" x14ac:dyDescent="0.2">
      <c r="B834" s="59"/>
      <c r="C834" s="59"/>
      <c r="H834" s="59"/>
    </row>
    <row r="835" spans="2:8" ht="15.75" customHeight="1" x14ac:dyDescent="0.2">
      <c r="B835" s="59"/>
      <c r="C835" s="59"/>
      <c r="H835" s="59"/>
    </row>
    <row r="836" spans="2:8" ht="15.75" customHeight="1" x14ac:dyDescent="0.2">
      <c r="B836" s="59"/>
      <c r="C836" s="59"/>
      <c r="H836" s="59"/>
    </row>
    <row r="837" spans="2:8" ht="15.75" customHeight="1" x14ac:dyDescent="0.2">
      <c r="B837" s="59"/>
      <c r="C837" s="59"/>
      <c r="H837" s="59"/>
    </row>
    <row r="838" spans="2:8" ht="15.75" customHeight="1" x14ac:dyDescent="0.2">
      <c r="B838" s="59"/>
      <c r="C838" s="59"/>
      <c r="H838" s="59"/>
    </row>
    <row r="839" spans="2:8" ht="15.75" customHeight="1" x14ac:dyDescent="0.2">
      <c r="B839" s="59"/>
      <c r="C839" s="59"/>
      <c r="H839" s="59"/>
    </row>
    <row r="840" spans="2:8" ht="15.75" customHeight="1" x14ac:dyDescent="0.2">
      <c r="B840" s="59"/>
      <c r="C840" s="59"/>
      <c r="H840" s="59"/>
    </row>
    <row r="841" spans="2:8" ht="15.75" customHeight="1" x14ac:dyDescent="0.2">
      <c r="B841" s="59"/>
      <c r="C841" s="59"/>
      <c r="H841" s="59"/>
    </row>
    <row r="842" spans="2:8" ht="15.75" customHeight="1" x14ac:dyDescent="0.2">
      <c r="B842" s="59"/>
      <c r="C842" s="59"/>
      <c r="H842" s="59"/>
    </row>
    <row r="843" spans="2:8" ht="15.75" customHeight="1" x14ac:dyDescent="0.2">
      <c r="B843" s="59"/>
      <c r="C843" s="59"/>
      <c r="H843" s="59"/>
    </row>
    <row r="844" spans="2:8" ht="15.75" customHeight="1" x14ac:dyDescent="0.2">
      <c r="B844" s="59"/>
      <c r="C844" s="59"/>
      <c r="H844" s="59"/>
    </row>
    <row r="845" spans="2:8" ht="15.75" customHeight="1" x14ac:dyDescent="0.2">
      <c r="B845" s="59"/>
      <c r="C845" s="59"/>
      <c r="H845" s="59"/>
    </row>
    <row r="846" spans="2:8" ht="15.75" customHeight="1" x14ac:dyDescent="0.2">
      <c r="B846" s="59"/>
      <c r="C846" s="59"/>
      <c r="H846" s="59"/>
    </row>
    <row r="847" spans="2:8" ht="15.75" customHeight="1" x14ac:dyDescent="0.2">
      <c r="B847" s="59"/>
      <c r="C847" s="59"/>
      <c r="H847" s="59"/>
    </row>
    <row r="848" spans="2:8" ht="15.75" customHeight="1" x14ac:dyDescent="0.2">
      <c r="B848" s="59"/>
      <c r="C848" s="59"/>
      <c r="H848" s="59"/>
    </row>
    <row r="849" spans="2:8" ht="15.75" customHeight="1" x14ac:dyDescent="0.2">
      <c r="B849" s="59"/>
      <c r="C849" s="59"/>
      <c r="H849" s="59"/>
    </row>
    <row r="850" spans="2:8" ht="15.75" customHeight="1" x14ac:dyDescent="0.2">
      <c r="B850" s="59"/>
      <c r="C850" s="59"/>
      <c r="H850" s="59"/>
    </row>
    <row r="851" spans="2:8" ht="15.75" customHeight="1" x14ac:dyDescent="0.2">
      <c r="B851" s="59"/>
      <c r="C851" s="59"/>
      <c r="H851" s="59"/>
    </row>
    <row r="852" spans="2:8" ht="15.75" customHeight="1" x14ac:dyDescent="0.2">
      <c r="B852" s="59"/>
      <c r="C852" s="59"/>
      <c r="H852" s="59"/>
    </row>
    <row r="853" spans="2:8" ht="15.75" customHeight="1" x14ac:dyDescent="0.2">
      <c r="B853" s="59"/>
      <c r="C853" s="59"/>
      <c r="H853" s="59"/>
    </row>
    <row r="854" spans="2:8" ht="15.75" customHeight="1" x14ac:dyDescent="0.2">
      <c r="B854" s="59"/>
      <c r="C854" s="59"/>
      <c r="H854" s="59"/>
    </row>
    <row r="855" spans="2:8" ht="15.75" customHeight="1" x14ac:dyDescent="0.2">
      <c r="B855" s="59"/>
      <c r="C855" s="59"/>
      <c r="H855" s="59"/>
    </row>
    <row r="856" spans="2:8" ht="15.75" customHeight="1" x14ac:dyDescent="0.2">
      <c r="B856" s="59"/>
      <c r="C856" s="59"/>
      <c r="H856" s="59"/>
    </row>
    <row r="857" spans="2:8" ht="15.75" customHeight="1" x14ac:dyDescent="0.2">
      <c r="B857" s="59"/>
      <c r="C857" s="59"/>
      <c r="H857" s="59"/>
    </row>
    <row r="858" spans="2:8" ht="15.75" customHeight="1" x14ac:dyDescent="0.2">
      <c r="B858" s="59"/>
      <c r="C858" s="59"/>
      <c r="H858" s="59"/>
    </row>
    <row r="859" spans="2:8" ht="15.75" customHeight="1" x14ac:dyDescent="0.2">
      <c r="B859" s="59"/>
      <c r="C859" s="59"/>
      <c r="H859" s="59"/>
    </row>
    <row r="860" spans="2:8" ht="15.75" customHeight="1" x14ac:dyDescent="0.2">
      <c r="B860" s="59"/>
      <c r="C860" s="59"/>
      <c r="H860" s="59"/>
    </row>
    <row r="861" spans="2:8" ht="15.75" customHeight="1" x14ac:dyDescent="0.2">
      <c r="B861" s="59"/>
      <c r="C861" s="59"/>
      <c r="H861" s="59"/>
    </row>
    <row r="862" spans="2:8" ht="15.75" customHeight="1" x14ac:dyDescent="0.2">
      <c r="B862" s="59"/>
      <c r="C862" s="59"/>
      <c r="H862" s="59"/>
    </row>
    <row r="863" spans="2:8" ht="15.75" customHeight="1" x14ac:dyDescent="0.2">
      <c r="B863" s="59"/>
      <c r="C863" s="59"/>
      <c r="H863" s="59"/>
    </row>
    <row r="864" spans="2:8" ht="15.75" customHeight="1" x14ac:dyDescent="0.2">
      <c r="B864" s="59"/>
      <c r="C864" s="59"/>
      <c r="H864" s="59"/>
    </row>
    <row r="865" spans="2:8" ht="15.75" customHeight="1" x14ac:dyDescent="0.2">
      <c r="B865" s="59"/>
      <c r="C865" s="59"/>
      <c r="H865" s="59"/>
    </row>
    <row r="866" spans="2:8" ht="15.75" customHeight="1" x14ac:dyDescent="0.2">
      <c r="B866" s="59"/>
      <c r="C866" s="59"/>
      <c r="H866" s="59"/>
    </row>
    <row r="867" spans="2:8" ht="15.75" customHeight="1" x14ac:dyDescent="0.2">
      <c r="B867" s="59"/>
      <c r="C867" s="59"/>
      <c r="H867" s="59"/>
    </row>
    <row r="868" spans="2:8" ht="15.75" customHeight="1" x14ac:dyDescent="0.2">
      <c r="B868" s="59"/>
      <c r="C868" s="59"/>
      <c r="H868" s="59"/>
    </row>
    <row r="869" spans="2:8" ht="15.75" customHeight="1" x14ac:dyDescent="0.2">
      <c r="B869" s="59"/>
      <c r="C869" s="59"/>
      <c r="H869" s="59"/>
    </row>
    <row r="870" spans="2:8" ht="15.75" customHeight="1" x14ac:dyDescent="0.2">
      <c r="B870" s="59"/>
      <c r="C870" s="59"/>
      <c r="H870" s="59"/>
    </row>
    <row r="871" spans="2:8" ht="15.75" customHeight="1" x14ac:dyDescent="0.2">
      <c r="B871" s="59"/>
      <c r="C871" s="59"/>
      <c r="H871" s="59"/>
    </row>
    <row r="872" spans="2:8" ht="15.75" customHeight="1" x14ac:dyDescent="0.2">
      <c r="B872" s="59"/>
      <c r="C872" s="59"/>
      <c r="H872" s="59"/>
    </row>
    <row r="873" spans="2:8" ht="15.75" customHeight="1" x14ac:dyDescent="0.2">
      <c r="B873" s="59"/>
      <c r="C873" s="59"/>
      <c r="H873" s="59"/>
    </row>
    <row r="874" spans="2:8" ht="15.75" customHeight="1" x14ac:dyDescent="0.2">
      <c r="B874" s="59"/>
      <c r="C874" s="59"/>
      <c r="H874" s="59"/>
    </row>
    <row r="875" spans="2:8" ht="15.75" customHeight="1" x14ac:dyDescent="0.2">
      <c r="B875" s="59"/>
      <c r="C875" s="59"/>
      <c r="H875" s="59"/>
    </row>
    <row r="876" spans="2:8" ht="15.75" customHeight="1" x14ac:dyDescent="0.2">
      <c r="B876" s="59"/>
      <c r="C876" s="59"/>
      <c r="H876" s="59"/>
    </row>
    <row r="877" spans="2:8" ht="15.75" customHeight="1" x14ac:dyDescent="0.2">
      <c r="B877" s="59"/>
      <c r="C877" s="59"/>
      <c r="H877" s="59"/>
    </row>
    <row r="878" spans="2:8" ht="15.75" customHeight="1" x14ac:dyDescent="0.2">
      <c r="B878" s="59"/>
      <c r="C878" s="59"/>
      <c r="H878" s="59"/>
    </row>
    <row r="879" spans="2:8" ht="15.75" customHeight="1" x14ac:dyDescent="0.2">
      <c r="B879" s="59"/>
      <c r="C879" s="59"/>
      <c r="H879" s="59"/>
    </row>
    <row r="880" spans="2:8" ht="15.75" customHeight="1" x14ac:dyDescent="0.2">
      <c r="B880" s="59"/>
      <c r="C880" s="59"/>
      <c r="H880" s="59"/>
    </row>
    <row r="881" spans="2:8" ht="15.75" customHeight="1" x14ac:dyDescent="0.2">
      <c r="B881" s="59"/>
      <c r="C881" s="59"/>
      <c r="H881" s="59"/>
    </row>
    <row r="882" spans="2:8" ht="15.75" customHeight="1" x14ac:dyDescent="0.2">
      <c r="B882" s="59"/>
      <c r="C882" s="59"/>
      <c r="H882" s="59"/>
    </row>
    <row r="883" spans="2:8" ht="15.75" customHeight="1" x14ac:dyDescent="0.2">
      <c r="B883" s="59"/>
      <c r="C883" s="59"/>
      <c r="H883" s="59"/>
    </row>
    <row r="884" spans="2:8" ht="15.75" customHeight="1" x14ac:dyDescent="0.2">
      <c r="B884" s="59"/>
      <c r="C884" s="59"/>
      <c r="H884" s="59"/>
    </row>
    <row r="885" spans="2:8" ht="15.75" customHeight="1" x14ac:dyDescent="0.2">
      <c r="B885" s="59"/>
      <c r="C885" s="59"/>
      <c r="H885" s="59"/>
    </row>
    <row r="886" spans="2:8" ht="15.75" customHeight="1" x14ac:dyDescent="0.2">
      <c r="B886" s="59"/>
      <c r="C886" s="59"/>
      <c r="H886" s="59"/>
    </row>
    <row r="887" spans="2:8" ht="15.75" customHeight="1" x14ac:dyDescent="0.2">
      <c r="B887" s="59"/>
      <c r="C887" s="59"/>
      <c r="H887" s="59"/>
    </row>
    <row r="888" spans="2:8" ht="15.75" customHeight="1" x14ac:dyDescent="0.2">
      <c r="B888" s="59"/>
      <c r="C888" s="59"/>
      <c r="H888" s="59"/>
    </row>
    <row r="889" spans="2:8" ht="15.75" customHeight="1" x14ac:dyDescent="0.2">
      <c r="B889" s="59"/>
      <c r="C889" s="59"/>
      <c r="H889" s="59"/>
    </row>
    <row r="890" spans="2:8" ht="15.75" customHeight="1" x14ac:dyDescent="0.2">
      <c r="B890" s="59"/>
      <c r="C890" s="59"/>
      <c r="H890" s="59"/>
    </row>
    <row r="891" spans="2:8" ht="15.75" customHeight="1" x14ac:dyDescent="0.2">
      <c r="B891" s="59"/>
      <c r="C891" s="59"/>
      <c r="H891" s="59"/>
    </row>
    <row r="892" spans="2:8" ht="15.75" customHeight="1" x14ac:dyDescent="0.2">
      <c r="B892" s="59"/>
      <c r="C892" s="59"/>
      <c r="H892" s="59"/>
    </row>
    <row r="893" spans="2:8" ht="15.75" customHeight="1" x14ac:dyDescent="0.2">
      <c r="B893" s="59"/>
      <c r="C893" s="59"/>
      <c r="H893" s="59"/>
    </row>
    <row r="894" spans="2:8" ht="15.75" customHeight="1" x14ac:dyDescent="0.2">
      <c r="B894" s="59"/>
      <c r="C894" s="59"/>
      <c r="H894" s="59"/>
    </row>
    <row r="895" spans="2:8" ht="15.75" customHeight="1" x14ac:dyDescent="0.2">
      <c r="B895" s="59"/>
      <c r="C895" s="59"/>
      <c r="H895" s="59"/>
    </row>
    <row r="896" spans="2:8" ht="15.75" customHeight="1" x14ac:dyDescent="0.2">
      <c r="B896" s="59"/>
      <c r="C896" s="59"/>
      <c r="H896" s="59"/>
    </row>
    <row r="897" spans="2:8" ht="15.75" customHeight="1" x14ac:dyDescent="0.2">
      <c r="B897" s="59"/>
      <c r="C897" s="59"/>
      <c r="H897" s="59"/>
    </row>
    <row r="898" spans="2:8" ht="15.75" customHeight="1" x14ac:dyDescent="0.2">
      <c r="B898" s="59"/>
      <c r="C898" s="59"/>
      <c r="H898" s="59"/>
    </row>
    <row r="899" spans="2:8" ht="15.75" customHeight="1" x14ac:dyDescent="0.2">
      <c r="B899" s="59"/>
      <c r="C899" s="59"/>
      <c r="H899" s="59"/>
    </row>
    <row r="900" spans="2:8" ht="15.75" customHeight="1" x14ac:dyDescent="0.2">
      <c r="B900" s="59"/>
      <c r="C900" s="59"/>
      <c r="H900" s="59"/>
    </row>
    <row r="901" spans="2:8" ht="15.75" customHeight="1" x14ac:dyDescent="0.2">
      <c r="B901" s="59"/>
      <c r="C901" s="59"/>
      <c r="H901" s="59"/>
    </row>
    <row r="902" spans="2:8" ht="15.75" customHeight="1" x14ac:dyDescent="0.2">
      <c r="B902" s="59"/>
      <c r="C902" s="59"/>
      <c r="H902" s="59"/>
    </row>
    <row r="903" spans="2:8" ht="15.75" customHeight="1" x14ac:dyDescent="0.2">
      <c r="B903" s="59"/>
      <c r="C903" s="59"/>
      <c r="H903" s="59"/>
    </row>
    <row r="904" spans="2:8" ht="15.75" customHeight="1" x14ac:dyDescent="0.2">
      <c r="B904" s="59"/>
      <c r="C904" s="59"/>
      <c r="H904" s="59"/>
    </row>
    <row r="905" spans="2:8" ht="15.75" customHeight="1" x14ac:dyDescent="0.2">
      <c r="B905" s="59"/>
      <c r="C905" s="59"/>
      <c r="H905" s="59"/>
    </row>
    <row r="906" spans="2:8" ht="15.75" customHeight="1" x14ac:dyDescent="0.2">
      <c r="B906" s="59"/>
      <c r="C906" s="59"/>
      <c r="H906" s="59"/>
    </row>
    <row r="907" spans="2:8" ht="15.75" customHeight="1" x14ac:dyDescent="0.2">
      <c r="B907" s="59"/>
      <c r="C907" s="59"/>
      <c r="H907" s="59"/>
    </row>
    <row r="908" spans="2:8" ht="15.75" customHeight="1" x14ac:dyDescent="0.2">
      <c r="B908" s="59"/>
      <c r="C908" s="59"/>
      <c r="H908" s="59"/>
    </row>
    <row r="909" spans="2:8" ht="15.75" customHeight="1" x14ac:dyDescent="0.2">
      <c r="B909" s="59"/>
      <c r="C909" s="59"/>
      <c r="H909" s="59"/>
    </row>
    <row r="910" spans="2:8" ht="15.75" customHeight="1" x14ac:dyDescent="0.2">
      <c r="B910" s="59"/>
      <c r="C910" s="59"/>
      <c r="H910" s="59"/>
    </row>
    <row r="911" spans="2:8" ht="15.75" customHeight="1" x14ac:dyDescent="0.2">
      <c r="B911" s="59"/>
      <c r="C911" s="59"/>
      <c r="H911" s="59"/>
    </row>
    <row r="912" spans="2:8" ht="15.75" customHeight="1" x14ac:dyDescent="0.2">
      <c r="B912" s="59"/>
      <c r="C912" s="59"/>
      <c r="H912" s="59"/>
    </row>
    <row r="913" spans="2:8" ht="15.75" customHeight="1" x14ac:dyDescent="0.2">
      <c r="B913" s="59"/>
      <c r="C913" s="59"/>
      <c r="H913" s="59"/>
    </row>
    <row r="914" spans="2:8" ht="15.75" customHeight="1" x14ac:dyDescent="0.2">
      <c r="B914" s="59"/>
      <c r="C914" s="59"/>
      <c r="H914" s="59"/>
    </row>
    <row r="915" spans="2:8" ht="15.75" customHeight="1" x14ac:dyDescent="0.2">
      <c r="B915" s="59"/>
      <c r="C915" s="59"/>
      <c r="H915" s="59"/>
    </row>
    <row r="916" spans="2:8" ht="15.75" customHeight="1" x14ac:dyDescent="0.2">
      <c r="B916" s="59"/>
      <c r="C916" s="59"/>
      <c r="H916" s="59"/>
    </row>
    <row r="917" spans="2:8" ht="15.75" customHeight="1" x14ac:dyDescent="0.2">
      <c r="B917" s="59"/>
      <c r="C917" s="59"/>
      <c r="H917" s="59"/>
    </row>
    <row r="918" spans="2:8" ht="15.75" customHeight="1" x14ac:dyDescent="0.2">
      <c r="B918" s="59"/>
      <c r="C918" s="59"/>
      <c r="H918" s="59"/>
    </row>
    <row r="919" spans="2:8" ht="15.75" customHeight="1" x14ac:dyDescent="0.2">
      <c r="B919" s="59"/>
      <c r="C919" s="59"/>
      <c r="H919" s="59"/>
    </row>
    <row r="920" spans="2:8" ht="15.75" customHeight="1" x14ac:dyDescent="0.2">
      <c r="B920" s="59"/>
      <c r="C920" s="59"/>
      <c r="H920" s="59"/>
    </row>
    <row r="921" spans="2:8" ht="15.75" customHeight="1" x14ac:dyDescent="0.2">
      <c r="B921" s="59"/>
      <c r="C921" s="59"/>
      <c r="H921" s="59"/>
    </row>
    <row r="922" spans="2:8" ht="15.75" customHeight="1" x14ac:dyDescent="0.2">
      <c r="B922" s="59"/>
      <c r="C922" s="59"/>
      <c r="H922" s="59"/>
    </row>
    <row r="923" spans="2:8" ht="15.75" customHeight="1" x14ac:dyDescent="0.2">
      <c r="B923" s="59"/>
      <c r="C923" s="59"/>
      <c r="H923" s="59"/>
    </row>
    <row r="924" spans="2:8" ht="15.75" customHeight="1" x14ac:dyDescent="0.2">
      <c r="B924" s="59"/>
      <c r="C924" s="59"/>
      <c r="H924" s="59"/>
    </row>
    <row r="925" spans="2:8" ht="15.75" customHeight="1" x14ac:dyDescent="0.2">
      <c r="B925" s="59"/>
      <c r="C925" s="59"/>
      <c r="H925" s="59"/>
    </row>
    <row r="926" spans="2:8" ht="15.75" customHeight="1" x14ac:dyDescent="0.2">
      <c r="B926" s="59"/>
      <c r="C926" s="59"/>
      <c r="H926" s="59"/>
    </row>
    <row r="927" spans="2:8" ht="15.75" customHeight="1" x14ac:dyDescent="0.2">
      <c r="B927" s="59"/>
      <c r="C927" s="59"/>
      <c r="H927" s="59"/>
    </row>
    <row r="928" spans="2:8" ht="15.75" customHeight="1" x14ac:dyDescent="0.2">
      <c r="B928" s="59"/>
      <c r="C928" s="59"/>
      <c r="H928" s="59"/>
    </row>
    <row r="929" spans="2:8" ht="15.75" customHeight="1" x14ac:dyDescent="0.2">
      <c r="B929" s="59"/>
      <c r="C929" s="59"/>
      <c r="H929" s="59"/>
    </row>
    <row r="930" spans="2:8" ht="15.75" customHeight="1" x14ac:dyDescent="0.2">
      <c r="B930" s="59"/>
      <c r="C930" s="59"/>
      <c r="H930" s="59"/>
    </row>
    <row r="931" spans="2:8" ht="15.75" customHeight="1" x14ac:dyDescent="0.2">
      <c r="B931" s="59"/>
      <c r="C931" s="59"/>
      <c r="H931" s="59"/>
    </row>
    <row r="932" spans="2:8" ht="15.75" customHeight="1" x14ac:dyDescent="0.2">
      <c r="B932" s="59"/>
      <c r="C932" s="59"/>
      <c r="H932" s="59"/>
    </row>
    <row r="933" spans="2:8" ht="15.75" customHeight="1" x14ac:dyDescent="0.2">
      <c r="B933" s="59"/>
      <c r="C933" s="59"/>
      <c r="H933" s="59"/>
    </row>
    <row r="934" spans="2:8" ht="15.75" customHeight="1" x14ac:dyDescent="0.2">
      <c r="B934" s="59"/>
      <c r="C934" s="59"/>
      <c r="H934" s="59"/>
    </row>
    <row r="935" spans="2:8" ht="15.75" customHeight="1" x14ac:dyDescent="0.2">
      <c r="B935" s="59"/>
      <c r="C935" s="59"/>
      <c r="H935" s="59"/>
    </row>
    <row r="936" spans="2:8" ht="15.75" customHeight="1" x14ac:dyDescent="0.2">
      <c r="B936" s="59"/>
      <c r="C936" s="59"/>
      <c r="H936" s="59"/>
    </row>
    <row r="937" spans="2:8" ht="15.75" customHeight="1" x14ac:dyDescent="0.2">
      <c r="B937" s="59"/>
      <c r="C937" s="59"/>
      <c r="H937" s="59"/>
    </row>
    <row r="938" spans="2:8" ht="15.75" customHeight="1" x14ac:dyDescent="0.2">
      <c r="B938" s="59"/>
      <c r="C938" s="59"/>
      <c r="H938" s="59"/>
    </row>
    <row r="939" spans="2:8" ht="15.75" customHeight="1" x14ac:dyDescent="0.2">
      <c r="B939" s="59"/>
      <c r="C939" s="59"/>
      <c r="H939" s="59"/>
    </row>
    <row r="940" spans="2:8" ht="15.75" customHeight="1" x14ac:dyDescent="0.2">
      <c r="B940" s="59"/>
      <c r="C940" s="59"/>
      <c r="H940" s="59"/>
    </row>
    <row r="941" spans="2:8" ht="15.75" customHeight="1" x14ac:dyDescent="0.2">
      <c r="B941" s="59"/>
      <c r="C941" s="59"/>
      <c r="H941" s="59"/>
    </row>
    <row r="942" spans="2:8" ht="15.75" customHeight="1" x14ac:dyDescent="0.2">
      <c r="B942" s="59"/>
      <c r="C942" s="59"/>
      <c r="H942" s="59"/>
    </row>
    <row r="943" spans="2:8" ht="15.75" customHeight="1" x14ac:dyDescent="0.2">
      <c r="B943" s="59"/>
      <c r="C943" s="59"/>
      <c r="H943" s="59"/>
    </row>
    <row r="944" spans="2:8" ht="15.75" customHeight="1" x14ac:dyDescent="0.2">
      <c r="B944" s="59"/>
      <c r="C944" s="59"/>
      <c r="H944" s="59"/>
    </row>
    <row r="945" spans="2:8" ht="15.75" customHeight="1" x14ac:dyDescent="0.2">
      <c r="B945" s="59"/>
      <c r="C945" s="59"/>
      <c r="H945" s="59"/>
    </row>
    <row r="946" spans="2:8" ht="15.75" customHeight="1" x14ac:dyDescent="0.2">
      <c r="B946" s="59"/>
      <c r="C946" s="59"/>
      <c r="H946" s="59"/>
    </row>
    <row r="947" spans="2:8" ht="15.75" customHeight="1" x14ac:dyDescent="0.2">
      <c r="B947" s="59"/>
      <c r="C947" s="59"/>
      <c r="H947" s="59"/>
    </row>
    <row r="948" spans="2:8" ht="15.75" customHeight="1" x14ac:dyDescent="0.2">
      <c r="B948" s="59"/>
      <c r="C948" s="59"/>
      <c r="H948" s="59"/>
    </row>
    <row r="949" spans="2:8" ht="15.75" customHeight="1" x14ac:dyDescent="0.2">
      <c r="B949" s="59"/>
      <c r="C949" s="59"/>
      <c r="H949" s="59"/>
    </row>
    <row r="950" spans="2:8" ht="15.75" customHeight="1" x14ac:dyDescent="0.2">
      <c r="B950" s="59"/>
      <c r="C950" s="59"/>
      <c r="H950" s="59"/>
    </row>
    <row r="951" spans="2:8" ht="15.75" customHeight="1" x14ac:dyDescent="0.2">
      <c r="B951" s="59"/>
      <c r="C951" s="59"/>
      <c r="H951" s="59"/>
    </row>
    <row r="952" spans="2:8" ht="15.75" customHeight="1" x14ac:dyDescent="0.2">
      <c r="B952" s="59"/>
      <c r="C952" s="59"/>
      <c r="H952" s="59"/>
    </row>
    <row r="953" spans="2:8" ht="15.75" customHeight="1" x14ac:dyDescent="0.2">
      <c r="B953" s="59"/>
      <c r="C953" s="59"/>
      <c r="H953" s="59"/>
    </row>
    <row r="954" spans="2:8" ht="15.75" customHeight="1" x14ac:dyDescent="0.2">
      <c r="B954" s="59"/>
      <c r="C954" s="59"/>
      <c r="H954" s="59"/>
    </row>
    <row r="955" spans="2:8" ht="15.75" customHeight="1" x14ac:dyDescent="0.2">
      <c r="B955" s="59"/>
      <c r="C955" s="59"/>
      <c r="H955" s="59"/>
    </row>
    <row r="956" spans="2:8" ht="15.75" customHeight="1" x14ac:dyDescent="0.2">
      <c r="B956" s="59"/>
      <c r="C956" s="59"/>
      <c r="H956" s="59"/>
    </row>
    <row r="957" spans="2:8" ht="15.75" customHeight="1" x14ac:dyDescent="0.2">
      <c r="B957" s="59"/>
      <c r="C957" s="59"/>
      <c r="H957" s="59"/>
    </row>
    <row r="958" spans="2:8" ht="15.75" customHeight="1" x14ac:dyDescent="0.2">
      <c r="B958" s="59"/>
      <c r="C958" s="59"/>
      <c r="H958" s="59"/>
    </row>
    <row r="959" spans="2:8" ht="15.75" customHeight="1" x14ac:dyDescent="0.2">
      <c r="B959" s="59"/>
      <c r="C959" s="59"/>
      <c r="H959" s="59"/>
    </row>
    <row r="960" spans="2:8" ht="15.75" customHeight="1" x14ac:dyDescent="0.2">
      <c r="B960" s="59"/>
      <c r="C960" s="59"/>
      <c r="H960" s="59"/>
    </row>
    <row r="961" spans="2:8" ht="15.75" customHeight="1" x14ac:dyDescent="0.2">
      <c r="B961" s="59"/>
      <c r="C961" s="59"/>
      <c r="H961" s="59"/>
    </row>
    <row r="962" spans="2:8" ht="15.75" customHeight="1" x14ac:dyDescent="0.2">
      <c r="B962" s="59"/>
      <c r="C962" s="59"/>
      <c r="H962" s="59"/>
    </row>
    <row r="963" spans="2:8" ht="15.75" customHeight="1" x14ac:dyDescent="0.2">
      <c r="B963" s="59"/>
      <c r="C963" s="59"/>
      <c r="H963" s="59"/>
    </row>
    <row r="964" spans="2:8" ht="15.75" customHeight="1" x14ac:dyDescent="0.2">
      <c r="B964" s="59"/>
      <c r="C964" s="59"/>
      <c r="H964" s="59"/>
    </row>
    <row r="965" spans="2:8" ht="15.75" customHeight="1" x14ac:dyDescent="0.2">
      <c r="B965" s="59"/>
      <c r="C965" s="59"/>
      <c r="H965" s="59"/>
    </row>
    <row r="966" spans="2:8" ht="15.75" customHeight="1" x14ac:dyDescent="0.2">
      <c r="B966" s="59"/>
      <c r="C966" s="59"/>
      <c r="H966" s="59"/>
    </row>
    <row r="967" spans="2:8" ht="15.75" customHeight="1" x14ac:dyDescent="0.2">
      <c r="B967" s="59"/>
      <c r="C967" s="59"/>
      <c r="H967" s="59"/>
    </row>
    <row r="968" spans="2:8" ht="15.75" customHeight="1" x14ac:dyDescent="0.2">
      <c r="B968" s="59"/>
      <c r="C968" s="59"/>
      <c r="H968" s="59"/>
    </row>
    <row r="969" spans="2:8" ht="15.75" customHeight="1" x14ac:dyDescent="0.2">
      <c r="B969" s="59"/>
      <c r="C969" s="59"/>
      <c r="H969" s="59"/>
    </row>
    <row r="970" spans="2:8" ht="15.75" customHeight="1" x14ac:dyDescent="0.2">
      <c r="B970" s="59"/>
      <c r="C970" s="59"/>
      <c r="H970" s="59"/>
    </row>
    <row r="971" spans="2:8" ht="15.75" customHeight="1" x14ac:dyDescent="0.2">
      <c r="B971" s="59"/>
      <c r="C971" s="59"/>
      <c r="H971" s="59"/>
    </row>
    <row r="972" spans="2:8" ht="15.75" customHeight="1" x14ac:dyDescent="0.2">
      <c r="B972" s="59"/>
      <c r="C972" s="59"/>
      <c r="H972" s="59"/>
    </row>
    <row r="973" spans="2:8" ht="15.75" customHeight="1" x14ac:dyDescent="0.2">
      <c r="B973" s="59"/>
      <c r="C973" s="59"/>
      <c r="H973" s="59"/>
    </row>
    <row r="974" spans="2:8" ht="15.75" customHeight="1" x14ac:dyDescent="0.2">
      <c r="B974" s="59"/>
      <c r="C974" s="59"/>
      <c r="H974" s="59"/>
    </row>
    <row r="975" spans="2:8" ht="15.75" customHeight="1" x14ac:dyDescent="0.2">
      <c r="B975" s="59"/>
      <c r="C975" s="59"/>
      <c r="H975" s="59"/>
    </row>
    <row r="976" spans="2:8" ht="15.75" customHeight="1" x14ac:dyDescent="0.2">
      <c r="B976" s="59"/>
      <c r="C976" s="59"/>
      <c r="H976" s="59"/>
    </row>
    <row r="977" spans="2:8" ht="15.75" customHeight="1" x14ac:dyDescent="0.2">
      <c r="B977" s="59"/>
      <c r="C977" s="59"/>
      <c r="H977" s="59"/>
    </row>
    <row r="978" spans="2:8" ht="15.75" customHeight="1" x14ac:dyDescent="0.2">
      <c r="B978" s="59"/>
      <c r="C978" s="59"/>
      <c r="H978" s="59"/>
    </row>
    <row r="979" spans="2:8" ht="15.75" customHeight="1" x14ac:dyDescent="0.2">
      <c r="B979" s="59"/>
      <c r="C979" s="59"/>
      <c r="H979" s="59"/>
    </row>
    <row r="980" spans="2:8" ht="15.75" customHeight="1" x14ac:dyDescent="0.2">
      <c r="B980" s="59"/>
      <c r="C980" s="59"/>
      <c r="H980" s="59"/>
    </row>
    <row r="981" spans="2:8" ht="15.75" customHeight="1" x14ac:dyDescent="0.2">
      <c r="B981" s="59"/>
      <c r="C981" s="59"/>
      <c r="H981" s="59"/>
    </row>
    <row r="982" spans="2:8" ht="15.75" customHeight="1" x14ac:dyDescent="0.2">
      <c r="B982" s="59"/>
      <c r="C982" s="59"/>
      <c r="H982" s="59"/>
    </row>
    <row r="983" spans="2:8" ht="15.75" customHeight="1" x14ac:dyDescent="0.2">
      <c r="B983" s="59"/>
      <c r="C983" s="59"/>
      <c r="H983" s="59"/>
    </row>
    <row r="984" spans="2:8" ht="15.75" customHeight="1" x14ac:dyDescent="0.2">
      <c r="B984" s="59"/>
      <c r="C984" s="59"/>
      <c r="H984" s="59"/>
    </row>
    <row r="985" spans="2:8" ht="15.75" customHeight="1" x14ac:dyDescent="0.2">
      <c r="B985" s="59"/>
      <c r="C985" s="59"/>
      <c r="H985" s="59"/>
    </row>
    <row r="986" spans="2:8" ht="15.75" customHeight="1" x14ac:dyDescent="0.2">
      <c r="B986" s="59"/>
      <c r="C986" s="59"/>
      <c r="H986" s="59"/>
    </row>
    <row r="987" spans="2:8" ht="15.75" customHeight="1" x14ac:dyDescent="0.2">
      <c r="B987" s="59"/>
      <c r="C987" s="59"/>
      <c r="H987" s="59"/>
    </row>
    <row r="988" spans="2:8" ht="15.75" customHeight="1" x14ac:dyDescent="0.2"/>
    <row r="989" spans="2:8" ht="15.75" customHeight="1" x14ac:dyDescent="0.2"/>
    <row r="990" spans="2:8" ht="15.75" customHeight="1" x14ac:dyDescent="0.2"/>
    <row r="991" spans="2:8" ht="15.75" customHeight="1" x14ac:dyDescent="0.2"/>
    <row r="992" spans="2:8" ht="15.75" customHeight="1" x14ac:dyDescent="0.2"/>
    <row r="993" ht="15.75" customHeight="1" x14ac:dyDescent="0.2"/>
    <row r="994" ht="15.75" customHeight="1" x14ac:dyDescent="0.2"/>
    <row r="995" ht="15.75" customHeight="1" x14ac:dyDescent="0.2"/>
  </sheetData>
  <autoFilter ref="A1:R987" xr:uid="{00000000-0009-0000-0000-000004000000}"/>
  <mergeCells count="2">
    <mergeCell ref="G45:H45"/>
    <mergeCell ref="G46:H46"/>
  </mergeCells>
  <pageMargins left="0.7" right="0.7" top="0.75" bottom="0.75" header="0" footer="0"/>
  <pageSetup orientation="landscape"/>
  <legacyDrawing r:id="rId1"/>
  <extLst>
    <ext xmlns:x14="http://schemas.microsoft.com/office/spreadsheetml/2009/9/main" uri="{CCE6A557-97BC-4b89-ADB6-D9C93CAAB3DF}">
      <x14:dataValidations xmlns:xm="http://schemas.microsoft.com/office/excel/2006/main" count="3">
        <x14:dataValidation type="list" allowBlank="1" showErrorMessage="1" xr:uid="{00000000-0002-0000-0400-000000000000}">
          <x14:formula1>
            <xm:f>Referencias!$AL$5:$AL$10</xm:f>
          </x14:formula1>
          <xm:sqref>H2:H44 H47:H66 H68:H987</xm:sqref>
        </x14:dataValidation>
        <x14:dataValidation type="list" allowBlank="1" showErrorMessage="1" xr:uid="{00000000-0002-0000-0400-000001000000}">
          <x14:formula1>
            <xm:f>Referencias!$M$5:$M$1123</xm:f>
          </x14:formula1>
          <xm:sqref>C2:C987</xm:sqref>
        </x14:dataValidation>
        <x14:dataValidation type="list" allowBlank="1" showErrorMessage="1" xr:uid="{00000000-0002-0000-0400-000002000000}">
          <x14:formula1>
            <xm:f>Referencias!$K$5:$K$37</xm:f>
          </x14:formula1>
          <xm:sqref>B2:B987</xm:sqref>
        </x14:dataValidation>
      </x14:dataValidation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B45F06"/>
    <outlinePr summaryBelow="0" summaryRight="0"/>
  </sheetPr>
  <dimension ref="A1:P1000"/>
  <sheetViews>
    <sheetView workbookViewId="0">
      <pane ySplit="1" topLeftCell="A2" activePane="bottomLeft" state="frozen"/>
      <selection pane="bottomLeft" activeCell="B3" sqref="B3"/>
    </sheetView>
  </sheetViews>
  <sheetFormatPr baseColWidth="10" defaultColWidth="12.5703125" defaultRowHeight="15" customHeight="1" x14ac:dyDescent="0.2"/>
  <cols>
    <col min="1" max="1" width="12.85546875" customWidth="1"/>
    <col min="2" max="4" width="20.85546875" customWidth="1"/>
    <col min="5" max="6" width="19.140625" customWidth="1"/>
    <col min="7" max="7" width="19.42578125" customWidth="1"/>
    <col min="8" max="8" width="21.42578125" customWidth="1"/>
    <col min="9" max="10" width="15.42578125" customWidth="1"/>
    <col min="11" max="12" width="17.140625" customWidth="1"/>
    <col min="13" max="13" width="15.42578125" customWidth="1"/>
    <col min="14" max="14" width="16.140625" customWidth="1"/>
    <col min="15" max="15" width="21.42578125" customWidth="1"/>
    <col min="16" max="16" width="18.85546875" customWidth="1"/>
  </cols>
  <sheetData>
    <row r="1" spans="1:16" ht="15.75" customHeight="1" x14ac:dyDescent="0.2">
      <c r="A1" s="172" t="s">
        <v>1081</v>
      </c>
      <c r="B1" s="183" t="s">
        <v>1094</v>
      </c>
      <c r="C1" s="183" t="s">
        <v>1095</v>
      </c>
      <c r="D1" s="183" t="s">
        <v>1096</v>
      </c>
      <c r="E1" s="183" t="s">
        <v>1097</v>
      </c>
      <c r="F1" s="183" t="s">
        <v>1098</v>
      </c>
      <c r="G1" s="183" t="s">
        <v>1099</v>
      </c>
      <c r="H1" s="183" t="s">
        <v>1100</v>
      </c>
      <c r="I1" s="183" t="s">
        <v>1101</v>
      </c>
      <c r="J1" s="183" t="s">
        <v>1102</v>
      </c>
      <c r="K1" s="184" t="s">
        <v>1103</v>
      </c>
      <c r="L1" s="184" t="s">
        <v>1104</v>
      </c>
      <c r="M1" s="42" t="s">
        <v>58</v>
      </c>
      <c r="N1" s="42" t="s">
        <v>59</v>
      </c>
      <c r="O1" s="42" t="s">
        <v>60</v>
      </c>
      <c r="P1" s="42" t="s">
        <v>61</v>
      </c>
    </row>
    <row r="2" spans="1:16" ht="15.75" customHeight="1" x14ac:dyDescent="0.2">
      <c r="A2" s="78"/>
      <c r="B2" s="46"/>
      <c r="C2" s="93"/>
      <c r="D2" s="93"/>
      <c r="E2" s="46"/>
      <c r="F2" s="46"/>
      <c r="G2" s="46"/>
      <c r="H2" s="46"/>
      <c r="I2" s="60"/>
      <c r="J2" s="60"/>
      <c r="K2" s="46"/>
      <c r="L2" s="46"/>
      <c r="M2" s="60"/>
      <c r="N2" s="64"/>
      <c r="O2" s="62"/>
      <c r="P2" s="48"/>
    </row>
    <row r="3" spans="1:16" ht="15.75" customHeight="1" x14ac:dyDescent="0.2">
      <c r="A3" s="78"/>
      <c r="B3" s="46"/>
      <c r="C3" s="46"/>
      <c r="D3" s="46"/>
      <c r="E3" s="46"/>
      <c r="F3" s="46"/>
      <c r="G3" s="46"/>
      <c r="H3" s="46"/>
      <c r="I3" s="60"/>
      <c r="J3" s="60"/>
      <c r="K3" s="46"/>
      <c r="L3" s="46"/>
      <c r="M3" s="60"/>
      <c r="N3" s="64"/>
      <c r="O3" s="62"/>
      <c r="P3" s="48"/>
    </row>
    <row r="4" spans="1:16" ht="15.75" customHeight="1" x14ac:dyDescent="0.2">
      <c r="A4" s="78"/>
      <c r="B4" s="46"/>
      <c r="C4" s="46"/>
      <c r="D4" s="46"/>
      <c r="E4" s="46"/>
      <c r="F4" s="46"/>
      <c r="G4" s="46"/>
      <c r="H4" s="46"/>
      <c r="I4" s="60"/>
      <c r="J4" s="60"/>
      <c r="K4" s="46"/>
      <c r="L4" s="46"/>
      <c r="M4" s="60"/>
      <c r="N4" s="64"/>
      <c r="O4" s="62"/>
      <c r="P4" s="48"/>
    </row>
    <row r="5" spans="1:16" ht="15.75" customHeight="1" x14ac:dyDescent="0.2">
      <c r="A5" s="78"/>
      <c r="B5" s="93"/>
      <c r="C5" s="46"/>
      <c r="D5" s="46"/>
      <c r="E5" s="46"/>
      <c r="F5" s="46"/>
      <c r="G5" s="46"/>
      <c r="H5" s="46"/>
      <c r="I5" s="60"/>
      <c r="J5" s="60"/>
      <c r="K5" s="46"/>
      <c r="L5" s="46"/>
      <c r="M5" s="60"/>
      <c r="N5" s="64"/>
      <c r="O5" s="62"/>
      <c r="P5" s="48"/>
    </row>
    <row r="6" spans="1:16" ht="15.75" customHeight="1" x14ac:dyDescent="0.2">
      <c r="A6" s="78"/>
      <c r="B6" s="46"/>
      <c r="C6" s="46"/>
      <c r="D6" s="46"/>
      <c r="E6" s="46"/>
      <c r="F6" s="46"/>
      <c r="G6" s="46"/>
      <c r="H6" s="46"/>
      <c r="I6" s="60"/>
      <c r="J6" s="60"/>
      <c r="K6" s="48"/>
      <c r="L6" s="48"/>
      <c r="M6" s="60"/>
      <c r="N6" s="64"/>
      <c r="O6" s="62"/>
      <c r="P6" s="48"/>
    </row>
    <row r="7" spans="1:16" ht="15.75" customHeight="1" x14ac:dyDescent="0.2">
      <c r="A7" s="78"/>
      <c r="B7" s="46"/>
      <c r="C7" s="46"/>
      <c r="D7" s="46"/>
      <c r="E7" s="46"/>
      <c r="F7" s="46"/>
      <c r="G7" s="46"/>
      <c r="H7" s="46"/>
      <c r="I7" s="60"/>
      <c r="J7" s="60"/>
      <c r="K7" s="46"/>
      <c r="L7" s="46"/>
      <c r="M7" s="60"/>
      <c r="N7" s="64"/>
      <c r="O7" s="62"/>
      <c r="P7" s="48"/>
    </row>
    <row r="8" spans="1:16" ht="15.75" customHeight="1" x14ac:dyDescent="0.2">
      <c r="A8" s="78"/>
      <c r="B8" s="46"/>
      <c r="C8" s="185"/>
      <c r="D8" s="185"/>
      <c r="E8" s="46"/>
      <c r="F8" s="46"/>
      <c r="G8" s="46"/>
      <c r="H8" s="46"/>
      <c r="I8" s="60"/>
      <c r="J8" s="60"/>
      <c r="K8" s="67"/>
      <c r="L8" s="67"/>
      <c r="M8" s="60"/>
      <c r="N8" s="64"/>
      <c r="O8" s="62"/>
      <c r="P8" s="48"/>
    </row>
    <row r="9" spans="1:16" ht="15.75" customHeight="1" x14ac:dyDescent="0.2">
      <c r="A9" s="78"/>
      <c r="B9" s="46"/>
      <c r="C9" s="46"/>
      <c r="D9" s="46"/>
      <c r="E9" s="46"/>
      <c r="F9" s="46"/>
      <c r="G9" s="46"/>
      <c r="H9" s="46"/>
      <c r="I9" s="46"/>
      <c r="J9" s="46"/>
      <c r="K9" s="46"/>
      <c r="L9" s="46"/>
      <c r="M9" s="46"/>
      <c r="N9" s="46"/>
      <c r="O9" s="46"/>
      <c r="P9" s="46"/>
    </row>
    <row r="10" spans="1:16" ht="15.75" customHeight="1" x14ac:dyDescent="0.2">
      <c r="A10" s="78"/>
      <c r="B10" s="46"/>
      <c r="C10" s="46"/>
      <c r="D10" s="46"/>
      <c r="E10" s="46"/>
      <c r="F10" s="46"/>
      <c r="G10" s="46"/>
      <c r="H10" s="46"/>
      <c r="I10" s="46"/>
      <c r="J10" s="46"/>
      <c r="K10" s="46"/>
      <c r="L10" s="46"/>
      <c r="M10" s="46"/>
      <c r="N10" s="69"/>
      <c r="O10" s="46"/>
      <c r="P10" s="46"/>
    </row>
    <row r="11" spans="1:16" ht="15.75" customHeight="1" x14ac:dyDescent="0.2">
      <c r="A11" s="78"/>
      <c r="B11" s="46"/>
      <c r="C11" s="46"/>
      <c r="D11" s="46"/>
      <c r="E11" s="46"/>
      <c r="F11" s="46"/>
      <c r="G11" s="46"/>
      <c r="H11" s="46"/>
      <c r="I11" s="46"/>
      <c r="J11" s="46"/>
      <c r="K11" s="46"/>
      <c r="L11" s="46"/>
      <c r="M11" s="46"/>
      <c r="N11" s="46"/>
      <c r="O11" s="46"/>
      <c r="P11" s="46"/>
    </row>
    <row r="12" spans="1:16" ht="15.75" customHeight="1" x14ac:dyDescent="0.2">
      <c r="A12" s="78"/>
      <c r="B12" s="46"/>
      <c r="C12" s="46"/>
      <c r="D12" s="46"/>
      <c r="E12" s="46"/>
      <c r="F12" s="46"/>
      <c r="G12" s="46"/>
      <c r="H12" s="46"/>
      <c r="I12" s="46"/>
      <c r="J12" s="46"/>
      <c r="K12" s="46"/>
      <c r="L12" s="46"/>
      <c r="M12" s="46"/>
      <c r="N12" s="70"/>
      <c r="O12" s="46"/>
      <c r="P12" s="46"/>
    </row>
    <row r="13" spans="1:16" ht="15.75" customHeight="1" x14ac:dyDescent="0.2">
      <c r="A13" s="78"/>
      <c r="B13" s="46"/>
      <c r="C13" s="46"/>
      <c r="D13" s="46"/>
      <c r="E13" s="46"/>
      <c r="F13" s="46"/>
      <c r="G13" s="46"/>
      <c r="H13" s="46"/>
      <c r="I13" s="46"/>
      <c r="J13" s="46"/>
      <c r="K13" s="46"/>
      <c r="L13" s="46"/>
      <c r="M13" s="46"/>
      <c r="N13" s="46"/>
      <c r="O13" s="46"/>
      <c r="P13" s="46"/>
    </row>
    <row r="14" spans="1:16" ht="15.75" customHeight="1" x14ac:dyDescent="0.2">
      <c r="A14" s="78"/>
      <c r="B14" s="46"/>
      <c r="C14" s="46"/>
      <c r="D14" s="46"/>
      <c r="E14" s="46"/>
      <c r="F14" s="46"/>
      <c r="G14" s="46"/>
      <c r="H14" s="46"/>
      <c r="I14" s="46"/>
      <c r="J14" s="46"/>
      <c r="K14" s="46"/>
      <c r="L14" s="46"/>
      <c r="M14" s="46"/>
      <c r="N14" s="46"/>
      <c r="O14" s="46"/>
      <c r="P14" s="46"/>
    </row>
    <row r="15" spans="1:16" ht="15.75" customHeight="1" x14ac:dyDescent="0.2">
      <c r="A15" s="78"/>
      <c r="B15" s="46"/>
      <c r="C15" s="46"/>
      <c r="D15" s="46"/>
      <c r="E15" s="46"/>
      <c r="F15" s="46"/>
      <c r="G15" s="46"/>
      <c r="H15" s="46"/>
      <c r="I15" s="46"/>
      <c r="J15" s="46"/>
      <c r="K15" s="46"/>
      <c r="L15" s="46"/>
      <c r="M15" s="46"/>
      <c r="N15" s="46"/>
      <c r="O15" s="46"/>
      <c r="P15" s="46"/>
    </row>
    <row r="16" spans="1:16" ht="15.75" customHeight="1" x14ac:dyDescent="0.2">
      <c r="A16" s="78"/>
      <c r="B16" s="46"/>
      <c r="C16" s="46"/>
      <c r="D16" s="46"/>
      <c r="E16" s="46"/>
      <c r="F16" s="46"/>
      <c r="G16" s="46"/>
      <c r="H16" s="46"/>
      <c r="I16" s="46"/>
      <c r="J16" s="46"/>
      <c r="K16" s="46"/>
      <c r="L16" s="46"/>
      <c r="M16" s="46"/>
      <c r="N16" s="46"/>
      <c r="O16" s="46"/>
      <c r="P16" s="46"/>
    </row>
    <row r="17" spans="1:16" ht="15.75" customHeight="1" x14ac:dyDescent="0.2">
      <c r="A17" s="78"/>
      <c r="B17" s="46"/>
      <c r="C17" s="46"/>
      <c r="D17" s="46"/>
      <c r="E17" s="46"/>
      <c r="F17" s="46"/>
      <c r="G17" s="46"/>
      <c r="H17" s="46"/>
      <c r="I17" s="46"/>
      <c r="J17" s="46"/>
      <c r="K17" s="46"/>
      <c r="L17" s="46"/>
      <c r="M17" s="46"/>
      <c r="N17" s="46"/>
      <c r="O17" s="46"/>
      <c r="P17" s="46"/>
    </row>
    <row r="18" spans="1:16" ht="15.75" customHeight="1" x14ac:dyDescent="0.2">
      <c r="A18" s="78"/>
      <c r="B18" s="46"/>
      <c r="C18" s="46"/>
      <c r="D18" s="46"/>
      <c r="E18" s="46"/>
      <c r="F18" s="46"/>
      <c r="G18" s="46"/>
      <c r="H18" s="46"/>
      <c r="I18" s="46"/>
      <c r="J18" s="46"/>
      <c r="K18" s="46"/>
      <c r="L18" s="46"/>
      <c r="M18" s="46"/>
      <c r="N18" s="46"/>
      <c r="O18" s="46"/>
      <c r="P18" s="46"/>
    </row>
    <row r="19" spans="1:16" ht="15.75" customHeight="1" x14ac:dyDescent="0.2">
      <c r="A19" s="78"/>
      <c r="B19" s="46"/>
      <c r="C19" s="46"/>
      <c r="D19" s="46"/>
      <c r="E19" s="46"/>
      <c r="F19" s="46"/>
      <c r="G19" s="46"/>
      <c r="H19" s="46"/>
      <c r="I19" s="46"/>
      <c r="J19" s="46"/>
      <c r="K19" s="46"/>
      <c r="L19" s="46"/>
      <c r="M19" s="46"/>
      <c r="N19" s="46"/>
      <c r="O19" s="46"/>
      <c r="P19" s="46"/>
    </row>
    <row r="20" spans="1:16" ht="15.75" customHeight="1" x14ac:dyDescent="0.2">
      <c r="A20" s="78"/>
      <c r="B20" s="46"/>
      <c r="C20" s="46"/>
      <c r="D20" s="46"/>
      <c r="E20" s="46"/>
      <c r="F20" s="46"/>
      <c r="G20" s="46"/>
      <c r="H20" s="46"/>
      <c r="I20" s="46"/>
      <c r="J20" s="46"/>
      <c r="K20" s="46"/>
      <c r="L20" s="46"/>
      <c r="M20" s="46"/>
      <c r="N20" s="46"/>
      <c r="O20" s="46"/>
      <c r="P20" s="46"/>
    </row>
    <row r="21" spans="1:16" ht="15.75" customHeight="1" x14ac:dyDescent="0.2">
      <c r="A21" s="78"/>
      <c r="B21" s="46"/>
      <c r="C21" s="46"/>
      <c r="D21" s="46"/>
      <c r="E21" s="46"/>
      <c r="F21" s="46"/>
      <c r="G21" s="46"/>
      <c r="H21" s="46"/>
      <c r="I21" s="46"/>
      <c r="J21" s="46"/>
      <c r="K21" s="46"/>
      <c r="L21" s="46"/>
      <c r="M21" s="46"/>
      <c r="N21" s="46"/>
      <c r="O21" s="46"/>
      <c r="P21" s="46"/>
    </row>
    <row r="22" spans="1:16" ht="15.75" customHeight="1" x14ac:dyDescent="0.2">
      <c r="A22" s="78"/>
      <c r="B22" s="46"/>
      <c r="C22" s="46"/>
      <c r="D22" s="46"/>
      <c r="E22" s="46"/>
      <c r="F22" s="46"/>
      <c r="G22" s="46"/>
      <c r="H22" s="46"/>
      <c r="I22" s="46"/>
      <c r="J22" s="46"/>
      <c r="K22" s="46"/>
      <c r="L22" s="46"/>
      <c r="M22" s="46"/>
      <c r="N22" s="46"/>
      <c r="O22" s="46"/>
      <c r="P22" s="46"/>
    </row>
    <row r="23" spans="1:16" ht="15.75" customHeight="1" x14ac:dyDescent="0.2">
      <c r="A23" s="78"/>
      <c r="B23" s="46"/>
      <c r="C23" s="46"/>
      <c r="D23" s="46"/>
      <c r="E23" s="46"/>
      <c r="F23" s="46"/>
      <c r="G23" s="46"/>
      <c r="H23" s="46"/>
      <c r="I23" s="46"/>
      <c r="J23" s="46"/>
      <c r="K23" s="46"/>
      <c r="L23" s="46"/>
      <c r="M23" s="46"/>
      <c r="N23" s="46"/>
      <c r="O23" s="46"/>
      <c r="P23" s="46"/>
    </row>
    <row r="24" spans="1:16" ht="15.75" customHeight="1" x14ac:dyDescent="0.2">
      <c r="A24" s="78"/>
      <c r="B24" s="46"/>
      <c r="C24" s="46"/>
      <c r="D24" s="46"/>
      <c r="E24" s="46"/>
      <c r="F24" s="46"/>
      <c r="G24" s="46"/>
      <c r="H24" s="46"/>
      <c r="I24" s="46"/>
      <c r="J24" s="46"/>
      <c r="K24" s="46"/>
      <c r="L24" s="46"/>
      <c r="M24" s="46"/>
      <c r="N24" s="46"/>
      <c r="O24" s="46"/>
      <c r="P24" s="46"/>
    </row>
    <row r="25" spans="1:16" ht="15.75" customHeight="1" x14ac:dyDescent="0.2">
      <c r="A25" s="78"/>
      <c r="B25" s="46"/>
      <c r="C25" s="46"/>
      <c r="D25" s="46"/>
      <c r="E25" s="46"/>
      <c r="F25" s="46"/>
      <c r="G25" s="46"/>
      <c r="H25" s="46"/>
      <c r="I25" s="46"/>
      <c r="J25" s="46"/>
      <c r="K25" s="46"/>
      <c r="L25" s="46"/>
      <c r="M25" s="46"/>
      <c r="N25" s="46"/>
      <c r="O25" s="46"/>
      <c r="P25" s="46"/>
    </row>
    <row r="26" spans="1:16" ht="15.75" customHeight="1" x14ac:dyDescent="0.2">
      <c r="A26" s="78"/>
      <c r="B26" s="46"/>
      <c r="C26" s="46"/>
      <c r="D26" s="46"/>
      <c r="E26" s="46"/>
      <c r="F26" s="46"/>
      <c r="G26" s="46"/>
      <c r="H26" s="46"/>
      <c r="I26" s="46"/>
      <c r="J26" s="46"/>
      <c r="K26" s="46"/>
      <c r="L26" s="46"/>
      <c r="M26" s="46"/>
      <c r="N26" s="46"/>
      <c r="O26" s="46"/>
      <c r="P26" s="46"/>
    </row>
    <row r="27" spans="1:16" ht="15.75" customHeight="1" x14ac:dyDescent="0.2">
      <c r="A27" s="78"/>
      <c r="B27" s="46"/>
      <c r="C27" s="46"/>
      <c r="D27" s="46"/>
      <c r="E27" s="46"/>
      <c r="F27" s="46"/>
      <c r="G27" s="46"/>
      <c r="H27" s="46"/>
      <c r="I27" s="46"/>
      <c r="J27" s="46"/>
      <c r="K27" s="46"/>
      <c r="L27" s="46"/>
      <c r="M27" s="46"/>
      <c r="N27" s="46"/>
      <c r="O27" s="46"/>
      <c r="P27" s="46"/>
    </row>
    <row r="28" spans="1:16" ht="15.75" customHeight="1" x14ac:dyDescent="0.2">
      <c r="A28" s="78"/>
      <c r="B28" s="46"/>
      <c r="C28" s="46"/>
      <c r="D28" s="46"/>
      <c r="E28" s="46"/>
      <c r="F28" s="46"/>
      <c r="G28" s="46"/>
      <c r="H28" s="46"/>
      <c r="I28" s="46"/>
      <c r="J28" s="46"/>
      <c r="K28" s="46"/>
      <c r="L28" s="46"/>
      <c r="M28" s="46"/>
      <c r="N28" s="46"/>
      <c r="O28" s="46"/>
      <c r="P28" s="46"/>
    </row>
    <row r="29" spans="1:16" ht="15.75" customHeight="1" x14ac:dyDescent="0.2">
      <c r="A29" s="78"/>
      <c r="B29" s="46"/>
      <c r="C29" s="46"/>
      <c r="D29" s="46"/>
      <c r="E29" s="46"/>
      <c r="F29" s="46"/>
      <c r="G29" s="46"/>
      <c r="H29" s="46"/>
      <c r="I29" s="46"/>
      <c r="J29" s="46"/>
      <c r="K29" s="46"/>
      <c r="L29" s="46"/>
      <c r="M29" s="46"/>
      <c r="N29" s="46"/>
      <c r="O29" s="46"/>
      <c r="P29" s="46"/>
    </row>
    <row r="30" spans="1:16" ht="15.75" customHeight="1" x14ac:dyDescent="0.2">
      <c r="A30" s="78"/>
      <c r="B30" s="46"/>
      <c r="C30" s="46"/>
      <c r="D30" s="46"/>
      <c r="E30" s="46"/>
      <c r="F30" s="46"/>
      <c r="G30" s="46"/>
      <c r="H30" s="46"/>
      <c r="I30" s="46"/>
      <c r="J30" s="46"/>
      <c r="K30" s="46"/>
      <c r="L30" s="46"/>
      <c r="M30" s="46"/>
      <c r="N30" s="46"/>
      <c r="O30" s="46"/>
      <c r="P30" s="46"/>
    </row>
    <row r="31" spans="1:16" ht="15.75" customHeight="1" x14ac:dyDescent="0.2">
      <c r="A31" s="78"/>
      <c r="B31" s="46"/>
      <c r="C31" s="46"/>
      <c r="D31" s="46"/>
      <c r="E31" s="46"/>
      <c r="F31" s="46"/>
      <c r="G31" s="46"/>
      <c r="H31" s="46"/>
      <c r="I31" s="46"/>
      <c r="J31" s="46"/>
      <c r="K31" s="46"/>
      <c r="L31" s="46"/>
      <c r="M31" s="46"/>
      <c r="N31" s="46"/>
      <c r="O31" s="46"/>
      <c r="P31" s="46"/>
    </row>
    <row r="32" spans="1:16" ht="15.75" customHeight="1" x14ac:dyDescent="0.2">
      <c r="A32" s="78"/>
      <c r="B32" s="46"/>
      <c r="C32" s="46"/>
      <c r="D32" s="46"/>
      <c r="E32" s="46"/>
      <c r="F32" s="46"/>
      <c r="G32" s="46"/>
      <c r="H32" s="46"/>
      <c r="I32" s="46"/>
      <c r="J32" s="46"/>
      <c r="K32" s="46"/>
      <c r="L32" s="46"/>
      <c r="M32" s="46"/>
      <c r="N32" s="46"/>
      <c r="O32" s="46"/>
      <c r="P32" s="46"/>
    </row>
    <row r="33" spans="1:16" ht="15.75" customHeight="1" x14ac:dyDescent="0.2">
      <c r="A33" s="78"/>
      <c r="B33" s="46"/>
      <c r="C33" s="46"/>
      <c r="D33" s="46"/>
      <c r="E33" s="46"/>
      <c r="F33" s="46"/>
      <c r="G33" s="46"/>
      <c r="H33" s="46"/>
      <c r="I33" s="46"/>
      <c r="J33" s="46"/>
      <c r="K33" s="46"/>
      <c r="L33" s="46"/>
      <c r="M33" s="46"/>
      <c r="N33" s="46"/>
      <c r="O33" s="46"/>
      <c r="P33" s="46"/>
    </row>
    <row r="34" spans="1:16" ht="15.75" customHeight="1" x14ac:dyDescent="0.2">
      <c r="A34" s="78"/>
      <c r="B34" s="46"/>
      <c r="C34" s="46"/>
      <c r="D34" s="46"/>
      <c r="E34" s="46"/>
      <c r="F34" s="46"/>
      <c r="G34" s="46"/>
      <c r="H34" s="46"/>
      <c r="I34" s="46"/>
      <c r="J34" s="46"/>
      <c r="K34" s="46"/>
      <c r="L34" s="46"/>
      <c r="M34" s="46"/>
      <c r="N34" s="46"/>
      <c r="O34" s="46"/>
      <c r="P34" s="46"/>
    </row>
    <row r="35" spans="1:16" ht="15.75" customHeight="1" x14ac:dyDescent="0.2">
      <c r="A35" s="78"/>
      <c r="B35" s="46"/>
      <c r="C35" s="46"/>
      <c r="D35" s="46"/>
      <c r="E35" s="46"/>
      <c r="F35" s="46"/>
      <c r="G35" s="46"/>
      <c r="H35" s="46"/>
      <c r="I35" s="46"/>
      <c r="J35" s="46"/>
      <c r="K35" s="46"/>
      <c r="L35" s="46"/>
      <c r="M35" s="46"/>
      <c r="N35" s="46"/>
      <c r="O35" s="46"/>
      <c r="P35" s="46"/>
    </row>
    <row r="36" spans="1:16" ht="15.75" customHeight="1" x14ac:dyDescent="0.2">
      <c r="A36" s="78"/>
      <c r="B36" s="46"/>
      <c r="C36" s="46"/>
      <c r="D36" s="46"/>
      <c r="E36" s="46"/>
      <c r="F36" s="46"/>
      <c r="G36" s="46"/>
      <c r="H36" s="46"/>
      <c r="I36" s="46"/>
      <c r="J36" s="46"/>
      <c r="K36" s="46"/>
      <c r="L36" s="46"/>
      <c r="M36" s="46"/>
      <c r="N36" s="46"/>
      <c r="O36" s="46"/>
      <c r="P36" s="46"/>
    </row>
    <row r="37" spans="1:16" ht="15.75" customHeight="1" x14ac:dyDescent="0.2">
      <c r="A37" s="78"/>
      <c r="B37" s="46"/>
      <c r="C37" s="46"/>
      <c r="D37" s="46"/>
      <c r="E37" s="46"/>
      <c r="F37" s="46"/>
      <c r="G37" s="46"/>
      <c r="H37" s="46"/>
      <c r="I37" s="46"/>
      <c r="J37" s="46"/>
      <c r="K37" s="46"/>
      <c r="L37" s="46"/>
      <c r="M37" s="46"/>
      <c r="N37" s="46"/>
      <c r="O37" s="46"/>
      <c r="P37" s="46"/>
    </row>
    <row r="38" spans="1:16" ht="15.75" customHeight="1" x14ac:dyDescent="0.2">
      <c r="A38" s="78"/>
      <c r="B38" s="46"/>
      <c r="C38" s="46"/>
      <c r="D38" s="46"/>
      <c r="E38" s="46"/>
      <c r="F38" s="46"/>
      <c r="G38" s="46"/>
      <c r="H38" s="46"/>
      <c r="I38" s="46"/>
      <c r="J38" s="46"/>
      <c r="K38" s="46"/>
      <c r="L38" s="46"/>
      <c r="M38" s="46"/>
      <c r="N38" s="46"/>
      <c r="O38" s="46"/>
      <c r="P38" s="46"/>
    </row>
    <row r="39" spans="1:16" ht="15.75" customHeight="1" x14ac:dyDescent="0.2">
      <c r="A39" s="78"/>
      <c r="B39" s="46"/>
      <c r="C39" s="46"/>
      <c r="D39" s="46"/>
      <c r="E39" s="46"/>
      <c r="F39" s="46"/>
      <c r="G39" s="46"/>
      <c r="H39" s="46"/>
      <c r="I39" s="46"/>
      <c r="J39" s="46"/>
      <c r="K39" s="46"/>
      <c r="L39" s="46"/>
      <c r="M39" s="46"/>
      <c r="N39" s="46"/>
      <c r="O39" s="46"/>
      <c r="P39" s="46"/>
    </row>
    <row r="40" spans="1:16" ht="15.75" customHeight="1" x14ac:dyDescent="0.2">
      <c r="A40" s="78"/>
      <c r="B40" s="46"/>
      <c r="C40" s="46"/>
      <c r="D40" s="46"/>
      <c r="E40" s="46"/>
      <c r="F40" s="46"/>
      <c r="G40" s="46"/>
      <c r="H40" s="46"/>
      <c r="I40" s="46"/>
      <c r="J40" s="46"/>
      <c r="K40" s="46"/>
      <c r="L40" s="46"/>
      <c r="M40" s="46"/>
      <c r="N40" s="46"/>
      <c r="O40" s="46"/>
      <c r="P40" s="46"/>
    </row>
    <row r="41" spans="1:16" ht="15.75" customHeight="1" x14ac:dyDescent="0.2">
      <c r="A41" s="78"/>
      <c r="B41" s="46"/>
      <c r="C41" s="46"/>
      <c r="D41" s="46"/>
      <c r="E41" s="46"/>
      <c r="F41" s="46"/>
      <c r="G41" s="46"/>
      <c r="H41" s="46"/>
      <c r="I41" s="46"/>
      <c r="J41" s="46"/>
      <c r="K41" s="46"/>
      <c r="L41" s="46"/>
      <c r="M41" s="46"/>
      <c r="N41" s="46"/>
      <c r="O41" s="46"/>
      <c r="P41" s="46"/>
    </row>
    <row r="42" spans="1:16" ht="15.75" customHeight="1" x14ac:dyDescent="0.2">
      <c r="A42" s="78"/>
      <c r="B42" s="46"/>
      <c r="C42" s="46"/>
      <c r="D42" s="46"/>
      <c r="E42" s="46"/>
      <c r="F42" s="46"/>
      <c r="G42" s="46"/>
      <c r="H42" s="46"/>
      <c r="I42" s="46"/>
      <c r="J42" s="46"/>
      <c r="K42" s="46"/>
      <c r="L42" s="46"/>
      <c r="M42" s="46"/>
      <c r="N42" s="46"/>
      <c r="O42" s="46"/>
      <c r="P42" s="46"/>
    </row>
    <row r="43" spans="1:16" ht="15.75" customHeight="1" x14ac:dyDescent="0.2">
      <c r="A43" s="78"/>
      <c r="B43" s="46"/>
      <c r="C43" s="46"/>
      <c r="D43" s="46"/>
      <c r="E43" s="46"/>
      <c r="F43" s="46"/>
      <c r="G43" s="46"/>
      <c r="H43" s="46"/>
      <c r="I43" s="46"/>
      <c r="J43" s="46"/>
      <c r="K43" s="46"/>
      <c r="L43" s="46"/>
      <c r="M43" s="46"/>
      <c r="N43" s="46"/>
      <c r="O43" s="46"/>
      <c r="P43" s="46"/>
    </row>
    <row r="44" spans="1:16" ht="15.75" customHeight="1" x14ac:dyDescent="0.2">
      <c r="A44" s="78"/>
      <c r="B44" s="46"/>
      <c r="C44" s="46"/>
      <c r="D44" s="46"/>
      <c r="E44" s="46"/>
      <c r="F44" s="46"/>
      <c r="G44" s="46"/>
      <c r="H44" s="46"/>
      <c r="I44" s="46"/>
      <c r="J44" s="46"/>
      <c r="K44" s="46"/>
      <c r="L44" s="46"/>
      <c r="M44" s="46"/>
      <c r="N44" s="46"/>
      <c r="O44" s="46"/>
      <c r="P44" s="46"/>
    </row>
    <row r="45" spans="1:16" ht="15.75" customHeight="1" x14ac:dyDescent="0.2">
      <c r="A45" s="78"/>
      <c r="B45" s="46"/>
      <c r="C45" s="46"/>
      <c r="D45" s="46"/>
      <c r="E45" s="46"/>
      <c r="F45" s="46"/>
      <c r="G45" s="46"/>
      <c r="H45" s="46"/>
      <c r="I45" s="46"/>
      <c r="J45" s="46"/>
      <c r="K45" s="46"/>
      <c r="L45" s="46"/>
      <c r="M45" s="46"/>
      <c r="N45" s="46"/>
      <c r="O45" s="46"/>
      <c r="P45" s="46"/>
    </row>
    <row r="46" spans="1:16" ht="15.75" customHeight="1" x14ac:dyDescent="0.2">
      <c r="A46" s="78"/>
      <c r="B46" s="46"/>
      <c r="C46" s="46"/>
      <c r="D46" s="46"/>
      <c r="E46" s="46"/>
      <c r="F46" s="46"/>
      <c r="G46" s="46"/>
      <c r="H46" s="46"/>
      <c r="I46" s="46"/>
      <c r="J46" s="46"/>
      <c r="K46" s="46"/>
      <c r="L46" s="46"/>
      <c r="M46" s="46"/>
      <c r="N46" s="46"/>
      <c r="O46" s="46"/>
      <c r="P46" s="46"/>
    </row>
    <row r="47" spans="1:16" ht="15.75" customHeight="1" x14ac:dyDescent="0.2">
      <c r="A47" s="78"/>
      <c r="B47" s="46"/>
      <c r="C47" s="46"/>
      <c r="D47" s="46"/>
      <c r="E47" s="46"/>
      <c r="F47" s="46"/>
      <c r="G47" s="46"/>
      <c r="H47" s="46"/>
      <c r="I47" s="46"/>
      <c r="J47" s="46"/>
      <c r="K47" s="46"/>
      <c r="L47" s="46"/>
      <c r="M47" s="46"/>
      <c r="N47" s="46"/>
      <c r="O47" s="46"/>
      <c r="P47" s="46"/>
    </row>
    <row r="48" spans="1:16" ht="15.75" customHeight="1" x14ac:dyDescent="0.2">
      <c r="A48" s="78"/>
      <c r="B48" s="46"/>
      <c r="C48" s="46"/>
      <c r="D48" s="46"/>
      <c r="E48" s="46"/>
      <c r="F48" s="46"/>
      <c r="G48" s="46"/>
      <c r="H48" s="46"/>
      <c r="I48" s="46"/>
      <c r="J48" s="46"/>
      <c r="K48" s="46"/>
      <c r="L48" s="46"/>
      <c r="M48" s="46"/>
      <c r="N48" s="46"/>
      <c r="O48" s="46"/>
      <c r="P48" s="46"/>
    </row>
    <row r="49" spans="1:16" ht="15.75" customHeight="1" x14ac:dyDescent="0.2">
      <c r="A49" s="78"/>
      <c r="B49" s="46"/>
      <c r="C49" s="46"/>
      <c r="D49" s="46"/>
      <c r="E49" s="46"/>
      <c r="F49" s="46"/>
      <c r="G49" s="46"/>
      <c r="H49" s="46"/>
      <c r="I49" s="46"/>
      <c r="J49" s="46"/>
      <c r="K49" s="46"/>
      <c r="L49" s="46"/>
      <c r="M49" s="46"/>
      <c r="N49" s="46"/>
      <c r="O49" s="46"/>
      <c r="P49" s="46"/>
    </row>
    <row r="50" spans="1:16" ht="15.75" customHeight="1" x14ac:dyDescent="0.2">
      <c r="A50" s="78"/>
      <c r="B50" s="46"/>
      <c r="C50" s="46"/>
      <c r="D50" s="46"/>
      <c r="E50" s="46"/>
      <c r="F50" s="46"/>
      <c r="G50" s="46"/>
      <c r="H50" s="46"/>
      <c r="I50" s="46"/>
      <c r="J50" s="46"/>
      <c r="K50" s="46"/>
      <c r="L50" s="46"/>
      <c r="M50" s="46"/>
      <c r="N50" s="46"/>
      <c r="O50" s="46"/>
      <c r="P50" s="46"/>
    </row>
    <row r="51" spans="1:16" ht="15.75" customHeight="1" x14ac:dyDescent="0.2">
      <c r="A51" s="78"/>
      <c r="B51" s="46"/>
      <c r="C51" s="46"/>
      <c r="D51" s="46"/>
      <c r="E51" s="46"/>
      <c r="F51" s="46"/>
      <c r="G51" s="46"/>
      <c r="H51" s="46"/>
      <c r="I51" s="46"/>
      <c r="J51" s="46"/>
      <c r="K51" s="46"/>
      <c r="L51" s="46"/>
      <c r="M51" s="46"/>
      <c r="N51" s="46"/>
      <c r="O51" s="46"/>
      <c r="P51" s="46"/>
    </row>
    <row r="52" spans="1:16" ht="15.75" customHeight="1" x14ac:dyDescent="0.2">
      <c r="A52" s="78"/>
      <c r="B52" s="46"/>
      <c r="C52" s="46"/>
      <c r="D52" s="46"/>
      <c r="E52" s="46"/>
      <c r="F52" s="46"/>
      <c r="G52" s="46"/>
      <c r="H52" s="46"/>
      <c r="I52" s="46"/>
      <c r="J52" s="46"/>
      <c r="K52" s="46"/>
      <c r="L52" s="46"/>
      <c r="M52" s="46"/>
      <c r="N52" s="46"/>
      <c r="O52" s="46"/>
      <c r="P52" s="46"/>
    </row>
    <row r="53" spans="1:16" ht="15.75" customHeight="1" x14ac:dyDescent="0.2">
      <c r="A53" s="78"/>
      <c r="B53" s="46"/>
      <c r="C53" s="46"/>
      <c r="D53" s="46"/>
      <c r="E53" s="46"/>
      <c r="F53" s="46"/>
      <c r="G53" s="46"/>
      <c r="H53" s="46"/>
      <c r="I53" s="46"/>
      <c r="J53" s="46"/>
      <c r="K53" s="46"/>
      <c r="L53" s="46"/>
      <c r="M53" s="46"/>
      <c r="N53" s="46"/>
      <c r="O53" s="46"/>
      <c r="P53" s="46"/>
    </row>
    <row r="54" spans="1:16" ht="15.75" customHeight="1" x14ac:dyDescent="0.2">
      <c r="A54" s="78"/>
      <c r="B54" s="46"/>
      <c r="C54" s="46"/>
      <c r="D54" s="46"/>
      <c r="E54" s="46"/>
      <c r="F54" s="46"/>
      <c r="G54" s="46"/>
      <c r="H54" s="46"/>
      <c r="I54" s="46"/>
      <c r="J54" s="46"/>
      <c r="K54" s="46"/>
      <c r="L54" s="46"/>
      <c r="M54" s="46"/>
      <c r="N54" s="46"/>
      <c r="O54" s="46"/>
      <c r="P54" s="46"/>
    </row>
    <row r="55" spans="1:16" ht="15.75" customHeight="1" x14ac:dyDescent="0.2">
      <c r="A55" s="78"/>
      <c r="B55" s="46"/>
      <c r="C55" s="46"/>
      <c r="D55" s="46"/>
      <c r="E55" s="46"/>
      <c r="F55" s="46"/>
      <c r="G55" s="46"/>
      <c r="H55" s="46"/>
      <c r="I55" s="46"/>
      <c r="J55" s="46"/>
      <c r="K55" s="46"/>
      <c r="L55" s="46"/>
      <c r="M55" s="46"/>
      <c r="N55" s="46"/>
      <c r="O55" s="46"/>
      <c r="P55" s="46"/>
    </row>
    <row r="56" spans="1:16" ht="15.75" customHeight="1" x14ac:dyDescent="0.2">
      <c r="A56" s="78"/>
      <c r="B56" s="46"/>
      <c r="C56" s="46"/>
      <c r="D56" s="46"/>
      <c r="E56" s="46"/>
      <c r="F56" s="46"/>
      <c r="G56" s="46"/>
      <c r="H56" s="46"/>
      <c r="I56" s="46"/>
      <c r="J56" s="46"/>
      <c r="K56" s="46"/>
      <c r="L56" s="46"/>
      <c r="M56" s="46"/>
      <c r="N56" s="46"/>
      <c r="O56" s="46"/>
      <c r="P56" s="46"/>
    </row>
    <row r="57" spans="1:16" ht="15.75" customHeight="1" x14ac:dyDescent="0.2">
      <c r="A57" s="78"/>
      <c r="B57" s="46"/>
      <c r="C57" s="46"/>
      <c r="D57" s="46"/>
      <c r="E57" s="46"/>
      <c r="F57" s="46"/>
      <c r="G57" s="46"/>
      <c r="H57" s="46"/>
      <c r="I57" s="46"/>
      <c r="J57" s="46"/>
      <c r="K57" s="46"/>
      <c r="L57" s="46"/>
      <c r="M57" s="46"/>
      <c r="N57" s="46"/>
      <c r="O57" s="46"/>
      <c r="P57" s="46"/>
    </row>
    <row r="58" spans="1:16" ht="15.75" customHeight="1" x14ac:dyDescent="0.2">
      <c r="A58" s="78"/>
      <c r="B58" s="46"/>
      <c r="C58" s="46"/>
      <c r="D58" s="46"/>
      <c r="E58" s="46"/>
      <c r="F58" s="46"/>
      <c r="G58" s="46"/>
      <c r="H58" s="46"/>
      <c r="I58" s="46"/>
      <c r="J58" s="46"/>
      <c r="K58" s="46"/>
      <c r="L58" s="46"/>
      <c r="M58" s="46"/>
      <c r="N58" s="46"/>
      <c r="O58" s="46"/>
      <c r="P58" s="46"/>
    </row>
    <row r="59" spans="1:16" ht="15.75" customHeight="1" x14ac:dyDescent="0.2">
      <c r="A59" s="78"/>
      <c r="B59" s="46"/>
      <c r="C59" s="46"/>
      <c r="D59" s="46"/>
      <c r="E59" s="46"/>
      <c r="F59" s="46"/>
      <c r="G59" s="46"/>
      <c r="H59" s="46"/>
      <c r="I59" s="46"/>
      <c r="J59" s="46"/>
      <c r="K59" s="46"/>
      <c r="L59" s="46"/>
      <c r="M59" s="46"/>
      <c r="N59" s="46"/>
      <c r="O59" s="46"/>
      <c r="P59" s="46"/>
    </row>
    <row r="60" spans="1:16" ht="15.75" customHeight="1" x14ac:dyDescent="0.2">
      <c r="A60" s="78"/>
      <c r="B60" s="46"/>
      <c r="C60" s="46"/>
      <c r="D60" s="46"/>
      <c r="E60" s="46"/>
      <c r="F60" s="46"/>
      <c r="G60" s="46"/>
      <c r="H60" s="46"/>
      <c r="I60" s="46"/>
      <c r="J60" s="46"/>
      <c r="K60" s="46"/>
      <c r="L60" s="46"/>
      <c r="M60" s="46"/>
      <c r="N60" s="46"/>
      <c r="O60" s="46"/>
      <c r="P60" s="46"/>
    </row>
    <row r="61" spans="1:16" ht="15.75" customHeight="1" x14ac:dyDescent="0.2">
      <c r="A61" s="78"/>
      <c r="B61" s="46"/>
      <c r="C61" s="46"/>
      <c r="D61" s="46"/>
      <c r="E61" s="46"/>
      <c r="F61" s="46"/>
      <c r="G61" s="46"/>
      <c r="H61" s="46"/>
      <c r="I61" s="46"/>
      <c r="J61" s="46"/>
      <c r="K61" s="46"/>
      <c r="L61" s="46"/>
      <c r="M61" s="46"/>
      <c r="N61" s="46"/>
      <c r="O61" s="46"/>
      <c r="P61" s="46"/>
    </row>
    <row r="62" spans="1:16" ht="15.75" customHeight="1" x14ac:dyDescent="0.2">
      <c r="A62" s="78"/>
      <c r="B62" s="46"/>
      <c r="C62" s="46"/>
      <c r="D62" s="46"/>
      <c r="E62" s="46"/>
      <c r="F62" s="46"/>
      <c r="G62" s="46"/>
      <c r="H62" s="46"/>
      <c r="I62" s="46"/>
      <c r="J62" s="46"/>
      <c r="K62" s="46"/>
      <c r="L62" s="46"/>
      <c r="M62" s="46"/>
      <c r="N62" s="46"/>
      <c r="O62" s="46"/>
      <c r="P62" s="46"/>
    </row>
    <row r="63" spans="1:16" ht="15.75" customHeight="1" x14ac:dyDescent="0.2">
      <c r="A63" s="78"/>
      <c r="B63" s="46"/>
      <c r="C63" s="46"/>
      <c r="D63" s="46"/>
      <c r="E63" s="46"/>
      <c r="F63" s="46"/>
      <c r="G63" s="46"/>
      <c r="H63" s="46"/>
      <c r="I63" s="46"/>
      <c r="J63" s="46"/>
      <c r="K63" s="46"/>
      <c r="L63" s="46"/>
      <c r="M63" s="46"/>
      <c r="N63" s="46"/>
      <c r="O63" s="46"/>
      <c r="P63" s="46"/>
    </row>
    <row r="64" spans="1:16" ht="15.75" customHeight="1" x14ac:dyDescent="0.2">
      <c r="A64" s="78"/>
      <c r="B64" s="46"/>
      <c r="C64" s="46"/>
      <c r="D64" s="46"/>
      <c r="E64" s="46"/>
      <c r="F64" s="46"/>
      <c r="G64" s="46"/>
      <c r="H64" s="46"/>
      <c r="I64" s="46"/>
      <c r="J64" s="46"/>
      <c r="K64" s="46"/>
      <c r="L64" s="46"/>
      <c r="M64" s="46"/>
      <c r="N64" s="46"/>
      <c r="O64" s="46"/>
      <c r="P64" s="46"/>
    </row>
    <row r="65" spans="1:16" ht="15.75" customHeight="1" x14ac:dyDescent="0.2">
      <c r="A65" s="78"/>
      <c r="B65" s="46"/>
      <c r="C65" s="46"/>
      <c r="D65" s="46"/>
      <c r="E65" s="46"/>
      <c r="F65" s="46"/>
      <c r="G65" s="46"/>
      <c r="H65" s="46"/>
      <c r="I65" s="46"/>
      <c r="J65" s="46"/>
      <c r="K65" s="46"/>
      <c r="L65" s="46"/>
      <c r="M65" s="46"/>
      <c r="N65" s="46"/>
      <c r="O65" s="46"/>
      <c r="P65" s="46"/>
    </row>
    <row r="66" spans="1:16" ht="15.75" customHeight="1" x14ac:dyDescent="0.2">
      <c r="A66" s="78"/>
      <c r="B66" s="46"/>
      <c r="C66" s="46"/>
      <c r="D66" s="46"/>
      <c r="E66" s="46"/>
      <c r="F66" s="46"/>
      <c r="G66" s="46"/>
      <c r="H66" s="46"/>
      <c r="I66" s="46"/>
      <c r="J66" s="46"/>
      <c r="K66" s="46"/>
      <c r="L66" s="46"/>
      <c r="M66" s="46"/>
      <c r="N66" s="46"/>
      <c r="O66" s="46"/>
      <c r="P66" s="46"/>
    </row>
    <row r="67" spans="1:16" ht="15.75" customHeight="1" x14ac:dyDescent="0.2">
      <c r="A67" s="78"/>
      <c r="B67" s="46"/>
      <c r="C67" s="46"/>
      <c r="D67" s="46"/>
      <c r="E67" s="46"/>
      <c r="F67" s="46"/>
      <c r="G67" s="46"/>
      <c r="H67" s="46"/>
      <c r="I67" s="46"/>
      <c r="J67" s="46"/>
      <c r="K67" s="46"/>
      <c r="L67" s="46"/>
      <c r="M67" s="46"/>
      <c r="N67" s="46"/>
      <c r="O67" s="46"/>
      <c r="P67" s="46"/>
    </row>
    <row r="68" spans="1:16" ht="15.75" customHeight="1" x14ac:dyDescent="0.2">
      <c r="A68" s="78"/>
      <c r="B68" s="46"/>
      <c r="C68" s="46"/>
      <c r="D68" s="46"/>
      <c r="E68" s="46"/>
      <c r="F68" s="46"/>
      <c r="G68" s="46"/>
      <c r="H68" s="46"/>
      <c r="I68" s="46"/>
      <c r="J68" s="46"/>
      <c r="K68" s="46"/>
      <c r="L68" s="46"/>
      <c r="M68" s="46"/>
      <c r="N68" s="46"/>
      <c r="O68" s="46"/>
      <c r="P68" s="46"/>
    </row>
    <row r="69" spans="1:16" ht="15.75" customHeight="1" x14ac:dyDescent="0.2">
      <c r="A69" s="78"/>
      <c r="B69" s="46"/>
      <c r="C69" s="46"/>
      <c r="D69" s="46"/>
      <c r="E69" s="46"/>
      <c r="F69" s="46"/>
      <c r="G69" s="46"/>
      <c r="H69" s="46"/>
      <c r="I69" s="46"/>
      <c r="J69" s="46"/>
      <c r="K69" s="46"/>
      <c r="L69" s="46"/>
      <c r="M69" s="46"/>
      <c r="N69" s="46"/>
      <c r="O69" s="46"/>
      <c r="P69" s="46"/>
    </row>
    <row r="70" spans="1:16" ht="15.75" customHeight="1" x14ac:dyDescent="0.2">
      <c r="A70" s="78"/>
      <c r="B70" s="46"/>
      <c r="C70" s="46"/>
      <c r="D70" s="46"/>
      <c r="E70" s="46"/>
      <c r="F70" s="46"/>
      <c r="G70" s="46"/>
      <c r="H70" s="46"/>
      <c r="I70" s="46"/>
      <c r="J70" s="46"/>
      <c r="K70" s="46"/>
      <c r="L70" s="46"/>
      <c r="M70" s="46"/>
      <c r="N70" s="46"/>
      <c r="O70" s="46"/>
      <c r="P70" s="46"/>
    </row>
    <row r="71" spans="1:16" ht="15.75" customHeight="1" x14ac:dyDescent="0.2">
      <c r="A71" s="78"/>
      <c r="B71" s="46"/>
      <c r="C71" s="46"/>
      <c r="D71" s="46"/>
      <c r="E71" s="46"/>
      <c r="F71" s="46"/>
      <c r="G71" s="46"/>
      <c r="H71" s="46"/>
      <c r="I71" s="46"/>
      <c r="J71" s="46"/>
      <c r="K71" s="46"/>
      <c r="L71" s="46"/>
      <c r="M71" s="46"/>
      <c r="N71" s="46"/>
      <c r="O71" s="46"/>
      <c r="P71" s="46"/>
    </row>
    <row r="72" spans="1:16" ht="15.75" customHeight="1" x14ac:dyDescent="0.2">
      <c r="A72" s="78"/>
      <c r="B72" s="46"/>
      <c r="C72" s="46"/>
      <c r="D72" s="46"/>
      <c r="E72" s="46"/>
      <c r="F72" s="46"/>
      <c r="G72" s="46"/>
      <c r="H72" s="46"/>
      <c r="I72" s="46"/>
      <c r="J72" s="46"/>
      <c r="K72" s="46"/>
      <c r="L72" s="46"/>
      <c r="M72" s="46"/>
      <c r="N72" s="46"/>
      <c r="O72" s="46"/>
      <c r="P72" s="46"/>
    </row>
    <row r="73" spans="1:16" ht="15.75" customHeight="1" x14ac:dyDescent="0.2">
      <c r="A73" s="78"/>
      <c r="B73" s="46"/>
      <c r="C73" s="46"/>
      <c r="D73" s="46"/>
      <c r="E73" s="46"/>
      <c r="F73" s="46"/>
      <c r="G73" s="46"/>
      <c r="H73" s="46"/>
      <c r="I73" s="46"/>
      <c r="J73" s="46"/>
      <c r="K73" s="46"/>
      <c r="L73" s="46"/>
      <c r="M73" s="46"/>
      <c r="N73" s="46"/>
      <c r="O73" s="46"/>
      <c r="P73" s="46"/>
    </row>
    <row r="74" spans="1:16" ht="15.75" customHeight="1" x14ac:dyDescent="0.2">
      <c r="A74" s="78"/>
      <c r="B74" s="46"/>
      <c r="C74" s="46"/>
      <c r="D74" s="46"/>
      <c r="E74" s="46"/>
      <c r="F74" s="46"/>
      <c r="G74" s="46"/>
      <c r="H74" s="46"/>
      <c r="I74" s="46"/>
      <c r="J74" s="46"/>
      <c r="K74" s="46"/>
      <c r="L74" s="46"/>
      <c r="M74" s="46"/>
      <c r="N74" s="46"/>
      <c r="O74" s="46"/>
      <c r="P74" s="46"/>
    </row>
    <row r="75" spans="1:16" ht="15.75" customHeight="1" x14ac:dyDescent="0.2">
      <c r="A75" s="78"/>
      <c r="B75" s="46"/>
      <c r="C75" s="46"/>
      <c r="D75" s="46"/>
      <c r="E75" s="46"/>
      <c r="F75" s="46"/>
      <c r="G75" s="46"/>
      <c r="H75" s="46"/>
      <c r="I75" s="46"/>
      <c r="J75" s="46"/>
      <c r="K75" s="46"/>
      <c r="L75" s="46"/>
      <c r="M75" s="46"/>
      <c r="N75" s="46"/>
      <c r="O75" s="46"/>
      <c r="P75" s="46"/>
    </row>
    <row r="76" spans="1:16" ht="15.75" customHeight="1" x14ac:dyDescent="0.2">
      <c r="A76" s="78"/>
      <c r="B76" s="46"/>
      <c r="C76" s="46"/>
      <c r="D76" s="46"/>
      <c r="E76" s="46"/>
      <c r="F76" s="46"/>
      <c r="G76" s="46"/>
      <c r="H76" s="46"/>
      <c r="I76" s="46"/>
      <c r="J76" s="46"/>
      <c r="K76" s="46"/>
      <c r="L76" s="46"/>
      <c r="M76" s="46"/>
      <c r="N76" s="46"/>
      <c r="O76" s="46"/>
      <c r="P76" s="46"/>
    </row>
    <row r="77" spans="1:16" ht="15.75" customHeight="1" x14ac:dyDescent="0.2">
      <c r="A77" s="78"/>
      <c r="B77" s="46"/>
      <c r="C77" s="46"/>
      <c r="D77" s="46"/>
      <c r="E77" s="46"/>
      <c r="F77" s="46"/>
      <c r="G77" s="46"/>
      <c r="H77" s="46"/>
      <c r="I77" s="46"/>
      <c r="J77" s="46"/>
      <c r="K77" s="46"/>
      <c r="L77" s="46"/>
      <c r="M77" s="46"/>
      <c r="N77" s="46"/>
      <c r="O77" s="46"/>
      <c r="P77" s="46"/>
    </row>
    <row r="78" spans="1:16" ht="15.75" customHeight="1" x14ac:dyDescent="0.2">
      <c r="A78" s="78"/>
      <c r="B78" s="46"/>
      <c r="C78" s="46"/>
      <c r="D78" s="46"/>
      <c r="E78" s="46"/>
      <c r="F78" s="46"/>
      <c r="G78" s="46"/>
      <c r="H78" s="46"/>
      <c r="I78" s="46"/>
      <c r="J78" s="46"/>
      <c r="K78" s="46"/>
      <c r="L78" s="46"/>
      <c r="M78" s="46"/>
      <c r="N78" s="46"/>
      <c r="O78" s="46"/>
      <c r="P78" s="46"/>
    </row>
    <row r="79" spans="1:16" ht="15.75" customHeight="1" x14ac:dyDescent="0.2">
      <c r="A79" s="78"/>
      <c r="B79" s="46"/>
      <c r="C79" s="46"/>
      <c r="D79" s="46"/>
      <c r="E79" s="46"/>
      <c r="F79" s="46"/>
      <c r="G79" s="46"/>
      <c r="H79" s="46"/>
      <c r="I79" s="46"/>
      <c r="J79" s="46"/>
      <c r="K79" s="46"/>
      <c r="L79" s="46"/>
      <c r="M79" s="46"/>
      <c r="N79" s="46"/>
      <c r="O79" s="46"/>
      <c r="P79" s="46"/>
    </row>
    <row r="80" spans="1:16" ht="15.75" customHeight="1" x14ac:dyDescent="0.2">
      <c r="A80" s="78"/>
      <c r="B80" s="46"/>
      <c r="C80" s="46"/>
      <c r="D80" s="46"/>
      <c r="E80" s="46"/>
      <c r="F80" s="46"/>
      <c r="G80" s="46"/>
      <c r="H80" s="46"/>
      <c r="I80" s="46"/>
      <c r="J80" s="46"/>
      <c r="K80" s="46"/>
      <c r="L80" s="46"/>
      <c r="M80" s="46"/>
      <c r="N80" s="46"/>
      <c r="O80" s="46"/>
      <c r="P80" s="46"/>
    </row>
    <row r="81" spans="1:16" ht="15.75" customHeight="1" x14ac:dyDescent="0.2">
      <c r="A81" s="78"/>
      <c r="B81" s="46"/>
      <c r="C81" s="46"/>
      <c r="D81" s="46"/>
      <c r="E81" s="46"/>
      <c r="F81" s="46"/>
      <c r="G81" s="46"/>
      <c r="H81" s="46"/>
      <c r="I81" s="46"/>
      <c r="J81" s="46"/>
      <c r="K81" s="46"/>
      <c r="L81" s="46"/>
      <c r="M81" s="46"/>
      <c r="N81" s="46"/>
      <c r="O81" s="46"/>
      <c r="P81" s="46"/>
    </row>
    <row r="82" spans="1:16" ht="15.75" customHeight="1" x14ac:dyDescent="0.2">
      <c r="A82" s="186"/>
      <c r="B82" s="46"/>
      <c r="C82" s="46"/>
      <c r="D82" s="46"/>
      <c r="E82" s="46"/>
      <c r="F82" s="46"/>
      <c r="G82" s="46"/>
      <c r="H82" s="46"/>
      <c r="I82" s="46"/>
      <c r="J82" s="46"/>
      <c r="K82" s="46"/>
      <c r="L82" s="46"/>
      <c r="M82" s="46"/>
      <c r="N82" s="46"/>
      <c r="O82" s="46"/>
      <c r="P82" s="46"/>
    </row>
    <row r="83" spans="1:16" ht="15.75" customHeight="1" x14ac:dyDescent="0.2">
      <c r="A83" s="186"/>
      <c r="B83" s="46"/>
      <c r="C83" s="46"/>
      <c r="D83" s="46"/>
      <c r="E83" s="46"/>
      <c r="F83" s="46"/>
      <c r="G83" s="46"/>
      <c r="H83" s="46"/>
      <c r="I83" s="46"/>
      <c r="J83" s="46"/>
      <c r="K83" s="46"/>
      <c r="L83" s="46"/>
      <c r="M83" s="46"/>
      <c r="N83" s="46"/>
      <c r="O83" s="46"/>
      <c r="P83" s="46"/>
    </row>
    <row r="84" spans="1:16" ht="15.75" customHeight="1" x14ac:dyDescent="0.2">
      <c r="A84" s="186"/>
      <c r="B84" s="46"/>
      <c r="C84" s="46"/>
      <c r="D84" s="46"/>
      <c r="E84" s="46"/>
      <c r="F84" s="46"/>
      <c r="G84" s="46"/>
      <c r="H84" s="46"/>
      <c r="I84" s="46"/>
      <c r="J84" s="46"/>
      <c r="K84" s="46"/>
      <c r="L84" s="46"/>
      <c r="M84" s="46"/>
      <c r="N84" s="46"/>
      <c r="O84" s="46"/>
      <c r="P84" s="46"/>
    </row>
    <row r="85" spans="1:16" ht="15.75" customHeight="1" x14ac:dyDescent="0.2">
      <c r="A85" s="186"/>
      <c r="B85" s="46"/>
      <c r="C85" s="46"/>
      <c r="D85" s="46"/>
      <c r="E85" s="46"/>
      <c r="F85" s="46"/>
      <c r="G85" s="46"/>
      <c r="H85" s="46"/>
      <c r="I85" s="46"/>
      <c r="J85" s="46"/>
      <c r="K85" s="46"/>
      <c r="L85" s="46"/>
      <c r="M85" s="46"/>
      <c r="N85" s="46"/>
      <c r="O85" s="46"/>
      <c r="P85" s="46"/>
    </row>
    <row r="86" spans="1:16" ht="15.75" customHeight="1" x14ac:dyDescent="0.2">
      <c r="A86" s="186"/>
      <c r="B86" s="46"/>
      <c r="C86" s="46"/>
      <c r="D86" s="46"/>
      <c r="E86" s="46"/>
      <c r="F86" s="46"/>
      <c r="G86" s="46"/>
      <c r="H86" s="46"/>
      <c r="I86" s="46"/>
      <c r="J86" s="46"/>
      <c r="K86" s="46"/>
      <c r="L86" s="46"/>
      <c r="M86" s="46"/>
      <c r="N86" s="46"/>
      <c r="O86" s="46"/>
      <c r="P86" s="46"/>
    </row>
    <row r="87" spans="1:16" ht="15.75" customHeight="1" x14ac:dyDescent="0.2">
      <c r="A87" s="186"/>
      <c r="B87" s="46"/>
      <c r="C87" s="46"/>
      <c r="D87" s="46"/>
      <c r="E87" s="46"/>
      <c r="F87" s="46"/>
      <c r="G87" s="46"/>
      <c r="H87" s="46"/>
      <c r="I87" s="46"/>
      <c r="J87" s="46"/>
      <c r="K87" s="46"/>
      <c r="L87" s="46"/>
      <c r="M87" s="46"/>
      <c r="N87" s="46"/>
      <c r="O87" s="46"/>
      <c r="P87" s="46"/>
    </row>
    <row r="88" spans="1:16" ht="15.75" customHeight="1" x14ac:dyDescent="0.2">
      <c r="A88" s="186"/>
      <c r="B88" s="46"/>
      <c r="C88" s="46"/>
      <c r="D88" s="46"/>
      <c r="E88" s="46"/>
      <c r="F88" s="46"/>
      <c r="G88" s="46"/>
      <c r="H88" s="46"/>
      <c r="I88" s="46"/>
      <c r="J88" s="46"/>
      <c r="K88" s="46"/>
      <c r="L88" s="46"/>
      <c r="M88" s="46"/>
      <c r="N88" s="46"/>
      <c r="O88" s="46"/>
      <c r="P88" s="46"/>
    </row>
    <row r="89" spans="1:16" ht="15.75" customHeight="1" x14ac:dyDescent="0.2">
      <c r="A89" s="186"/>
      <c r="B89" s="46"/>
      <c r="C89" s="46"/>
      <c r="D89" s="46"/>
      <c r="E89" s="46"/>
      <c r="F89" s="46"/>
      <c r="G89" s="46"/>
      <c r="H89" s="46"/>
      <c r="I89" s="46"/>
      <c r="J89" s="46"/>
      <c r="K89" s="46"/>
      <c r="L89" s="46"/>
      <c r="M89" s="46"/>
      <c r="N89" s="46"/>
      <c r="O89" s="46"/>
      <c r="P89" s="46"/>
    </row>
    <row r="90" spans="1:16" ht="15.75" customHeight="1" x14ac:dyDescent="0.2">
      <c r="A90" s="186"/>
      <c r="B90" s="46"/>
      <c r="C90" s="46"/>
      <c r="D90" s="46"/>
      <c r="E90" s="46"/>
      <c r="F90" s="46"/>
      <c r="G90" s="46"/>
      <c r="H90" s="46"/>
      <c r="I90" s="46"/>
      <c r="J90" s="46"/>
      <c r="K90" s="46"/>
      <c r="L90" s="46"/>
      <c r="M90" s="46"/>
      <c r="N90" s="46"/>
      <c r="O90" s="46"/>
      <c r="P90" s="46"/>
    </row>
    <row r="91" spans="1:16" ht="15.75" customHeight="1" x14ac:dyDescent="0.2">
      <c r="A91" s="186"/>
      <c r="B91" s="46"/>
      <c r="C91" s="46"/>
      <c r="D91" s="46"/>
      <c r="E91" s="46"/>
      <c r="F91" s="46"/>
      <c r="G91" s="46"/>
      <c r="H91" s="46"/>
      <c r="I91" s="46"/>
      <c r="J91" s="46"/>
      <c r="K91" s="46"/>
      <c r="L91" s="46"/>
      <c r="M91" s="46"/>
      <c r="N91" s="46"/>
      <c r="O91" s="46"/>
      <c r="P91" s="46"/>
    </row>
    <row r="92" spans="1:16" ht="15.75" customHeight="1" x14ac:dyDescent="0.2">
      <c r="A92" s="186"/>
      <c r="B92" s="46"/>
      <c r="C92" s="46"/>
      <c r="D92" s="46"/>
      <c r="E92" s="46"/>
      <c r="F92" s="46"/>
      <c r="G92" s="46"/>
      <c r="H92" s="46"/>
      <c r="I92" s="46"/>
      <c r="J92" s="46"/>
      <c r="K92" s="46"/>
      <c r="L92" s="46"/>
      <c r="M92" s="46"/>
      <c r="N92" s="46"/>
      <c r="O92" s="46"/>
      <c r="P92" s="46"/>
    </row>
    <row r="93" spans="1:16" ht="15.75" customHeight="1" x14ac:dyDescent="0.2">
      <c r="A93" s="186"/>
      <c r="B93" s="46"/>
      <c r="C93" s="46"/>
      <c r="D93" s="46"/>
      <c r="E93" s="46"/>
      <c r="F93" s="46"/>
      <c r="G93" s="46"/>
      <c r="H93" s="46"/>
      <c r="I93" s="46"/>
      <c r="J93" s="46"/>
      <c r="K93" s="46"/>
      <c r="L93" s="46"/>
      <c r="M93" s="46"/>
      <c r="N93" s="46"/>
      <c r="O93" s="46"/>
      <c r="P93" s="46"/>
    </row>
    <row r="94" spans="1:16" ht="15.75" customHeight="1" x14ac:dyDescent="0.2">
      <c r="A94" s="186"/>
      <c r="B94" s="46"/>
      <c r="C94" s="46"/>
      <c r="D94" s="46"/>
      <c r="E94" s="46"/>
      <c r="F94" s="46"/>
      <c r="G94" s="46"/>
      <c r="H94" s="46"/>
      <c r="I94" s="46"/>
      <c r="J94" s="46"/>
      <c r="K94" s="46"/>
      <c r="L94" s="46"/>
      <c r="M94" s="46"/>
      <c r="N94" s="46"/>
      <c r="O94" s="46"/>
      <c r="P94" s="46"/>
    </row>
    <row r="95" spans="1:16" ht="15.75" customHeight="1" x14ac:dyDescent="0.2">
      <c r="A95" s="186"/>
      <c r="B95" s="46"/>
      <c r="C95" s="46"/>
      <c r="D95" s="46"/>
      <c r="E95" s="46"/>
      <c r="F95" s="46"/>
      <c r="G95" s="46"/>
      <c r="H95" s="46"/>
      <c r="I95" s="46"/>
      <c r="J95" s="46"/>
      <c r="K95" s="46"/>
      <c r="L95" s="46"/>
      <c r="M95" s="46"/>
      <c r="N95" s="46"/>
      <c r="O95" s="46"/>
      <c r="P95" s="46"/>
    </row>
    <row r="96" spans="1:16" ht="15.75" customHeight="1" x14ac:dyDescent="0.2">
      <c r="A96" s="186"/>
      <c r="B96" s="46"/>
      <c r="C96" s="46"/>
      <c r="D96" s="46"/>
      <c r="E96" s="46"/>
      <c r="F96" s="46"/>
      <c r="G96" s="46"/>
      <c r="H96" s="46"/>
      <c r="I96" s="46"/>
      <c r="J96" s="46"/>
      <c r="K96" s="46"/>
      <c r="L96" s="46"/>
      <c r="M96" s="46"/>
      <c r="N96" s="46"/>
      <c r="O96" s="46"/>
      <c r="P96" s="46"/>
    </row>
    <row r="97" spans="1:16" ht="15.75" customHeight="1" x14ac:dyDescent="0.2">
      <c r="A97" s="186"/>
      <c r="B97" s="46"/>
      <c r="C97" s="46"/>
      <c r="D97" s="46"/>
      <c r="E97" s="46"/>
      <c r="F97" s="46"/>
      <c r="G97" s="46"/>
      <c r="H97" s="46"/>
      <c r="I97" s="46"/>
      <c r="J97" s="46"/>
      <c r="K97" s="46"/>
      <c r="L97" s="46"/>
      <c r="M97" s="46"/>
      <c r="N97" s="46"/>
      <c r="O97" s="46"/>
      <c r="P97" s="46"/>
    </row>
    <row r="98" spans="1:16" ht="15.75" customHeight="1" x14ac:dyDescent="0.2">
      <c r="A98" s="186"/>
      <c r="B98" s="46"/>
      <c r="C98" s="46"/>
      <c r="D98" s="46"/>
      <c r="E98" s="46"/>
      <c r="F98" s="46"/>
      <c r="G98" s="46"/>
      <c r="H98" s="46"/>
      <c r="I98" s="46"/>
      <c r="J98" s="46"/>
      <c r="K98" s="46"/>
      <c r="L98" s="46"/>
      <c r="M98" s="46"/>
      <c r="N98" s="46"/>
      <c r="O98" s="46"/>
      <c r="P98" s="46"/>
    </row>
    <row r="99" spans="1:16" ht="15.75" customHeight="1" x14ac:dyDescent="0.2">
      <c r="A99" s="186"/>
      <c r="B99" s="46"/>
      <c r="C99" s="46"/>
      <c r="D99" s="46"/>
      <c r="E99" s="46"/>
      <c r="F99" s="46"/>
      <c r="G99" s="46"/>
      <c r="H99" s="46"/>
      <c r="I99" s="46"/>
      <c r="J99" s="46"/>
      <c r="K99" s="46"/>
      <c r="L99" s="46"/>
      <c r="M99" s="46"/>
      <c r="N99" s="46"/>
      <c r="O99" s="46"/>
      <c r="P99" s="46"/>
    </row>
    <row r="100" spans="1:16" ht="15.75" customHeight="1" x14ac:dyDescent="0.2">
      <c r="A100" s="186"/>
      <c r="B100" s="46"/>
      <c r="C100" s="46"/>
      <c r="D100" s="46"/>
      <c r="E100" s="46"/>
      <c r="F100" s="46"/>
      <c r="G100" s="46"/>
      <c r="H100" s="46"/>
      <c r="I100" s="46"/>
      <c r="J100" s="46"/>
      <c r="K100" s="46"/>
      <c r="L100" s="46"/>
      <c r="M100" s="46"/>
      <c r="N100" s="46"/>
      <c r="O100" s="46"/>
      <c r="P100" s="46"/>
    </row>
    <row r="101" spans="1:16" ht="15.75" customHeight="1" x14ac:dyDescent="0.2">
      <c r="A101" s="186"/>
      <c r="B101" s="46"/>
      <c r="C101" s="46"/>
      <c r="D101" s="46"/>
      <c r="E101" s="46"/>
      <c r="F101" s="46"/>
      <c r="G101" s="46"/>
      <c r="H101" s="46"/>
      <c r="I101" s="46"/>
      <c r="J101" s="46"/>
      <c r="K101" s="46"/>
      <c r="L101" s="46"/>
      <c r="M101" s="46"/>
      <c r="N101" s="46"/>
      <c r="O101" s="46"/>
      <c r="P101" s="46"/>
    </row>
    <row r="102" spans="1:16" ht="15.75" customHeight="1" x14ac:dyDescent="0.2">
      <c r="A102" s="186"/>
      <c r="B102" s="46"/>
      <c r="C102" s="46"/>
      <c r="D102" s="46"/>
      <c r="E102" s="46"/>
      <c r="F102" s="46"/>
      <c r="G102" s="46"/>
      <c r="H102" s="46"/>
      <c r="I102" s="46"/>
      <c r="J102" s="46"/>
      <c r="K102" s="46"/>
      <c r="L102" s="46"/>
      <c r="M102" s="46"/>
      <c r="N102" s="46"/>
      <c r="O102" s="46"/>
      <c r="P102" s="46"/>
    </row>
    <row r="103" spans="1:16" ht="15.75" customHeight="1" x14ac:dyDescent="0.2">
      <c r="A103" s="186"/>
      <c r="B103" s="46"/>
      <c r="C103" s="46"/>
      <c r="D103" s="46"/>
      <c r="E103" s="46"/>
      <c r="F103" s="46"/>
      <c r="G103" s="46"/>
      <c r="H103" s="46"/>
      <c r="I103" s="46"/>
      <c r="J103" s="46"/>
      <c r="K103" s="46"/>
      <c r="L103" s="46"/>
      <c r="M103" s="46"/>
      <c r="N103" s="46"/>
      <c r="O103" s="46"/>
      <c r="P103" s="46"/>
    </row>
    <row r="104" spans="1:16" ht="15.75" customHeight="1" x14ac:dyDescent="0.2">
      <c r="A104" s="186"/>
      <c r="B104" s="46"/>
      <c r="C104" s="46"/>
      <c r="D104" s="46"/>
      <c r="E104" s="46"/>
      <c r="F104" s="46"/>
      <c r="G104" s="46"/>
      <c r="H104" s="46"/>
      <c r="I104" s="46"/>
      <c r="J104" s="46"/>
      <c r="K104" s="46"/>
      <c r="L104" s="46"/>
      <c r="M104" s="46"/>
      <c r="N104" s="46"/>
      <c r="O104" s="46"/>
      <c r="P104" s="46"/>
    </row>
    <row r="105" spans="1:16" ht="15.75" customHeight="1" x14ac:dyDescent="0.2">
      <c r="A105" s="186"/>
      <c r="B105" s="46"/>
      <c r="C105" s="46"/>
      <c r="D105" s="46"/>
      <c r="E105" s="46"/>
      <c r="F105" s="46"/>
      <c r="G105" s="46"/>
      <c r="H105" s="46"/>
      <c r="I105" s="46"/>
      <c r="J105" s="46"/>
      <c r="K105" s="46"/>
      <c r="L105" s="46"/>
      <c r="M105" s="46"/>
      <c r="N105" s="46"/>
      <c r="O105" s="46"/>
      <c r="P105" s="46"/>
    </row>
    <row r="106" spans="1:16" ht="15.75" customHeight="1" x14ac:dyDescent="0.2">
      <c r="A106" s="186"/>
      <c r="B106" s="46"/>
      <c r="C106" s="46"/>
      <c r="D106" s="46"/>
      <c r="E106" s="46"/>
      <c r="F106" s="46"/>
      <c r="G106" s="46"/>
      <c r="H106" s="46"/>
      <c r="I106" s="46"/>
      <c r="J106" s="46"/>
      <c r="K106" s="46"/>
      <c r="L106" s="46"/>
      <c r="M106" s="46"/>
      <c r="N106" s="46"/>
      <c r="O106" s="46"/>
      <c r="P106" s="46"/>
    </row>
    <row r="107" spans="1:16" ht="15.75" customHeight="1" x14ac:dyDescent="0.2">
      <c r="A107" s="186"/>
      <c r="B107" s="46"/>
      <c r="C107" s="46"/>
      <c r="D107" s="46"/>
      <c r="E107" s="46"/>
      <c r="F107" s="46"/>
      <c r="G107" s="46"/>
      <c r="H107" s="46"/>
      <c r="I107" s="46"/>
      <c r="J107" s="46"/>
      <c r="K107" s="46"/>
      <c r="L107" s="46"/>
      <c r="M107" s="46"/>
      <c r="N107" s="46"/>
      <c r="O107" s="46"/>
      <c r="P107" s="46"/>
    </row>
    <row r="108" spans="1:16" ht="15.75" customHeight="1" x14ac:dyDescent="0.2">
      <c r="A108" s="186"/>
      <c r="B108" s="46"/>
      <c r="C108" s="46"/>
      <c r="D108" s="46"/>
      <c r="E108" s="46"/>
      <c r="F108" s="46"/>
      <c r="G108" s="46"/>
      <c r="H108" s="46"/>
      <c r="I108" s="46"/>
      <c r="J108" s="46"/>
      <c r="K108" s="46"/>
      <c r="L108" s="46"/>
      <c r="M108" s="46"/>
      <c r="N108" s="46"/>
      <c r="O108" s="46"/>
      <c r="P108" s="46"/>
    </row>
    <row r="109" spans="1:16" ht="15.75" customHeight="1" x14ac:dyDescent="0.2">
      <c r="A109" s="186"/>
      <c r="B109" s="46"/>
      <c r="C109" s="46"/>
      <c r="D109" s="46"/>
      <c r="E109" s="46"/>
      <c r="F109" s="46"/>
      <c r="G109" s="46"/>
      <c r="H109" s="46"/>
      <c r="I109" s="46"/>
      <c r="J109" s="46"/>
      <c r="K109" s="46"/>
      <c r="L109" s="46"/>
      <c r="M109" s="46"/>
      <c r="N109" s="46"/>
      <c r="O109" s="46"/>
      <c r="P109" s="46"/>
    </row>
    <row r="110" spans="1:16" ht="15.75" customHeight="1" x14ac:dyDescent="0.2">
      <c r="A110" s="186"/>
      <c r="B110" s="46"/>
      <c r="C110" s="46"/>
      <c r="D110" s="46"/>
      <c r="E110" s="46"/>
      <c r="F110" s="46"/>
      <c r="G110" s="46"/>
      <c r="H110" s="46"/>
      <c r="I110" s="46"/>
      <c r="J110" s="46"/>
      <c r="K110" s="46"/>
      <c r="L110" s="46"/>
      <c r="M110" s="46"/>
      <c r="N110" s="46"/>
      <c r="O110" s="46"/>
      <c r="P110" s="46"/>
    </row>
    <row r="111" spans="1:16" ht="15.75" customHeight="1" x14ac:dyDescent="0.2">
      <c r="A111" s="186"/>
      <c r="B111" s="46"/>
      <c r="C111" s="46"/>
      <c r="D111" s="46"/>
      <c r="E111" s="46"/>
      <c r="F111" s="46"/>
      <c r="G111" s="46"/>
      <c r="H111" s="46"/>
      <c r="I111" s="46"/>
      <c r="J111" s="46"/>
      <c r="K111" s="46"/>
      <c r="L111" s="46"/>
      <c r="M111" s="46"/>
      <c r="N111" s="46"/>
      <c r="O111" s="46"/>
      <c r="P111" s="46"/>
    </row>
    <row r="112" spans="1:16" ht="15.75" customHeight="1" x14ac:dyDescent="0.2">
      <c r="A112" s="186"/>
      <c r="B112" s="46"/>
      <c r="C112" s="46"/>
      <c r="D112" s="46"/>
      <c r="E112" s="46"/>
      <c r="F112" s="46"/>
      <c r="G112" s="46"/>
      <c r="H112" s="46"/>
      <c r="I112" s="46"/>
      <c r="J112" s="46"/>
      <c r="K112" s="46"/>
      <c r="L112" s="46"/>
      <c r="M112" s="46"/>
      <c r="N112" s="46"/>
      <c r="O112" s="46"/>
      <c r="P112" s="46"/>
    </row>
    <row r="113" spans="1:16" ht="15.75" customHeight="1" x14ac:dyDescent="0.2">
      <c r="A113" s="186"/>
      <c r="B113" s="46"/>
      <c r="C113" s="46"/>
      <c r="D113" s="46"/>
      <c r="E113" s="46"/>
      <c r="F113" s="46"/>
      <c r="G113" s="46"/>
      <c r="H113" s="46"/>
      <c r="I113" s="46"/>
      <c r="J113" s="46"/>
      <c r="K113" s="46"/>
      <c r="L113" s="46"/>
      <c r="M113" s="46"/>
      <c r="N113" s="46"/>
      <c r="O113" s="46"/>
      <c r="P113" s="46"/>
    </row>
    <row r="114" spans="1:16" ht="15.75" customHeight="1" x14ac:dyDescent="0.2">
      <c r="A114" s="186"/>
      <c r="B114" s="46"/>
      <c r="C114" s="46"/>
      <c r="D114" s="46"/>
      <c r="E114" s="46"/>
      <c r="F114" s="46"/>
      <c r="G114" s="46"/>
      <c r="H114" s="46"/>
      <c r="I114" s="46"/>
      <c r="J114" s="46"/>
      <c r="K114" s="46"/>
      <c r="L114" s="46"/>
      <c r="M114" s="46"/>
      <c r="N114" s="46"/>
      <c r="O114" s="46"/>
      <c r="P114" s="46"/>
    </row>
    <row r="115" spans="1:16" ht="15.75" customHeight="1" x14ac:dyDescent="0.2">
      <c r="A115" s="186"/>
      <c r="B115" s="46"/>
      <c r="C115" s="46"/>
      <c r="D115" s="46"/>
      <c r="E115" s="46"/>
      <c r="F115" s="46"/>
      <c r="G115" s="46"/>
      <c r="H115" s="46"/>
      <c r="I115" s="46"/>
      <c r="J115" s="46"/>
      <c r="K115" s="46"/>
      <c r="L115" s="46"/>
      <c r="M115" s="46"/>
      <c r="N115" s="46"/>
      <c r="O115" s="46"/>
      <c r="P115" s="46"/>
    </row>
    <row r="116" spans="1:16" ht="15.75" customHeight="1" x14ac:dyDescent="0.2">
      <c r="A116" s="186"/>
      <c r="B116" s="46"/>
      <c r="C116" s="46"/>
      <c r="D116" s="46"/>
      <c r="E116" s="46"/>
      <c r="F116" s="46"/>
      <c r="G116" s="46"/>
      <c r="H116" s="46"/>
      <c r="I116" s="46"/>
      <c r="J116" s="46"/>
      <c r="K116" s="46"/>
      <c r="L116" s="46"/>
      <c r="M116" s="46"/>
      <c r="N116" s="46"/>
      <c r="O116" s="46"/>
      <c r="P116" s="46"/>
    </row>
    <row r="117" spans="1:16" ht="15.75" customHeight="1" x14ac:dyDescent="0.2">
      <c r="A117" s="186"/>
      <c r="B117" s="46"/>
      <c r="C117" s="46"/>
      <c r="D117" s="46"/>
      <c r="E117" s="46"/>
      <c r="F117" s="46"/>
      <c r="G117" s="46"/>
      <c r="H117" s="46"/>
      <c r="I117" s="46"/>
      <c r="J117" s="46"/>
      <c r="K117" s="46"/>
      <c r="L117" s="46"/>
      <c r="M117" s="46"/>
      <c r="N117" s="46"/>
      <c r="O117" s="46"/>
      <c r="P117" s="46"/>
    </row>
    <row r="118" spans="1:16" ht="15.75" customHeight="1" x14ac:dyDescent="0.2">
      <c r="A118" s="186"/>
      <c r="B118" s="46"/>
      <c r="C118" s="46"/>
      <c r="D118" s="46"/>
      <c r="E118" s="46"/>
      <c r="F118" s="46"/>
      <c r="G118" s="46"/>
      <c r="H118" s="46"/>
      <c r="I118" s="46"/>
      <c r="J118" s="46"/>
      <c r="K118" s="46"/>
      <c r="L118" s="46"/>
      <c r="M118" s="46"/>
      <c r="N118" s="46"/>
      <c r="O118" s="46"/>
      <c r="P118" s="46"/>
    </row>
    <row r="119" spans="1:16" ht="15.75" customHeight="1" x14ac:dyDescent="0.2">
      <c r="A119" s="186"/>
      <c r="B119" s="46"/>
      <c r="C119" s="46"/>
      <c r="D119" s="46"/>
      <c r="E119" s="46"/>
      <c r="F119" s="46"/>
      <c r="G119" s="46"/>
      <c r="H119" s="46"/>
      <c r="I119" s="46"/>
      <c r="J119" s="46"/>
      <c r="K119" s="46"/>
      <c r="L119" s="46"/>
      <c r="M119" s="46"/>
      <c r="N119" s="46"/>
      <c r="O119" s="46"/>
      <c r="P119" s="46"/>
    </row>
    <row r="120" spans="1:16" ht="15.75" customHeight="1" x14ac:dyDescent="0.2">
      <c r="A120" s="186"/>
      <c r="B120" s="46"/>
      <c r="C120" s="46"/>
      <c r="D120" s="46"/>
      <c r="E120" s="46"/>
      <c r="F120" s="46"/>
      <c r="G120" s="46"/>
      <c r="H120" s="46"/>
      <c r="I120" s="46"/>
      <c r="J120" s="46"/>
      <c r="K120" s="46"/>
      <c r="L120" s="46"/>
      <c r="M120" s="46"/>
      <c r="N120" s="46"/>
      <c r="O120" s="46"/>
      <c r="P120" s="46"/>
    </row>
    <row r="121" spans="1:16" ht="15.75" customHeight="1" x14ac:dyDescent="0.2">
      <c r="A121" s="186"/>
      <c r="B121" s="46"/>
      <c r="C121" s="46"/>
      <c r="D121" s="46"/>
      <c r="E121" s="46"/>
      <c r="F121" s="46"/>
      <c r="G121" s="46"/>
      <c r="H121" s="46"/>
      <c r="I121" s="46"/>
      <c r="J121" s="46"/>
      <c r="K121" s="46"/>
      <c r="L121" s="46"/>
      <c r="M121" s="46"/>
      <c r="N121" s="46"/>
      <c r="O121" s="46"/>
      <c r="P121" s="46"/>
    </row>
    <row r="122" spans="1:16" ht="15.75" customHeight="1" x14ac:dyDescent="0.2">
      <c r="A122" s="186"/>
      <c r="B122" s="46"/>
      <c r="C122" s="46"/>
      <c r="D122" s="46"/>
      <c r="E122" s="46"/>
      <c r="F122" s="46"/>
      <c r="G122" s="46"/>
      <c r="H122" s="46"/>
      <c r="I122" s="46"/>
      <c r="J122" s="46"/>
      <c r="K122" s="46"/>
      <c r="L122" s="46"/>
      <c r="M122" s="46"/>
      <c r="N122" s="46"/>
      <c r="O122" s="46"/>
      <c r="P122" s="46"/>
    </row>
    <row r="123" spans="1:16" ht="15.75" customHeight="1" x14ac:dyDescent="0.2">
      <c r="A123" s="186"/>
      <c r="B123" s="46"/>
      <c r="C123" s="46"/>
      <c r="D123" s="46"/>
      <c r="E123" s="46"/>
      <c r="F123" s="46"/>
      <c r="G123" s="46"/>
      <c r="H123" s="46"/>
      <c r="I123" s="46"/>
      <c r="J123" s="46"/>
      <c r="K123" s="46"/>
      <c r="L123" s="46"/>
      <c r="M123" s="46"/>
      <c r="N123" s="46"/>
      <c r="O123" s="46"/>
      <c r="P123" s="46"/>
    </row>
    <row r="124" spans="1:16" ht="15.75" customHeight="1" x14ac:dyDescent="0.2">
      <c r="A124" s="186"/>
      <c r="B124" s="46"/>
      <c r="C124" s="46"/>
      <c r="D124" s="46"/>
      <c r="E124" s="46"/>
      <c r="F124" s="46"/>
      <c r="G124" s="46"/>
      <c r="H124" s="46"/>
      <c r="I124" s="46"/>
      <c r="J124" s="46"/>
      <c r="K124" s="46"/>
      <c r="L124" s="46"/>
      <c r="M124" s="46"/>
      <c r="N124" s="46"/>
      <c r="O124" s="46"/>
      <c r="P124" s="46"/>
    </row>
    <row r="125" spans="1:16" ht="15.75" customHeight="1" x14ac:dyDescent="0.2">
      <c r="A125" s="186"/>
      <c r="B125" s="46"/>
      <c r="C125" s="46"/>
      <c r="D125" s="46"/>
      <c r="E125" s="46"/>
      <c r="F125" s="46"/>
      <c r="G125" s="46"/>
      <c r="H125" s="46"/>
      <c r="I125" s="46"/>
      <c r="J125" s="46"/>
      <c r="K125" s="46"/>
      <c r="L125" s="46"/>
      <c r="M125" s="46"/>
      <c r="N125" s="46"/>
      <c r="O125" s="46"/>
      <c r="P125" s="46"/>
    </row>
    <row r="126" spans="1:16" ht="15.75" customHeight="1" x14ac:dyDescent="0.2">
      <c r="A126" s="186"/>
      <c r="B126" s="46"/>
      <c r="C126" s="46"/>
      <c r="D126" s="46"/>
      <c r="E126" s="46"/>
      <c r="F126" s="46"/>
      <c r="G126" s="46"/>
      <c r="H126" s="46"/>
      <c r="I126" s="46"/>
      <c r="J126" s="46"/>
      <c r="K126" s="46"/>
      <c r="L126" s="46"/>
      <c r="M126" s="46"/>
      <c r="N126" s="46"/>
      <c r="O126" s="46"/>
      <c r="P126" s="46"/>
    </row>
    <row r="127" spans="1:16" ht="15.75" customHeight="1" x14ac:dyDescent="0.2">
      <c r="A127" s="186"/>
      <c r="B127" s="46"/>
      <c r="C127" s="46"/>
      <c r="D127" s="46"/>
      <c r="E127" s="46"/>
      <c r="F127" s="46"/>
      <c r="G127" s="46"/>
      <c r="H127" s="46"/>
      <c r="I127" s="46"/>
      <c r="J127" s="46"/>
      <c r="K127" s="46"/>
      <c r="L127" s="46"/>
      <c r="M127" s="46"/>
      <c r="N127" s="46"/>
      <c r="O127" s="46"/>
      <c r="P127" s="46"/>
    </row>
    <row r="128" spans="1:16" ht="15.75" customHeight="1" x14ac:dyDescent="0.2">
      <c r="A128" s="186"/>
      <c r="B128" s="46"/>
      <c r="C128" s="46"/>
      <c r="D128" s="46"/>
      <c r="E128" s="46"/>
      <c r="F128" s="46"/>
      <c r="G128" s="46"/>
      <c r="H128" s="46"/>
      <c r="I128" s="46"/>
      <c r="J128" s="46"/>
      <c r="K128" s="46"/>
      <c r="L128" s="46"/>
      <c r="M128" s="46"/>
      <c r="N128" s="46"/>
      <c r="O128" s="46"/>
      <c r="P128" s="46"/>
    </row>
    <row r="129" spans="1:16" ht="15.75" customHeight="1" x14ac:dyDescent="0.2">
      <c r="A129" s="186"/>
      <c r="B129" s="46"/>
      <c r="C129" s="46"/>
      <c r="D129" s="46"/>
      <c r="E129" s="46"/>
      <c r="F129" s="46"/>
      <c r="G129" s="46"/>
      <c r="H129" s="46"/>
      <c r="I129" s="46"/>
      <c r="J129" s="46"/>
      <c r="K129" s="46"/>
      <c r="L129" s="46"/>
      <c r="M129" s="46"/>
      <c r="N129" s="46"/>
      <c r="O129" s="46"/>
      <c r="P129" s="46"/>
    </row>
    <row r="130" spans="1:16" ht="15.75" customHeight="1" x14ac:dyDescent="0.2">
      <c r="A130" s="186"/>
      <c r="B130" s="46"/>
      <c r="C130" s="46"/>
      <c r="D130" s="46"/>
      <c r="E130" s="46"/>
      <c r="F130" s="46"/>
      <c r="G130" s="46"/>
      <c r="H130" s="46"/>
      <c r="I130" s="46"/>
      <c r="J130" s="46"/>
      <c r="K130" s="46"/>
      <c r="L130" s="46"/>
      <c r="M130" s="46"/>
      <c r="N130" s="46"/>
      <c r="O130" s="46"/>
      <c r="P130" s="46"/>
    </row>
    <row r="131" spans="1:16" ht="15.75" customHeight="1" x14ac:dyDescent="0.2">
      <c r="A131" s="186"/>
      <c r="B131" s="46"/>
      <c r="C131" s="46"/>
      <c r="D131" s="46"/>
      <c r="E131" s="46"/>
      <c r="F131" s="46"/>
      <c r="G131" s="46"/>
      <c r="H131" s="46"/>
      <c r="I131" s="46"/>
      <c r="J131" s="46"/>
      <c r="K131" s="46"/>
      <c r="L131" s="46"/>
      <c r="M131" s="46"/>
      <c r="N131" s="46"/>
      <c r="O131" s="46"/>
      <c r="P131" s="46"/>
    </row>
    <row r="132" spans="1:16" ht="15.75" customHeight="1" x14ac:dyDescent="0.2">
      <c r="A132" s="186"/>
      <c r="B132" s="46"/>
      <c r="C132" s="46"/>
      <c r="D132" s="46"/>
      <c r="E132" s="46"/>
      <c r="F132" s="46"/>
      <c r="G132" s="46"/>
      <c r="H132" s="46"/>
      <c r="I132" s="46"/>
      <c r="J132" s="46"/>
      <c r="K132" s="46"/>
      <c r="L132" s="46"/>
      <c r="M132" s="46"/>
      <c r="N132" s="46"/>
      <c r="O132" s="46"/>
      <c r="P132" s="46"/>
    </row>
    <row r="133" spans="1:16" ht="15.75" customHeight="1" x14ac:dyDescent="0.2">
      <c r="A133" s="186"/>
      <c r="B133" s="46"/>
      <c r="C133" s="46"/>
      <c r="D133" s="46"/>
      <c r="E133" s="46"/>
      <c r="F133" s="46"/>
      <c r="G133" s="46"/>
      <c r="H133" s="46"/>
      <c r="I133" s="46"/>
      <c r="J133" s="46"/>
      <c r="K133" s="46"/>
      <c r="L133" s="46"/>
      <c r="M133" s="46"/>
      <c r="N133" s="46"/>
      <c r="O133" s="46"/>
      <c r="P133" s="46"/>
    </row>
    <row r="134" spans="1:16" ht="15.75" customHeight="1" x14ac:dyDescent="0.2">
      <c r="A134" s="186"/>
      <c r="B134" s="46"/>
      <c r="C134" s="46"/>
      <c r="D134" s="46"/>
      <c r="E134" s="46"/>
      <c r="F134" s="46"/>
      <c r="G134" s="46"/>
      <c r="H134" s="46"/>
      <c r="I134" s="46"/>
      <c r="J134" s="46"/>
      <c r="K134" s="46"/>
      <c r="L134" s="46"/>
      <c r="M134" s="46"/>
      <c r="N134" s="46"/>
      <c r="O134" s="46"/>
      <c r="P134" s="46"/>
    </row>
    <row r="135" spans="1:16" ht="15.75" customHeight="1" x14ac:dyDescent="0.2">
      <c r="A135" s="186"/>
      <c r="B135" s="46"/>
      <c r="C135" s="46"/>
      <c r="D135" s="46"/>
      <c r="E135" s="46"/>
      <c r="F135" s="46"/>
      <c r="G135" s="46"/>
      <c r="H135" s="46"/>
      <c r="I135" s="46"/>
      <c r="J135" s="46"/>
      <c r="K135" s="46"/>
      <c r="L135" s="46"/>
      <c r="M135" s="46"/>
      <c r="N135" s="46"/>
      <c r="O135" s="46"/>
      <c r="P135" s="46"/>
    </row>
    <row r="136" spans="1:16" ht="15.75" customHeight="1" x14ac:dyDescent="0.2">
      <c r="A136" s="186"/>
      <c r="B136" s="46"/>
      <c r="C136" s="46"/>
      <c r="D136" s="46"/>
      <c r="E136" s="46"/>
      <c r="F136" s="46"/>
      <c r="G136" s="46"/>
      <c r="H136" s="46"/>
      <c r="I136" s="46"/>
      <c r="J136" s="46"/>
      <c r="K136" s="46"/>
      <c r="L136" s="46"/>
      <c r="M136" s="46"/>
      <c r="N136" s="46"/>
      <c r="O136" s="46"/>
      <c r="P136" s="46"/>
    </row>
    <row r="137" spans="1:16" ht="15.75" customHeight="1" x14ac:dyDescent="0.2">
      <c r="A137" s="186"/>
      <c r="B137" s="46"/>
      <c r="C137" s="46"/>
      <c r="D137" s="46"/>
      <c r="E137" s="46"/>
      <c r="F137" s="46"/>
      <c r="G137" s="46"/>
      <c r="H137" s="46"/>
      <c r="I137" s="46"/>
      <c r="J137" s="46"/>
      <c r="K137" s="46"/>
      <c r="L137" s="46"/>
      <c r="M137" s="46"/>
      <c r="N137" s="46"/>
      <c r="O137" s="46"/>
      <c r="P137" s="46"/>
    </row>
    <row r="138" spans="1:16" ht="15.75" customHeight="1" x14ac:dyDescent="0.2">
      <c r="A138" s="186"/>
      <c r="B138" s="46"/>
      <c r="C138" s="46"/>
      <c r="D138" s="46"/>
      <c r="E138" s="46"/>
      <c r="F138" s="46"/>
      <c r="G138" s="46"/>
      <c r="H138" s="46"/>
      <c r="I138" s="46"/>
      <c r="J138" s="46"/>
      <c r="K138" s="46"/>
      <c r="L138" s="46"/>
      <c r="M138" s="46"/>
      <c r="N138" s="46"/>
      <c r="O138" s="46"/>
      <c r="P138" s="46"/>
    </row>
    <row r="139" spans="1:16" ht="15.75" customHeight="1" x14ac:dyDescent="0.2">
      <c r="A139" s="186"/>
      <c r="B139" s="46"/>
      <c r="C139" s="46"/>
      <c r="D139" s="46"/>
      <c r="E139" s="46"/>
      <c r="F139" s="46"/>
      <c r="G139" s="46"/>
      <c r="H139" s="46"/>
      <c r="I139" s="46"/>
      <c r="J139" s="46"/>
      <c r="K139" s="46"/>
      <c r="L139" s="46"/>
      <c r="M139" s="46"/>
      <c r="N139" s="46"/>
      <c r="O139" s="46"/>
      <c r="P139" s="46"/>
    </row>
    <row r="140" spans="1:16" ht="15.75" customHeight="1" x14ac:dyDescent="0.2">
      <c r="A140" s="186"/>
      <c r="B140" s="46"/>
      <c r="C140" s="46"/>
      <c r="D140" s="46"/>
      <c r="E140" s="46"/>
      <c r="F140" s="46"/>
      <c r="G140" s="46"/>
      <c r="H140" s="46"/>
      <c r="I140" s="46"/>
      <c r="J140" s="46"/>
      <c r="K140" s="46"/>
      <c r="L140" s="46"/>
      <c r="M140" s="46"/>
      <c r="N140" s="46"/>
      <c r="O140" s="46"/>
      <c r="P140" s="46"/>
    </row>
    <row r="141" spans="1:16" ht="15.75" customHeight="1" x14ac:dyDescent="0.2">
      <c r="A141" s="186"/>
      <c r="B141" s="46"/>
      <c r="C141" s="46"/>
      <c r="D141" s="46"/>
      <c r="E141" s="46"/>
      <c r="F141" s="46"/>
      <c r="G141" s="46"/>
      <c r="H141" s="46"/>
      <c r="I141" s="46"/>
      <c r="J141" s="46"/>
      <c r="K141" s="46"/>
      <c r="L141" s="46"/>
      <c r="M141" s="46"/>
      <c r="N141" s="46"/>
      <c r="O141" s="46"/>
      <c r="P141" s="46"/>
    </row>
    <row r="142" spans="1:16" ht="15.75" customHeight="1" x14ac:dyDescent="0.2">
      <c r="A142" s="186"/>
      <c r="B142" s="46"/>
      <c r="C142" s="46"/>
      <c r="D142" s="46"/>
      <c r="E142" s="46"/>
      <c r="F142" s="46"/>
      <c r="G142" s="46"/>
      <c r="H142" s="46"/>
      <c r="I142" s="46"/>
      <c r="J142" s="46"/>
      <c r="K142" s="46"/>
      <c r="L142" s="46"/>
      <c r="M142" s="46"/>
      <c r="N142" s="46"/>
      <c r="O142" s="46"/>
      <c r="P142" s="46"/>
    </row>
    <row r="143" spans="1:16" ht="15.75" customHeight="1" x14ac:dyDescent="0.2">
      <c r="A143" s="186"/>
      <c r="B143" s="46"/>
      <c r="C143" s="46"/>
      <c r="D143" s="46"/>
      <c r="E143" s="46"/>
      <c r="F143" s="46"/>
      <c r="G143" s="46"/>
      <c r="H143" s="46"/>
      <c r="I143" s="46"/>
      <c r="J143" s="46"/>
      <c r="K143" s="46"/>
      <c r="L143" s="46"/>
      <c r="M143" s="46"/>
      <c r="N143" s="46"/>
      <c r="O143" s="46"/>
      <c r="P143" s="46"/>
    </row>
    <row r="144" spans="1:16" ht="15.75" customHeight="1" x14ac:dyDescent="0.2">
      <c r="A144" s="186"/>
      <c r="B144" s="46"/>
      <c r="C144" s="46"/>
      <c r="D144" s="46"/>
      <c r="E144" s="46"/>
      <c r="F144" s="46"/>
      <c r="G144" s="46"/>
      <c r="H144" s="46"/>
      <c r="I144" s="46"/>
      <c r="J144" s="46"/>
      <c r="K144" s="46"/>
      <c r="L144" s="46"/>
      <c r="M144" s="46"/>
      <c r="N144" s="46"/>
      <c r="O144" s="46"/>
      <c r="P144" s="46"/>
    </row>
    <row r="145" spans="1:16" ht="15.75" customHeight="1" x14ac:dyDescent="0.2">
      <c r="A145" s="186"/>
      <c r="B145" s="46"/>
      <c r="C145" s="46"/>
      <c r="D145" s="46"/>
      <c r="E145" s="46"/>
      <c r="F145" s="46"/>
      <c r="G145" s="46"/>
      <c r="H145" s="46"/>
      <c r="I145" s="46"/>
      <c r="J145" s="46"/>
      <c r="K145" s="46"/>
      <c r="L145" s="46"/>
      <c r="M145" s="46"/>
      <c r="N145" s="46"/>
      <c r="O145" s="46"/>
      <c r="P145" s="46"/>
    </row>
    <row r="146" spans="1:16" ht="15.75" customHeight="1" x14ac:dyDescent="0.2">
      <c r="A146" s="186"/>
      <c r="B146" s="46"/>
      <c r="C146" s="46"/>
      <c r="D146" s="46"/>
      <c r="E146" s="46"/>
      <c r="F146" s="46"/>
      <c r="G146" s="46"/>
      <c r="H146" s="46"/>
      <c r="I146" s="46"/>
      <c r="J146" s="46"/>
      <c r="K146" s="46"/>
      <c r="L146" s="46"/>
      <c r="M146" s="46"/>
      <c r="N146" s="46"/>
      <c r="O146" s="46"/>
      <c r="P146" s="46"/>
    </row>
    <row r="147" spans="1:16" ht="15.75" customHeight="1" x14ac:dyDescent="0.2">
      <c r="A147" s="186"/>
      <c r="B147" s="46"/>
      <c r="C147" s="46"/>
      <c r="D147" s="46"/>
      <c r="E147" s="46"/>
      <c r="F147" s="46"/>
      <c r="G147" s="46"/>
      <c r="H147" s="46"/>
      <c r="I147" s="46"/>
      <c r="J147" s="46"/>
      <c r="K147" s="46"/>
      <c r="L147" s="46"/>
      <c r="M147" s="46"/>
      <c r="N147" s="46"/>
      <c r="O147" s="46"/>
      <c r="P147" s="46"/>
    </row>
    <row r="148" spans="1:16" ht="15.75" customHeight="1" x14ac:dyDescent="0.2">
      <c r="A148" s="186"/>
      <c r="B148" s="46"/>
      <c r="C148" s="46"/>
      <c r="D148" s="46"/>
      <c r="E148" s="46"/>
      <c r="F148" s="46"/>
      <c r="G148" s="46"/>
      <c r="H148" s="46"/>
      <c r="I148" s="46"/>
      <c r="J148" s="46"/>
      <c r="K148" s="46"/>
      <c r="L148" s="46"/>
      <c r="M148" s="46"/>
      <c r="N148" s="46"/>
      <c r="O148" s="46"/>
      <c r="P148" s="46"/>
    </row>
    <row r="149" spans="1:16" ht="15.75" customHeight="1" x14ac:dyDescent="0.2">
      <c r="A149" s="186"/>
      <c r="B149" s="46"/>
      <c r="C149" s="46"/>
      <c r="D149" s="46"/>
      <c r="E149" s="46"/>
      <c r="F149" s="46"/>
      <c r="G149" s="46"/>
      <c r="H149" s="46"/>
      <c r="I149" s="46"/>
      <c r="J149" s="46"/>
      <c r="K149" s="46"/>
      <c r="L149" s="46"/>
      <c r="M149" s="46"/>
      <c r="N149" s="46"/>
      <c r="O149" s="46"/>
      <c r="P149" s="46"/>
    </row>
    <row r="150" spans="1:16" ht="15.75" customHeight="1" x14ac:dyDescent="0.2">
      <c r="A150" s="186"/>
      <c r="B150" s="46"/>
      <c r="C150" s="46"/>
      <c r="D150" s="46"/>
      <c r="E150" s="46"/>
      <c r="F150" s="46"/>
      <c r="G150" s="46"/>
      <c r="H150" s="46"/>
      <c r="I150" s="46"/>
      <c r="J150" s="46"/>
      <c r="K150" s="46"/>
      <c r="L150" s="46"/>
      <c r="M150" s="46"/>
      <c r="N150" s="46"/>
      <c r="O150" s="46"/>
      <c r="P150" s="46"/>
    </row>
    <row r="151" spans="1:16" ht="15.75" customHeight="1" x14ac:dyDescent="0.2">
      <c r="A151" s="186"/>
      <c r="B151" s="46"/>
      <c r="C151" s="46"/>
      <c r="D151" s="46"/>
      <c r="E151" s="46"/>
      <c r="F151" s="46"/>
      <c r="G151" s="46"/>
      <c r="H151" s="46"/>
      <c r="I151" s="46"/>
      <c r="J151" s="46"/>
      <c r="K151" s="46"/>
      <c r="L151" s="46"/>
      <c r="M151" s="46"/>
      <c r="N151" s="46"/>
      <c r="O151" s="46"/>
      <c r="P151" s="46"/>
    </row>
    <row r="152" spans="1:16" ht="15.75" customHeight="1" x14ac:dyDescent="0.2">
      <c r="A152" s="186"/>
      <c r="B152" s="46"/>
      <c r="C152" s="46"/>
      <c r="D152" s="46"/>
      <c r="E152" s="46"/>
      <c r="F152" s="46"/>
      <c r="G152" s="46"/>
      <c r="H152" s="46"/>
      <c r="I152" s="46"/>
      <c r="J152" s="46"/>
      <c r="K152" s="46"/>
      <c r="L152" s="46"/>
      <c r="M152" s="46"/>
      <c r="N152" s="46"/>
      <c r="O152" s="46"/>
      <c r="P152" s="46"/>
    </row>
    <row r="153" spans="1:16" ht="15.75" customHeight="1" x14ac:dyDescent="0.2">
      <c r="A153" s="186"/>
      <c r="B153" s="46"/>
      <c r="C153" s="46"/>
      <c r="D153" s="46"/>
      <c r="E153" s="46"/>
      <c r="F153" s="46"/>
      <c r="G153" s="46"/>
      <c r="H153" s="46"/>
      <c r="I153" s="46"/>
      <c r="J153" s="46"/>
      <c r="K153" s="46"/>
      <c r="L153" s="46"/>
      <c r="M153" s="46"/>
      <c r="N153" s="46"/>
      <c r="O153" s="46"/>
      <c r="P153" s="46"/>
    </row>
    <row r="154" spans="1:16" ht="15.75" customHeight="1" x14ac:dyDescent="0.2">
      <c r="A154" s="186"/>
      <c r="B154" s="46"/>
      <c r="C154" s="46"/>
      <c r="D154" s="46"/>
      <c r="E154" s="46"/>
      <c r="F154" s="46"/>
      <c r="G154" s="46"/>
      <c r="H154" s="46"/>
      <c r="I154" s="46"/>
      <c r="J154" s="46"/>
      <c r="K154" s="46"/>
      <c r="L154" s="46"/>
      <c r="M154" s="46"/>
      <c r="N154" s="46"/>
      <c r="O154" s="46"/>
      <c r="P154" s="46"/>
    </row>
    <row r="155" spans="1:16" ht="15.75" customHeight="1" x14ac:dyDescent="0.2">
      <c r="A155" s="186"/>
      <c r="B155" s="46"/>
      <c r="C155" s="46"/>
      <c r="D155" s="46"/>
      <c r="E155" s="46"/>
      <c r="F155" s="46"/>
      <c r="G155" s="46"/>
      <c r="H155" s="46"/>
      <c r="I155" s="46"/>
      <c r="J155" s="46"/>
      <c r="K155" s="46"/>
      <c r="L155" s="46"/>
      <c r="M155" s="46"/>
      <c r="N155" s="46"/>
      <c r="O155" s="46"/>
      <c r="P155" s="46"/>
    </row>
    <row r="156" spans="1:16" ht="15.75" customHeight="1" x14ac:dyDescent="0.2">
      <c r="A156" s="186"/>
      <c r="B156" s="46"/>
      <c r="C156" s="46"/>
      <c r="D156" s="46"/>
      <c r="E156" s="46"/>
      <c r="F156" s="46"/>
      <c r="G156" s="46"/>
      <c r="H156" s="46"/>
      <c r="I156" s="46"/>
      <c r="J156" s="46"/>
      <c r="K156" s="46"/>
      <c r="L156" s="46"/>
      <c r="M156" s="46"/>
      <c r="N156" s="46"/>
      <c r="O156" s="46"/>
      <c r="P156" s="46"/>
    </row>
    <row r="157" spans="1:16" ht="15.75" customHeight="1" x14ac:dyDescent="0.2">
      <c r="A157" s="186"/>
      <c r="B157" s="46"/>
      <c r="C157" s="46"/>
      <c r="D157" s="46"/>
      <c r="E157" s="46"/>
      <c r="F157" s="46"/>
      <c r="G157" s="46"/>
      <c r="H157" s="46"/>
      <c r="I157" s="46"/>
      <c r="J157" s="46"/>
      <c r="K157" s="46"/>
      <c r="L157" s="46"/>
      <c r="M157" s="46"/>
      <c r="N157" s="46"/>
      <c r="O157" s="46"/>
      <c r="P157" s="46"/>
    </row>
    <row r="158" spans="1:16" ht="15.75" customHeight="1" x14ac:dyDescent="0.2">
      <c r="A158" s="186"/>
      <c r="B158" s="46"/>
      <c r="C158" s="46"/>
      <c r="D158" s="46"/>
      <c r="E158" s="46"/>
      <c r="F158" s="46"/>
      <c r="G158" s="46"/>
      <c r="H158" s="46"/>
      <c r="I158" s="46"/>
      <c r="J158" s="46"/>
      <c r="K158" s="46"/>
      <c r="L158" s="46"/>
      <c r="M158" s="46"/>
      <c r="N158" s="46"/>
      <c r="O158" s="46"/>
      <c r="P158" s="46"/>
    </row>
    <row r="159" spans="1:16" ht="15.75" customHeight="1" x14ac:dyDescent="0.2">
      <c r="A159" s="186"/>
      <c r="B159" s="46"/>
      <c r="C159" s="46"/>
      <c r="D159" s="46"/>
      <c r="E159" s="46"/>
      <c r="F159" s="46"/>
      <c r="G159" s="46"/>
      <c r="H159" s="46"/>
      <c r="I159" s="46"/>
      <c r="J159" s="46"/>
      <c r="K159" s="46"/>
      <c r="L159" s="46"/>
      <c r="M159" s="46"/>
      <c r="N159" s="46"/>
      <c r="O159" s="46"/>
      <c r="P159" s="46"/>
    </row>
    <row r="160" spans="1:16" ht="15.75" customHeight="1" x14ac:dyDescent="0.2">
      <c r="A160" s="186"/>
      <c r="B160" s="46"/>
      <c r="C160" s="46"/>
      <c r="D160" s="46"/>
      <c r="E160" s="46"/>
      <c r="F160" s="46"/>
      <c r="G160" s="46"/>
      <c r="H160" s="46"/>
      <c r="I160" s="46"/>
      <c r="J160" s="46"/>
      <c r="K160" s="46"/>
      <c r="L160" s="46"/>
      <c r="M160" s="46"/>
      <c r="N160" s="46"/>
      <c r="O160" s="46"/>
      <c r="P160" s="46"/>
    </row>
    <row r="161" spans="1:16" ht="15.75" customHeight="1" x14ac:dyDescent="0.2">
      <c r="A161" s="186"/>
      <c r="B161" s="46"/>
      <c r="C161" s="46"/>
      <c r="D161" s="46"/>
      <c r="E161" s="46"/>
      <c r="F161" s="46"/>
      <c r="G161" s="46"/>
      <c r="H161" s="46"/>
      <c r="I161" s="46"/>
      <c r="J161" s="46"/>
      <c r="K161" s="46"/>
      <c r="L161" s="46"/>
      <c r="M161" s="46"/>
      <c r="N161" s="46"/>
      <c r="O161" s="46"/>
      <c r="P161" s="46"/>
    </row>
    <row r="162" spans="1:16" ht="15.75" customHeight="1" x14ac:dyDescent="0.2">
      <c r="A162" s="186"/>
      <c r="B162" s="46"/>
      <c r="C162" s="46"/>
      <c r="D162" s="46"/>
      <c r="E162" s="46"/>
      <c r="F162" s="46"/>
      <c r="G162" s="46"/>
      <c r="H162" s="46"/>
      <c r="I162" s="46"/>
      <c r="J162" s="46"/>
      <c r="K162" s="46"/>
      <c r="L162" s="46"/>
      <c r="M162" s="46"/>
      <c r="N162" s="46"/>
      <c r="O162" s="46"/>
      <c r="P162" s="46"/>
    </row>
    <row r="163" spans="1:16" ht="15.75" customHeight="1" x14ac:dyDescent="0.2">
      <c r="A163" s="186"/>
      <c r="B163" s="46"/>
      <c r="C163" s="46"/>
      <c r="D163" s="46"/>
      <c r="E163" s="46"/>
      <c r="F163" s="46"/>
      <c r="G163" s="46"/>
      <c r="H163" s="46"/>
      <c r="I163" s="46"/>
      <c r="J163" s="46"/>
      <c r="K163" s="46"/>
      <c r="L163" s="46"/>
      <c r="M163" s="46"/>
      <c r="N163" s="46"/>
      <c r="O163" s="46"/>
      <c r="P163" s="46"/>
    </row>
    <row r="164" spans="1:16" ht="15.75" customHeight="1" x14ac:dyDescent="0.2">
      <c r="A164" s="186"/>
      <c r="B164" s="46"/>
      <c r="C164" s="46"/>
      <c r="D164" s="46"/>
      <c r="E164" s="46"/>
      <c r="F164" s="46"/>
      <c r="G164" s="46"/>
      <c r="H164" s="46"/>
      <c r="I164" s="46"/>
      <c r="J164" s="46"/>
      <c r="K164" s="46"/>
      <c r="L164" s="46"/>
      <c r="M164" s="46"/>
      <c r="N164" s="46"/>
      <c r="O164" s="46"/>
      <c r="P164" s="46"/>
    </row>
    <row r="165" spans="1:16" ht="15.75" customHeight="1" x14ac:dyDescent="0.2">
      <c r="A165" s="186"/>
      <c r="B165" s="46"/>
      <c r="C165" s="46"/>
      <c r="D165" s="46"/>
      <c r="E165" s="46"/>
      <c r="F165" s="46"/>
      <c r="G165" s="46"/>
      <c r="H165" s="46"/>
      <c r="I165" s="46"/>
      <c r="J165" s="46"/>
      <c r="K165" s="46"/>
      <c r="L165" s="46"/>
      <c r="M165" s="46"/>
      <c r="N165" s="46"/>
      <c r="O165" s="46"/>
      <c r="P165" s="46"/>
    </row>
    <row r="166" spans="1:16" ht="15.75" customHeight="1" x14ac:dyDescent="0.2">
      <c r="A166" s="186"/>
      <c r="B166" s="46"/>
      <c r="C166" s="46"/>
      <c r="D166" s="46"/>
      <c r="E166" s="46"/>
      <c r="F166" s="46"/>
      <c r="G166" s="46"/>
      <c r="H166" s="46"/>
      <c r="I166" s="46"/>
      <c r="J166" s="46"/>
      <c r="K166" s="46"/>
      <c r="L166" s="46"/>
      <c r="M166" s="46"/>
      <c r="N166" s="46"/>
      <c r="O166" s="46"/>
      <c r="P166" s="46"/>
    </row>
    <row r="167" spans="1:16" ht="15.75" customHeight="1" x14ac:dyDescent="0.2">
      <c r="A167" s="186"/>
      <c r="B167" s="46"/>
      <c r="C167" s="46"/>
      <c r="D167" s="46"/>
      <c r="E167" s="46"/>
      <c r="F167" s="46"/>
      <c r="G167" s="46"/>
      <c r="H167" s="46"/>
      <c r="I167" s="46"/>
      <c r="J167" s="46"/>
      <c r="K167" s="46"/>
      <c r="L167" s="46"/>
      <c r="M167" s="46"/>
      <c r="N167" s="46"/>
      <c r="O167" s="46"/>
      <c r="P167" s="46"/>
    </row>
    <row r="168" spans="1:16" ht="15.75" customHeight="1" x14ac:dyDescent="0.2">
      <c r="A168" s="186"/>
      <c r="B168" s="46"/>
      <c r="C168" s="46"/>
      <c r="D168" s="46"/>
      <c r="E168" s="46"/>
      <c r="F168" s="46"/>
      <c r="G168" s="46"/>
      <c r="H168" s="46"/>
      <c r="I168" s="46"/>
      <c r="J168" s="46"/>
      <c r="K168" s="46"/>
      <c r="L168" s="46"/>
      <c r="M168" s="46"/>
      <c r="N168" s="46"/>
      <c r="O168" s="46"/>
      <c r="P168" s="46"/>
    </row>
    <row r="169" spans="1:16" ht="15.75" customHeight="1" x14ac:dyDescent="0.2">
      <c r="A169" s="186"/>
      <c r="B169" s="46"/>
      <c r="C169" s="46"/>
      <c r="D169" s="46"/>
      <c r="E169" s="46"/>
      <c r="F169" s="46"/>
      <c r="G169" s="46"/>
      <c r="H169" s="46"/>
      <c r="I169" s="46"/>
      <c r="J169" s="46"/>
      <c r="K169" s="46"/>
      <c r="L169" s="46"/>
      <c r="M169" s="46"/>
      <c r="N169" s="46"/>
      <c r="O169" s="46"/>
      <c r="P169" s="46"/>
    </row>
    <row r="170" spans="1:16" ht="15.75" customHeight="1" x14ac:dyDescent="0.2">
      <c r="A170" s="186"/>
      <c r="B170" s="46"/>
      <c r="C170" s="46"/>
      <c r="D170" s="46"/>
      <c r="E170" s="46"/>
      <c r="F170" s="46"/>
      <c r="G170" s="46"/>
      <c r="H170" s="46"/>
      <c r="I170" s="46"/>
      <c r="J170" s="46"/>
      <c r="K170" s="46"/>
      <c r="L170" s="46"/>
      <c r="M170" s="46"/>
      <c r="N170" s="46"/>
      <c r="O170" s="46"/>
      <c r="P170" s="46"/>
    </row>
    <row r="171" spans="1:16" ht="15.75" customHeight="1" x14ac:dyDescent="0.2">
      <c r="A171" s="186"/>
      <c r="B171" s="46"/>
      <c r="C171" s="46"/>
      <c r="D171" s="46"/>
      <c r="E171" s="46"/>
      <c r="F171" s="46"/>
      <c r="G171" s="46"/>
      <c r="H171" s="46"/>
      <c r="I171" s="46"/>
      <c r="J171" s="46"/>
      <c r="K171" s="46"/>
      <c r="L171" s="46"/>
      <c r="M171" s="46"/>
      <c r="N171" s="46"/>
      <c r="O171" s="46"/>
      <c r="P171" s="46"/>
    </row>
    <row r="172" spans="1:16" ht="15.75" customHeight="1" x14ac:dyDescent="0.2">
      <c r="A172" s="186"/>
      <c r="B172" s="46"/>
      <c r="C172" s="46"/>
      <c r="D172" s="46"/>
      <c r="E172" s="46"/>
      <c r="F172" s="46"/>
      <c r="G172" s="46"/>
      <c r="H172" s="46"/>
      <c r="I172" s="46"/>
      <c r="J172" s="46"/>
      <c r="K172" s="46"/>
      <c r="L172" s="46"/>
      <c r="M172" s="46"/>
      <c r="N172" s="46"/>
      <c r="O172" s="46"/>
      <c r="P172" s="46"/>
    </row>
    <row r="173" spans="1:16" ht="15.75" customHeight="1" x14ac:dyDescent="0.2">
      <c r="A173" s="186"/>
      <c r="B173" s="46"/>
      <c r="C173" s="46"/>
      <c r="D173" s="46"/>
      <c r="E173" s="46"/>
      <c r="F173" s="46"/>
      <c r="G173" s="46"/>
      <c r="H173" s="46"/>
      <c r="I173" s="46"/>
      <c r="J173" s="46"/>
      <c r="K173" s="46"/>
      <c r="L173" s="46"/>
      <c r="M173" s="46"/>
      <c r="N173" s="46"/>
      <c r="O173" s="46"/>
      <c r="P173" s="46"/>
    </row>
    <row r="174" spans="1:16" ht="15.75" customHeight="1" x14ac:dyDescent="0.2">
      <c r="A174" s="186"/>
      <c r="B174" s="46"/>
      <c r="C174" s="46"/>
      <c r="D174" s="46"/>
      <c r="E174" s="46"/>
      <c r="F174" s="46"/>
      <c r="G174" s="46"/>
      <c r="H174" s="46"/>
      <c r="I174" s="46"/>
      <c r="J174" s="46"/>
      <c r="K174" s="46"/>
      <c r="L174" s="46"/>
      <c r="M174" s="46"/>
      <c r="N174" s="46"/>
      <c r="O174" s="46"/>
      <c r="P174" s="46"/>
    </row>
    <row r="175" spans="1:16" ht="15.75" customHeight="1" x14ac:dyDescent="0.2">
      <c r="A175" s="186"/>
      <c r="B175" s="46"/>
      <c r="C175" s="46"/>
      <c r="D175" s="46"/>
      <c r="E175" s="46"/>
      <c r="F175" s="46"/>
      <c r="G175" s="46"/>
      <c r="H175" s="46"/>
      <c r="I175" s="46"/>
      <c r="J175" s="46"/>
      <c r="K175" s="46"/>
      <c r="L175" s="46"/>
      <c r="M175" s="46"/>
      <c r="N175" s="46"/>
      <c r="O175" s="46"/>
      <c r="P175" s="46"/>
    </row>
    <row r="176" spans="1:16" ht="15.75" customHeight="1" x14ac:dyDescent="0.2">
      <c r="A176" s="186"/>
      <c r="B176" s="46"/>
      <c r="C176" s="46"/>
      <c r="D176" s="46"/>
      <c r="E176" s="46"/>
      <c r="F176" s="46"/>
      <c r="G176" s="46"/>
      <c r="H176" s="46"/>
      <c r="I176" s="46"/>
      <c r="J176" s="46"/>
      <c r="K176" s="46"/>
      <c r="L176" s="46"/>
      <c r="M176" s="46"/>
      <c r="N176" s="46"/>
      <c r="O176" s="46"/>
      <c r="P176" s="46"/>
    </row>
    <row r="177" spans="1:16" ht="15.75" customHeight="1" x14ac:dyDescent="0.2">
      <c r="A177" s="186"/>
      <c r="B177" s="46"/>
      <c r="C177" s="46"/>
      <c r="D177" s="46"/>
      <c r="E177" s="46"/>
      <c r="F177" s="46"/>
      <c r="G177" s="46"/>
      <c r="H177" s="46"/>
      <c r="I177" s="46"/>
      <c r="J177" s="46"/>
      <c r="K177" s="46"/>
      <c r="L177" s="46"/>
      <c r="M177" s="46"/>
      <c r="N177" s="46"/>
      <c r="O177" s="46"/>
      <c r="P177" s="46"/>
    </row>
    <row r="178" spans="1:16" ht="15.75" customHeight="1" x14ac:dyDescent="0.2">
      <c r="A178" s="186"/>
      <c r="B178" s="46"/>
      <c r="C178" s="46"/>
      <c r="D178" s="46"/>
      <c r="E178" s="46"/>
      <c r="F178" s="46"/>
      <c r="G178" s="46"/>
      <c r="H178" s="46"/>
      <c r="I178" s="46"/>
      <c r="J178" s="46"/>
      <c r="K178" s="46"/>
      <c r="L178" s="46"/>
      <c r="M178" s="46"/>
      <c r="N178" s="46"/>
      <c r="O178" s="46"/>
      <c r="P178" s="46"/>
    </row>
    <row r="179" spans="1:16" ht="15.75" customHeight="1" x14ac:dyDescent="0.2">
      <c r="A179" s="186"/>
      <c r="B179" s="46"/>
      <c r="C179" s="46"/>
      <c r="D179" s="46"/>
      <c r="E179" s="46"/>
      <c r="F179" s="46"/>
      <c r="G179" s="46"/>
      <c r="H179" s="46"/>
      <c r="I179" s="46"/>
      <c r="J179" s="46"/>
      <c r="K179" s="46"/>
      <c r="L179" s="46"/>
      <c r="M179" s="46"/>
      <c r="N179" s="46"/>
      <c r="O179" s="46"/>
      <c r="P179" s="46"/>
    </row>
    <row r="180" spans="1:16" ht="15.75" customHeight="1" x14ac:dyDescent="0.2">
      <c r="A180" s="186"/>
      <c r="B180" s="46"/>
      <c r="C180" s="46"/>
      <c r="D180" s="46"/>
      <c r="E180" s="46"/>
      <c r="F180" s="46"/>
      <c r="G180" s="46"/>
      <c r="H180" s="46"/>
      <c r="I180" s="46"/>
      <c r="J180" s="46"/>
      <c r="K180" s="46"/>
      <c r="L180" s="46"/>
      <c r="M180" s="46"/>
      <c r="N180" s="46"/>
      <c r="O180" s="46"/>
      <c r="P180" s="46"/>
    </row>
    <row r="181" spans="1:16" ht="15.75" customHeight="1" x14ac:dyDescent="0.2">
      <c r="A181" s="186"/>
      <c r="B181" s="46"/>
      <c r="C181" s="46"/>
      <c r="D181" s="46"/>
      <c r="E181" s="46"/>
      <c r="F181" s="46"/>
      <c r="G181" s="46"/>
      <c r="H181" s="46"/>
      <c r="I181" s="46"/>
      <c r="J181" s="46"/>
      <c r="K181" s="46"/>
      <c r="L181" s="46"/>
      <c r="M181" s="46"/>
      <c r="N181" s="46"/>
      <c r="O181" s="46"/>
      <c r="P181" s="46"/>
    </row>
    <row r="182" spans="1:16" ht="15.75" customHeight="1" x14ac:dyDescent="0.2">
      <c r="A182" s="186"/>
      <c r="B182" s="46"/>
      <c r="C182" s="46"/>
      <c r="D182" s="46"/>
      <c r="E182" s="46"/>
      <c r="F182" s="46"/>
      <c r="G182" s="46"/>
      <c r="H182" s="46"/>
      <c r="I182" s="46"/>
      <c r="J182" s="46"/>
      <c r="K182" s="46"/>
      <c r="L182" s="46"/>
      <c r="M182" s="46"/>
      <c r="N182" s="46"/>
      <c r="O182" s="46"/>
      <c r="P182" s="46"/>
    </row>
    <row r="183" spans="1:16" ht="15.75" customHeight="1" x14ac:dyDescent="0.2">
      <c r="A183" s="186"/>
      <c r="B183" s="46"/>
      <c r="C183" s="46"/>
      <c r="D183" s="46"/>
      <c r="E183" s="46"/>
      <c r="F183" s="46"/>
      <c r="G183" s="46"/>
      <c r="H183" s="46"/>
      <c r="I183" s="46"/>
      <c r="J183" s="46"/>
      <c r="K183" s="46"/>
      <c r="L183" s="46"/>
      <c r="M183" s="46"/>
      <c r="N183" s="46"/>
      <c r="O183" s="46"/>
      <c r="P183" s="46"/>
    </row>
    <row r="184" spans="1:16" ht="15.75" customHeight="1" x14ac:dyDescent="0.2">
      <c r="A184" s="186"/>
      <c r="B184" s="46"/>
      <c r="C184" s="46"/>
      <c r="D184" s="46"/>
      <c r="E184" s="46"/>
      <c r="F184" s="46"/>
      <c r="G184" s="46"/>
      <c r="H184" s="46"/>
      <c r="I184" s="46"/>
      <c r="J184" s="46"/>
      <c r="K184" s="46"/>
      <c r="L184" s="46"/>
      <c r="M184" s="46"/>
      <c r="N184" s="46"/>
      <c r="O184" s="46"/>
      <c r="P184" s="46"/>
    </row>
    <row r="185" spans="1:16" ht="15.75" customHeight="1" x14ac:dyDescent="0.2">
      <c r="A185" s="186"/>
      <c r="B185" s="46"/>
      <c r="C185" s="46"/>
      <c r="D185" s="46"/>
      <c r="E185" s="46"/>
      <c r="F185" s="46"/>
      <c r="G185" s="46"/>
      <c r="H185" s="46"/>
      <c r="I185" s="46"/>
      <c r="J185" s="46"/>
      <c r="K185" s="46"/>
      <c r="L185" s="46"/>
      <c r="M185" s="46"/>
      <c r="N185" s="46"/>
      <c r="O185" s="46"/>
      <c r="P185" s="46"/>
    </row>
    <row r="186" spans="1:16" ht="15.75" customHeight="1" x14ac:dyDescent="0.2">
      <c r="A186" s="186"/>
      <c r="B186" s="46"/>
      <c r="C186" s="46"/>
      <c r="D186" s="46"/>
      <c r="E186" s="46"/>
      <c r="F186" s="46"/>
      <c r="G186" s="46"/>
      <c r="H186" s="46"/>
      <c r="I186" s="46"/>
      <c r="J186" s="46"/>
      <c r="K186" s="46"/>
      <c r="L186" s="46"/>
      <c r="M186" s="46"/>
      <c r="N186" s="46"/>
      <c r="O186" s="46"/>
      <c r="P186" s="46"/>
    </row>
    <row r="187" spans="1:16" ht="15.75" customHeight="1" x14ac:dyDescent="0.2">
      <c r="A187" s="186"/>
      <c r="B187" s="46"/>
      <c r="C187" s="46"/>
      <c r="D187" s="46"/>
      <c r="E187" s="46"/>
      <c r="F187" s="46"/>
      <c r="G187" s="46"/>
      <c r="H187" s="46"/>
      <c r="I187" s="46"/>
      <c r="J187" s="46"/>
      <c r="K187" s="46"/>
      <c r="L187" s="46"/>
      <c r="M187" s="46"/>
      <c r="N187" s="46"/>
      <c r="O187" s="46"/>
      <c r="P187" s="46"/>
    </row>
    <row r="188" spans="1:16" ht="15.75" customHeight="1" x14ac:dyDescent="0.2">
      <c r="A188" s="186"/>
      <c r="B188" s="46"/>
      <c r="C188" s="46"/>
      <c r="D188" s="46"/>
      <c r="E188" s="46"/>
      <c r="F188" s="46"/>
      <c r="G188" s="46"/>
      <c r="H188" s="46"/>
      <c r="I188" s="46"/>
      <c r="J188" s="46"/>
      <c r="K188" s="46"/>
      <c r="L188" s="46"/>
      <c r="M188" s="46"/>
      <c r="N188" s="46"/>
      <c r="O188" s="46"/>
      <c r="P188" s="46"/>
    </row>
    <row r="189" spans="1:16" ht="15.75" customHeight="1" x14ac:dyDescent="0.2">
      <c r="A189" s="186"/>
      <c r="B189" s="46"/>
      <c r="C189" s="46"/>
      <c r="D189" s="46"/>
      <c r="E189" s="46"/>
      <c r="F189" s="46"/>
      <c r="G189" s="46"/>
      <c r="H189" s="46"/>
      <c r="I189" s="46"/>
      <c r="J189" s="46"/>
      <c r="K189" s="46"/>
      <c r="L189" s="46"/>
      <c r="M189" s="46"/>
      <c r="N189" s="46"/>
      <c r="O189" s="46"/>
      <c r="P189" s="46"/>
    </row>
    <row r="190" spans="1:16" ht="15.75" customHeight="1" x14ac:dyDescent="0.2">
      <c r="A190" s="186"/>
      <c r="B190" s="46"/>
      <c r="C190" s="46"/>
      <c r="D190" s="46"/>
      <c r="E190" s="46"/>
      <c r="F190" s="46"/>
      <c r="G190" s="46"/>
      <c r="H190" s="46"/>
      <c r="I190" s="46"/>
      <c r="J190" s="46"/>
      <c r="K190" s="46"/>
      <c r="L190" s="46"/>
      <c r="M190" s="46"/>
      <c r="N190" s="46"/>
      <c r="O190" s="46"/>
      <c r="P190" s="46"/>
    </row>
    <row r="191" spans="1:16" ht="15.75" customHeight="1" x14ac:dyDescent="0.2">
      <c r="A191" s="186"/>
      <c r="B191" s="46"/>
      <c r="C191" s="46"/>
      <c r="D191" s="46"/>
      <c r="E191" s="46"/>
      <c r="F191" s="46"/>
      <c r="G191" s="46"/>
      <c r="H191" s="46"/>
      <c r="I191" s="46"/>
      <c r="J191" s="46"/>
      <c r="K191" s="46"/>
      <c r="L191" s="46"/>
      <c r="M191" s="46"/>
      <c r="N191" s="46"/>
      <c r="O191" s="46"/>
      <c r="P191" s="46"/>
    </row>
    <row r="192" spans="1:16" ht="15.75" customHeight="1" x14ac:dyDescent="0.2">
      <c r="A192" s="186"/>
      <c r="B192" s="46"/>
      <c r="C192" s="46"/>
      <c r="D192" s="46"/>
      <c r="E192" s="46"/>
      <c r="F192" s="46"/>
      <c r="G192" s="46"/>
      <c r="H192" s="46"/>
      <c r="I192" s="46"/>
      <c r="J192" s="46"/>
      <c r="K192" s="46"/>
      <c r="L192" s="46"/>
      <c r="M192" s="46"/>
      <c r="N192" s="46"/>
      <c r="O192" s="46"/>
      <c r="P192" s="46"/>
    </row>
    <row r="193" spans="1:16" ht="15.75" customHeight="1" x14ac:dyDescent="0.2">
      <c r="A193" s="186"/>
      <c r="B193" s="46"/>
      <c r="C193" s="46"/>
      <c r="D193" s="46"/>
      <c r="E193" s="46"/>
      <c r="F193" s="46"/>
      <c r="G193" s="46"/>
      <c r="H193" s="46"/>
      <c r="I193" s="46"/>
      <c r="J193" s="46"/>
      <c r="K193" s="46"/>
      <c r="L193" s="46"/>
      <c r="M193" s="46"/>
      <c r="N193" s="46"/>
      <c r="O193" s="46"/>
      <c r="P193" s="46"/>
    </row>
    <row r="194" spans="1:16" ht="15.75" customHeight="1" x14ac:dyDescent="0.2">
      <c r="A194" s="186"/>
      <c r="B194" s="46"/>
      <c r="C194" s="46"/>
      <c r="D194" s="46"/>
      <c r="E194" s="46"/>
      <c r="F194" s="46"/>
      <c r="G194" s="46"/>
      <c r="H194" s="46"/>
      <c r="I194" s="46"/>
      <c r="J194" s="46"/>
      <c r="K194" s="46"/>
      <c r="L194" s="46"/>
      <c r="M194" s="46"/>
      <c r="N194" s="46"/>
      <c r="O194" s="46"/>
      <c r="P194" s="46"/>
    </row>
    <row r="195" spans="1:16" ht="15.75" customHeight="1" x14ac:dyDescent="0.2">
      <c r="A195" s="186"/>
      <c r="B195" s="46"/>
      <c r="C195" s="46"/>
      <c r="D195" s="46"/>
      <c r="E195" s="46"/>
      <c r="F195" s="46"/>
      <c r="G195" s="46"/>
      <c r="H195" s="46"/>
      <c r="I195" s="46"/>
      <c r="J195" s="46"/>
      <c r="K195" s="46"/>
      <c r="L195" s="46"/>
      <c r="M195" s="46"/>
      <c r="N195" s="46"/>
      <c r="O195" s="46"/>
      <c r="P195" s="46"/>
    </row>
    <row r="196" spans="1:16" ht="15.75" customHeight="1" x14ac:dyDescent="0.2">
      <c r="A196" s="186"/>
      <c r="B196" s="46"/>
      <c r="C196" s="46"/>
      <c r="D196" s="46"/>
      <c r="E196" s="46"/>
      <c r="F196" s="46"/>
      <c r="G196" s="46"/>
      <c r="H196" s="46"/>
      <c r="I196" s="46"/>
      <c r="J196" s="46"/>
      <c r="K196" s="46"/>
      <c r="L196" s="46"/>
      <c r="M196" s="46"/>
      <c r="N196" s="46"/>
      <c r="O196" s="46"/>
      <c r="P196" s="46"/>
    </row>
    <row r="197" spans="1:16" ht="15.75" customHeight="1" x14ac:dyDescent="0.2">
      <c r="A197" s="186"/>
      <c r="B197" s="46"/>
      <c r="C197" s="46"/>
      <c r="D197" s="46"/>
      <c r="E197" s="46"/>
      <c r="F197" s="46"/>
      <c r="G197" s="46"/>
      <c r="H197" s="46"/>
      <c r="I197" s="46"/>
      <c r="J197" s="46"/>
      <c r="K197" s="46"/>
      <c r="L197" s="46"/>
      <c r="M197" s="46"/>
      <c r="N197" s="46"/>
      <c r="O197" s="46"/>
      <c r="P197" s="46"/>
    </row>
    <row r="198" spans="1:16" ht="15.75" customHeight="1" x14ac:dyDescent="0.2">
      <c r="A198" s="186"/>
      <c r="B198" s="46"/>
      <c r="C198" s="46"/>
      <c r="D198" s="46"/>
      <c r="E198" s="46"/>
      <c r="F198" s="46"/>
      <c r="G198" s="46"/>
      <c r="H198" s="46"/>
      <c r="I198" s="46"/>
      <c r="J198" s="46"/>
      <c r="K198" s="46"/>
      <c r="L198" s="46"/>
      <c r="M198" s="46"/>
      <c r="N198" s="46"/>
      <c r="O198" s="46"/>
      <c r="P198" s="46"/>
    </row>
    <row r="199" spans="1:16" ht="15.75" customHeight="1" x14ac:dyDescent="0.2">
      <c r="A199" s="186"/>
      <c r="B199" s="46"/>
      <c r="C199" s="46"/>
      <c r="D199" s="46"/>
      <c r="E199" s="46"/>
      <c r="F199" s="46"/>
      <c r="G199" s="46"/>
      <c r="H199" s="46"/>
      <c r="I199" s="46"/>
      <c r="J199" s="46"/>
      <c r="K199" s="46"/>
      <c r="L199" s="46"/>
      <c r="M199" s="46"/>
      <c r="N199" s="46"/>
      <c r="O199" s="46"/>
      <c r="P199" s="46"/>
    </row>
    <row r="200" spans="1:16" ht="15.75" customHeight="1" x14ac:dyDescent="0.2">
      <c r="A200" s="186"/>
      <c r="B200" s="46"/>
      <c r="C200" s="46"/>
      <c r="D200" s="46"/>
      <c r="E200" s="46"/>
      <c r="F200" s="46"/>
      <c r="G200" s="46"/>
      <c r="H200" s="46"/>
      <c r="I200" s="46"/>
      <c r="J200" s="46"/>
      <c r="K200" s="46"/>
      <c r="L200" s="46"/>
      <c r="M200" s="46"/>
      <c r="N200" s="46"/>
      <c r="O200" s="46"/>
      <c r="P200" s="46"/>
    </row>
    <row r="201" spans="1:16" ht="15.75" customHeight="1" x14ac:dyDescent="0.2">
      <c r="A201" s="186"/>
      <c r="B201" s="46"/>
      <c r="C201" s="46"/>
      <c r="D201" s="46"/>
      <c r="E201" s="46"/>
      <c r="F201" s="46"/>
      <c r="G201" s="46"/>
      <c r="H201" s="46"/>
      <c r="I201" s="46"/>
      <c r="J201" s="46"/>
      <c r="K201" s="46"/>
      <c r="L201" s="46"/>
      <c r="M201" s="46"/>
      <c r="N201" s="46"/>
      <c r="O201" s="46"/>
      <c r="P201" s="46"/>
    </row>
    <row r="202" spans="1:16" ht="15.75" customHeight="1" x14ac:dyDescent="0.2">
      <c r="A202" s="186"/>
      <c r="B202" s="46"/>
      <c r="C202" s="46"/>
      <c r="D202" s="46"/>
      <c r="E202" s="46"/>
      <c r="F202" s="46"/>
      <c r="G202" s="46"/>
      <c r="H202" s="46"/>
      <c r="I202" s="46"/>
      <c r="J202" s="46"/>
      <c r="K202" s="46"/>
      <c r="L202" s="46"/>
      <c r="M202" s="46"/>
      <c r="N202" s="46"/>
      <c r="O202" s="46"/>
      <c r="P202" s="46"/>
    </row>
    <row r="203" spans="1:16" ht="15.75" customHeight="1" x14ac:dyDescent="0.2">
      <c r="A203" s="186"/>
      <c r="B203" s="46"/>
      <c r="C203" s="46"/>
      <c r="D203" s="46"/>
      <c r="E203" s="46"/>
      <c r="F203" s="46"/>
      <c r="G203" s="46"/>
      <c r="H203" s="46"/>
      <c r="I203" s="46"/>
      <c r="J203" s="46"/>
      <c r="K203" s="46"/>
      <c r="L203" s="46"/>
      <c r="M203" s="46"/>
      <c r="N203" s="46"/>
      <c r="O203" s="46"/>
      <c r="P203" s="46"/>
    </row>
    <row r="204" spans="1:16" ht="15.75" customHeight="1" x14ac:dyDescent="0.2">
      <c r="A204" s="186"/>
      <c r="B204" s="46"/>
      <c r="C204" s="46"/>
      <c r="D204" s="46"/>
      <c r="E204" s="46"/>
      <c r="F204" s="46"/>
      <c r="G204" s="46"/>
      <c r="H204" s="46"/>
      <c r="I204" s="46"/>
      <c r="J204" s="46"/>
      <c r="K204" s="46"/>
      <c r="L204" s="46"/>
      <c r="M204" s="46"/>
      <c r="N204" s="46"/>
      <c r="O204" s="46"/>
      <c r="P204" s="46"/>
    </row>
    <row r="205" spans="1:16" ht="15.75" customHeight="1" x14ac:dyDescent="0.2">
      <c r="A205" s="186"/>
      <c r="B205" s="46"/>
      <c r="C205" s="46"/>
      <c r="D205" s="46"/>
      <c r="E205" s="46"/>
      <c r="F205" s="46"/>
      <c r="G205" s="46"/>
      <c r="H205" s="46"/>
      <c r="I205" s="46"/>
      <c r="J205" s="46"/>
      <c r="K205" s="46"/>
      <c r="L205" s="46"/>
      <c r="M205" s="46"/>
      <c r="N205" s="46"/>
      <c r="O205" s="46"/>
      <c r="P205" s="46"/>
    </row>
    <row r="206" spans="1:16" ht="15.75" customHeight="1" x14ac:dyDescent="0.2">
      <c r="A206" s="186"/>
      <c r="B206" s="46"/>
      <c r="C206" s="46"/>
      <c r="D206" s="46"/>
      <c r="E206" s="46"/>
      <c r="F206" s="46"/>
      <c r="G206" s="46"/>
      <c r="H206" s="46"/>
      <c r="I206" s="46"/>
      <c r="J206" s="46"/>
      <c r="K206" s="46"/>
      <c r="L206" s="46"/>
      <c r="M206" s="46"/>
      <c r="N206" s="46"/>
      <c r="O206" s="46"/>
      <c r="P206" s="46"/>
    </row>
    <row r="207" spans="1:16" ht="15.75" customHeight="1" x14ac:dyDescent="0.2">
      <c r="A207" s="186"/>
      <c r="B207" s="46"/>
      <c r="C207" s="46"/>
      <c r="D207" s="46"/>
      <c r="E207" s="46"/>
      <c r="F207" s="46"/>
      <c r="G207" s="46"/>
      <c r="H207" s="46"/>
      <c r="I207" s="46"/>
      <c r="J207" s="46"/>
      <c r="K207" s="46"/>
      <c r="L207" s="46"/>
      <c r="M207" s="46"/>
      <c r="N207" s="46"/>
      <c r="O207" s="46"/>
      <c r="P207" s="46"/>
    </row>
    <row r="208" spans="1:16" ht="15.75" customHeight="1" x14ac:dyDescent="0.2">
      <c r="A208" s="186"/>
      <c r="B208" s="46"/>
      <c r="C208" s="46"/>
      <c r="D208" s="46"/>
      <c r="E208" s="46"/>
      <c r="F208" s="46"/>
      <c r="G208" s="46"/>
      <c r="H208" s="46"/>
      <c r="I208" s="46"/>
      <c r="J208" s="46"/>
      <c r="K208" s="46"/>
      <c r="L208" s="46"/>
      <c r="M208" s="46"/>
      <c r="N208" s="46"/>
      <c r="O208" s="46"/>
      <c r="P208" s="46"/>
    </row>
    <row r="209" spans="1:16" ht="15.75" customHeight="1" x14ac:dyDescent="0.2">
      <c r="A209" s="186"/>
      <c r="B209" s="46"/>
      <c r="C209" s="46"/>
      <c r="D209" s="46"/>
      <c r="E209" s="46"/>
      <c r="F209" s="46"/>
      <c r="G209" s="46"/>
      <c r="H209" s="46"/>
      <c r="I209" s="46"/>
      <c r="J209" s="46"/>
      <c r="K209" s="46"/>
      <c r="L209" s="46"/>
      <c r="M209" s="46"/>
      <c r="N209" s="46"/>
      <c r="O209" s="46"/>
      <c r="P209" s="46"/>
    </row>
    <row r="210" spans="1:16" ht="15.75" customHeight="1" x14ac:dyDescent="0.2">
      <c r="A210" s="186"/>
      <c r="B210" s="46"/>
      <c r="C210" s="46"/>
      <c r="D210" s="46"/>
      <c r="E210" s="46"/>
      <c r="F210" s="46"/>
      <c r="G210" s="46"/>
      <c r="H210" s="46"/>
      <c r="I210" s="46"/>
      <c r="J210" s="46"/>
      <c r="K210" s="46"/>
      <c r="L210" s="46"/>
      <c r="M210" s="46"/>
      <c r="N210" s="46"/>
      <c r="O210" s="46"/>
      <c r="P210" s="46"/>
    </row>
    <row r="211" spans="1:16" ht="15.75" customHeight="1" x14ac:dyDescent="0.2">
      <c r="A211" s="186"/>
      <c r="B211" s="46"/>
      <c r="C211" s="46"/>
      <c r="D211" s="46"/>
      <c r="E211" s="46"/>
      <c r="F211" s="46"/>
      <c r="G211" s="46"/>
      <c r="H211" s="46"/>
      <c r="I211" s="46"/>
      <c r="J211" s="46"/>
      <c r="K211" s="46"/>
      <c r="L211" s="46"/>
      <c r="M211" s="46"/>
      <c r="N211" s="46"/>
      <c r="O211" s="46"/>
      <c r="P211" s="46"/>
    </row>
    <row r="212" spans="1:16" ht="15.75" customHeight="1" x14ac:dyDescent="0.2">
      <c r="A212" s="186"/>
      <c r="B212" s="46"/>
      <c r="C212" s="46"/>
      <c r="D212" s="46"/>
      <c r="E212" s="46"/>
      <c r="F212" s="46"/>
      <c r="G212" s="46"/>
      <c r="H212" s="46"/>
      <c r="I212" s="46"/>
      <c r="J212" s="46"/>
      <c r="K212" s="46"/>
      <c r="L212" s="46"/>
      <c r="M212" s="46"/>
      <c r="N212" s="46"/>
      <c r="O212" s="46"/>
      <c r="P212" s="46"/>
    </row>
    <row r="213" spans="1:16" ht="15.75" customHeight="1" x14ac:dyDescent="0.2">
      <c r="A213" s="186"/>
      <c r="B213" s="46"/>
      <c r="C213" s="46"/>
      <c r="D213" s="46"/>
      <c r="E213" s="46"/>
      <c r="F213" s="46"/>
      <c r="G213" s="46"/>
      <c r="H213" s="46"/>
      <c r="I213" s="46"/>
      <c r="J213" s="46"/>
      <c r="K213" s="46"/>
      <c r="L213" s="46"/>
      <c r="M213" s="46"/>
      <c r="N213" s="46"/>
      <c r="O213" s="46"/>
      <c r="P213" s="46"/>
    </row>
    <row r="214" spans="1:16" ht="15.75" customHeight="1" x14ac:dyDescent="0.2">
      <c r="A214" s="186"/>
      <c r="B214" s="46"/>
      <c r="C214" s="46"/>
      <c r="D214" s="46"/>
      <c r="E214" s="46"/>
      <c r="F214" s="46"/>
      <c r="G214" s="46"/>
      <c r="H214" s="46"/>
      <c r="I214" s="46"/>
      <c r="J214" s="46"/>
      <c r="K214" s="46"/>
      <c r="L214" s="46"/>
      <c r="M214" s="46"/>
      <c r="N214" s="46"/>
      <c r="O214" s="46"/>
      <c r="P214" s="46"/>
    </row>
    <row r="215" spans="1:16" ht="15.75" customHeight="1" x14ac:dyDescent="0.2">
      <c r="A215" s="186"/>
      <c r="B215" s="46"/>
      <c r="C215" s="46"/>
      <c r="D215" s="46"/>
      <c r="E215" s="46"/>
      <c r="F215" s="46"/>
      <c r="G215" s="46"/>
      <c r="H215" s="46"/>
      <c r="I215" s="46"/>
      <c r="J215" s="46"/>
      <c r="K215" s="46"/>
      <c r="L215" s="46"/>
      <c r="M215" s="46"/>
      <c r="N215" s="46"/>
      <c r="O215" s="46"/>
      <c r="P215" s="46"/>
    </row>
    <row r="216" spans="1:16" ht="15.75" customHeight="1" x14ac:dyDescent="0.2">
      <c r="A216" s="186"/>
      <c r="B216" s="46"/>
      <c r="C216" s="46"/>
      <c r="D216" s="46"/>
      <c r="E216" s="46"/>
      <c r="F216" s="46"/>
      <c r="G216" s="46"/>
      <c r="H216" s="46"/>
      <c r="I216" s="46"/>
      <c r="J216" s="46"/>
      <c r="K216" s="46"/>
      <c r="L216" s="46"/>
      <c r="M216" s="46"/>
      <c r="N216" s="46"/>
      <c r="O216" s="46"/>
      <c r="P216" s="46"/>
    </row>
    <row r="217" spans="1:16" ht="15.75" customHeight="1" x14ac:dyDescent="0.2">
      <c r="A217" s="186"/>
      <c r="B217" s="46"/>
      <c r="C217" s="46"/>
      <c r="D217" s="46"/>
      <c r="E217" s="46"/>
      <c r="F217" s="46"/>
      <c r="G217" s="46"/>
      <c r="H217" s="46"/>
      <c r="I217" s="46"/>
      <c r="J217" s="46"/>
      <c r="K217" s="46"/>
      <c r="L217" s="46"/>
      <c r="M217" s="46"/>
      <c r="N217" s="46"/>
      <c r="O217" s="46"/>
      <c r="P217" s="46"/>
    </row>
    <row r="218" spans="1:16" ht="15.75" customHeight="1" x14ac:dyDescent="0.2">
      <c r="A218" s="186"/>
      <c r="B218" s="46"/>
      <c r="C218" s="46"/>
      <c r="D218" s="46"/>
      <c r="E218" s="46"/>
      <c r="F218" s="46"/>
      <c r="G218" s="46"/>
      <c r="H218" s="46"/>
      <c r="I218" s="46"/>
      <c r="J218" s="46"/>
      <c r="K218" s="46"/>
      <c r="L218" s="46"/>
      <c r="M218" s="46"/>
      <c r="N218" s="46"/>
      <c r="O218" s="46"/>
      <c r="P218" s="46"/>
    </row>
    <row r="219" spans="1:16" ht="15.75" customHeight="1" x14ac:dyDescent="0.2">
      <c r="A219" s="186"/>
      <c r="B219" s="46"/>
      <c r="C219" s="46"/>
      <c r="D219" s="46"/>
      <c r="E219" s="46"/>
      <c r="F219" s="46"/>
      <c r="G219" s="46"/>
      <c r="H219" s="46"/>
      <c r="I219" s="46"/>
      <c r="J219" s="46"/>
      <c r="K219" s="46"/>
      <c r="L219" s="46"/>
      <c r="M219" s="46"/>
      <c r="N219" s="46"/>
      <c r="O219" s="46"/>
      <c r="P219" s="46"/>
    </row>
    <row r="220" spans="1:16" ht="15.75" customHeight="1" x14ac:dyDescent="0.2">
      <c r="A220" s="186"/>
      <c r="B220" s="46"/>
      <c r="C220" s="46"/>
      <c r="D220" s="46"/>
      <c r="E220" s="46"/>
      <c r="F220" s="46"/>
      <c r="G220" s="46"/>
      <c r="H220" s="46"/>
      <c r="I220" s="46"/>
      <c r="J220" s="46"/>
      <c r="K220" s="46"/>
      <c r="L220" s="46"/>
      <c r="M220" s="46"/>
      <c r="N220" s="46"/>
      <c r="O220" s="46"/>
      <c r="P220" s="46"/>
    </row>
    <row r="221" spans="1:16" ht="15.75" customHeight="1" x14ac:dyDescent="0.2">
      <c r="B221" s="59"/>
      <c r="D221" s="59"/>
      <c r="E221" s="59"/>
      <c r="G221" s="59"/>
      <c r="H221" s="59"/>
    </row>
    <row r="222" spans="1:16" ht="15.75" customHeight="1" x14ac:dyDescent="0.2">
      <c r="B222" s="59"/>
      <c r="D222" s="59"/>
      <c r="E222" s="59"/>
      <c r="G222" s="59"/>
      <c r="H222" s="59"/>
    </row>
    <row r="223" spans="1:16" ht="15.75" customHeight="1" x14ac:dyDescent="0.2">
      <c r="B223" s="59"/>
      <c r="D223" s="59"/>
      <c r="E223" s="59"/>
      <c r="G223" s="59"/>
      <c r="H223" s="59"/>
    </row>
    <row r="224" spans="1:16" ht="15.75" customHeight="1" x14ac:dyDescent="0.2">
      <c r="B224" s="59"/>
      <c r="D224" s="59"/>
      <c r="E224" s="59"/>
      <c r="G224" s="59"/>
      <c r="H224" s="59"/>
    </row>
    <row r="225" spans="2:8" ht="15.75" customHeight="1" x14ac:dyDescent="0.2">
      <c r="B225" s="59"/>
      <c r="D225" s="59"/>
      <c r="E225" s="59"/>
      <c r="G225" s="59"/>
      <c r="H225" s="59"/>
    </row>
    <row r="226" spans="2:8" ht="15.75" customHeight="1" x14ac:dyDescent="0.2">
      <c r="B226" s="59"/>
      <c r="D226" s="59"/>
      <c r="E226" s="59"/>
      <c r="G226" s="59"/>
      <c r="H226" s="59"/>
    </row>
    <row r="227" spans="2:8" ht="15.75" customHeight="1" x14ac:dyDescent="0.2">
      <c r="B227" s="59"/>
      <c r="D227" s="59"/>
      <c r="E227" s="59"/>
      <c r="G227" s="59"/>
      <c r="H227" s="59"/>
    </row>
    <row r="228" spans="2:8" ht="15.75" customHeight="1" x14ac:dyDescent="0.2">
      <c r="B228" s="59"/>
      <c r="D228" s="59"/>
      <c r="E228" s="59"/>
      <c r="G228" s="59"/>
      <c r="H228" s="59"/>
    </row>
    <row r="229" spans="2:8" ht="15.75" customHeight="1" x14ac:dyDescent="0.2">
      <c r="B229" s="59"/>
      <c r="D229" s="59"/>
      <c r="E229" s="59"/>
      <c r="G229" s="59"/>
      <c r="H229" s="59"/>
    </row>
    <row r="230" spans="2:8" ht="15.75" customHeight="1" x14ac:dyDescent="0.2">
      <c r="B230" s="59"/>
      <c r="D230" s="59"/>
      <c r="E230" s="59"/>
      <c r="G230" s="59"/>
      <c r="H230" s="59"/>
    </row>
    <row r="231" spans="2:8" ht="15.75" customHeight="1" x14ac:dyDescent="0.2">
      <c r="B231" s="59"/>
      <c r="D231" s="59"/>
      <c r="E231" s="59"/>
      <c r="G231" s="59"/>
      <c r="H231" s="59"/>
    </row>
    <row r="232" spans="2:8" ht="15.75" customHeight="1" x14ac:dyDescent="0.2">
      <c r="B232" s="59"/>
      <c r="D232" s="59"/>
      <c r="E232" s="59"/>
      <c r="G232" s="59"/>
      <c r="H232" s="59"/>
    </row>
    <row r="233" spans="2:8" ht="15.75" customHeight="1" x14ac:dyDescent="0.2">
      <c r="B233" s="59"/>
      <c r="D233" s="59"/>
      <c r="E233" s="59"/>
      <c r="G233" s="59"/>
      <c r="H233" s="59"/>
    </row>
    <row r="234" spans="2:8" ht="15.75" customHeight="1" x14ac:dyDescent="0.2">
      <c r="B234" s="59"/>
      <c r="D234" s="59"/>
      <c r="E234" s="59"/>
      <c r="G234" s="59"/>
      <c r="H234" s="59"/>
    </row>
    <row r="235" spans="2:8" ht="15.75" customHeight="1" x14ac:dyDescent="0.2">
      <c r="B235" s="59"/>
      <c r="D235" s="59"/>
      <c r="E235" s="59"/>
      <c r="G235" s="59"/>
      <c r="H235" s="59"/>
    </row>
    <row r="236" spans="2:8" ht="15.75" customHeight="1" x14ac:dyDescent="0.2">
      <c r="B236" s="59"/>
      <c r="D236" s="59"/>
      <c r="E236" s="59"/>
      <c r="G236" s="59"/>
      <c r="H236" s="59"/>
    </row>
    <row r="237" spans="2:8" ht="15.75" customHeight="1" x14ac:dyDescent="0.2">
      <c r="B237" s="59"/>
      <c r="D237" s="59"/>
      <c r="E237" s="59"/>
      <c r="G237" s="59"/>
      <c r="H237" s="59"/>
    </row>
    <row r="238" spans="2:8" ht="15.75" customHeight="1" x14ac:dyDescent="0.2">
      <c r="B238" s="59"/>
      <c r="D238" s="59"/>
      <c r="E238" s="59"/>
      <c r="G238" s="59"/>
      <c r="H238" s="59"/>
    </row>
    <row r="239" spans="2:8" ht="15.75" customHeight="1" x14ac:dyDescent="0.2">
      <c r="B239" s="59"/>
      <c r="D239" s="59"/>
      <c r="E239" s="59"/>
      <c r="G239" s="59"/>
      <c r="H239" s="59"/>
    </row>
    <row r="240" spans="2:8" ht="15.75" customHeight="1" x14ac:dyDescent="0.2">
      <c r="B240" s="59"/>
      <c r="D240" s="59"/>
      <c r="E240" s="59"/>
      <c r="G240" s="59"/>
      <c r="H240" s="59"/>
    </row>
    <row r="241" spans="2:8" ht="15.75" customHeight="1" x14ac:dyDescent="0.2">
      <c r="B241" s="59"/>
      <c r="D241" s="59"/>
      <c r="E241" s="59"/>
      <c r="G241" s="59"/>
      <c r="H241" s="59"/>
    </row>
    <row r="242" spans="2:8" ht="15.75" customHeight="1" x14ac:dyDescent="0.2">
      <c r="B242" s="59"/>
      <c r="D242" s="59"/>
      <c r="E242" s="59"/>
      <c r="G242" s="59"/>
      <c r="H242" s="59"/>
    </row>
    <row r="243" spans="2:8" ht="15.75" customHeight="1" x14ac:dyDescent="0.2">
      <c r="B243" s="59"/>
      <c r="D243" s="59"/>
      <c r="E243" s="59"/>
      <c r="G243" s="59"/>
      <c r="H243" s="59"/>
    </row>
    <row r="244" spans="2:8" ht="15.75" customHeight="1" x14ac:dyDescent="0.2">
      <c r="B244" s="59"/>
      <c r="D244" s="59"/>
      <c r="E244" s="59"/>
      <c r="G244" s="59"/>
      <c r="H244" s="59"/>
    </row>
    <row r="245" spans="2:8" ht="15.75" customHeight="1" x14ac:dyDescent="0.2">
      <c r="B245" s="59"/>
      <c r="D245" s="59"/>
      <c r="E245" s="59"/>
      <c r="G245" s="59"/>
      <c r="H245" s="59"/>
    </row>
    <row r="246" spans="2:8" ht="15.75" customHeight="1" x14ac:dyDescent="0.2">
      <c r="B246" s="59"/>
      <c r="D246" s="59"/>
      <c r="E246" s="59"/>
      <c r="G246" s="59"/>
      <c r="H246" s="59"/>
    </row>
    <row r="247" spans="2:8" ht="15.75" customHeight="1" x14ac:dyDescent="0.2">
      <c r="B247" s="59"/>
      <c r="D247" s="59"/>
      <c r="E247" s="59"/>
      <c r="G247" s="59"/>
      <c r="H247" s="59"/>
    </row>
    <row r="248" spans="2:8" ht="15.75" customHeight="1" x14ac:dyDescent="0.2">
      <c r="B248" s="59"/>
      <c r="D248" s="59"/>
      <c r="E248" s="59"/>
      <c r="G248" s="59"/>
      <c r="H248" s="59"/>
    </row>
    <row r="249" spans="2:8" ht="15.75" customHeight="1" x14ac:dyDescent="0.2">
      <c r="B249" s="59"/>
      <c r="D249" s="59"/>
      <c r="E249" s="59"/>
      <c r="G249" s="59"/>
      <c r="H249" s="59"/>
    </row>
    <row r="250" spans="2:8" ht="15.75" customHeight="1" x14ac:dyDescent="0.2">
      <c r="B250" s="59"/>
      <c r="D250" s="59"/>
      <c r="E250" s="59"/>
      <c r="G250" s="59"/>
      <c r="H250" s="59"/>
    </row>
    <row r="251" spans="2:8" ht="15.75" customHeight="1" x14ac:dyDescent="0.2">
      <c r="B251" s="59"/>
      <c r="D251" s="59"/>
      <c r="E251" s="59"/>
      <c r="G251" s="59"/>
      <c r="H251" s="59"/>
    </row>
    <row r="252" spans="2:8" ht="15.75" customHeight="1" x14ac:dyDescent="0.2">
      <c r="B252" s="59"/>
      <c r="D252" s="59"/>
      <c r="E252" s="59"/>
      <c r="G252" s="59"/>
      <c r="H252" s="59"/>
    </row>
    <row r="253" spans="2:8" ht="15.75" customHeight="1" x14ac:dyDescent="0.2">
      <c r="B253" s="59"/>
      <c r="D253" s="59"/>
      <c r="E253" s="59"/>
      <c r="G253" s="59"/>
      <c r="H253" s="59"/>
    </row>
    <row r="254" spans="2:8" ht="15.75" customHeight="1" x14ac:dyDescent="0.2">
      <c r="B254" s="59"/>
      <c r="D254" s="59"/>
      <c r="E254" s="59"/>
      <c r="G254" s="59"/>
      <c r="H254" s="59"/>
    </row>
    <row r="255" spans="2:8" ht="15.75" customHeight="1" x14ac:dyDescent="0.2">
      <c r="B255" s="59"/>
      <c r="D255" s="59"/>
      <c r="E255" s="59"/>
      <c r="G255" s="59"/>
      <c r="H255" s="59"/>
    </row>
    <row r="256" spans="2:8" ht="15.75" customHeight="1" x14ac:dyDescent="0.2">
      <c r="B256" s="59"/>
      <c r="D256" s="59"/>
      <c r="E256" s="59"/>
      <c r="G256" s="59"/>
      <c r="H256" s="59"/>
    </row>
    <row r="257" spans="2:8" ht="15.75" customHeight="1" x14ac:dyDescent="0.2">
      <c r="B257" s="59"/>
      <c r="D257" s="59"/>
      <c r="E257" s="59"/>
      <c r="G257" s="59"/>
      <c r="H257" s="59"/>
    </row>
    <row r="258" spans="2:8" ht="15.75" customHeight="1" x14ac:dyDescent="0.2">
      <c r="B258" s="59"/>
      <c r="D258" s="59"/>
      <c r="E258" s="59"/>
      <c r="G258" s="59"/>
      <c r="H258" s="59"/>
    </row>
    <row r="259" spans="2:8" ht="15.75" customHeight="1" x14ac:dyDescent="0.2">
      <c r="B259" s="59"/>
      <c r="D259" s="59"/>
      <c r="E259" s="59"/>
      <c r="G259" s="59"/>
      <c r="H259" s="59"/>
    </row>
    <row r="260" spans="2:8" ht="15.75" customHeight="1" x14ac:dyDescent="0.2">
      <c r="B260" s="59"/>
      <c r="D260" s="59"/>
      <c r="E260" s="59"/>
      <c r="G260" s="59"/>
      <c r="H260" s="59"/>
    </row>
    <row r="261" spans="2:8" ht="15.75" customHeight="1" x14ac:dyDescent="0.2">
      <c r="B261" s="59"/>
      <c r="D261" s="59"/>
      <c r="E261" s="59"/>
      <c r="G261" s="59"/>
      <c r="H261" s="59"/>
    </row>
    <row r="262" spans="2:8" ht="15.75" customHeight="1" x14ac:dyDescent="0.2">
      <c r="B262" s="59"/>
      <c r="D262" s="59"/>
      <c r="E262" s="59"/>
      <c r="G262" s="59"/>
      <c r="H262" s="59"/>
    </row>
    <row r="263" spans="2:8" ht="15.75" customHeight="1" x14ac:dyDescent="0.2">
      <c r="B263" s="59"/>
      <c r="D263" s="59"/>
      <c r="E263" s="59"/>
      <c r="G263" s="59"/>
      <c r="H263" s="59"/>
    </row>
    <row r="264" spans="2:8" ht="15.75" customHeight="1" x14ac:dyDescent="0.2">
      <c r="B264" s="59"/>
      <c r="D264" s="59"/>
      <c r="E264" s="59"/>
      <c r="G264" s="59"/>
      <c r="H264" s="59"/>
    </row>
    <row r="265" spans="2:8" ht="15.75" customHeight="1" x14ac:dyDescent="0.2">
      <c r="B265" s="59"/>
      <c r="D265" s="59"/>
      <c r="E265" s="59"/>
      <c r="G265" s="59"/>
      <c r="H265" s="59"/>
    </row>
    <row r="266" spans="2:8" ht="15.75" customHeight="1" x14ac:dyDescent="0.2">
      <c r="B266" s="59"/>
      <c r="D266" s="59"/>
      <c r="E266" s="59"/>
      <c r="G266" s="59"/>
      <c r="H266" s="59"/>
    </row>
    <row r="267" spans="2:8" ht="15.75" customHeight="1" x14ac:dyDescent="0.2">
      <c r="B267" s="59"/>
      <c r="D267" s="59"/>
      <c r="E267" s="59"/>
      <c r="G267" s="59"/>
      <c r="H267" s="59"/>
    </row>
    <row r="268" spans="2:8" ht="15.75" customHeight="1" x14ac:dyDescent="0.2">
      <c r="B268" s="59"/>
      <c r="D268" s="59"/>
      <c r="E268" s="59"/>
      <c r="G268" s="59"/>
      <c r="H268" s="59"/>
    </row>
    <row r="269" spans="2:8" ht="15.75" customHeight="1" x14ac:dyDescent="0.2">
      <c r="B269" s="59"/>
      <c r="D269" s="59"/>
      <c r="E269" s="59"/>
      <c r="G269" s="59"/>
      <c r="H269" s="59"/>
    </row>
    <row r="270" spans="2:8" ht="15.75" customHeight="1" x14ac:dyDescent="0.2">
      <c r="B270" s="59"/>
      <c r="D270" s="59"/>
      <c r="E270" s="59"/>
      <c r="G270" s="59"/>
      <c r="H270" s="59"/>
    </row>
    <row r="271" spans="2:8" ht="15.75" customHeight="1" x14ac:dyDescent="0.2">
      <c r="B271" s="59"/>
      <c r="D271" s="59"/>
      <c r="E271" s="59"/>
      <c r="G271" s="59"/>
      <c r="H271" s="59"/>
    </row>
    <row r="272" spans="2:8" ht="15.75" customHeight="1" x14ac:dyDescent="0.2">
      <c r="B272" s="59"/>
      <c r="D272" s="59"/>
      <c r="E272" s="59"/>
      <c r="G272" s="59"/>
      <c r="H272" s="59"/>
    </row>
    <row r="273" spans="2:8" ht="15.75" customHeight="1" x14ac:dyDescent="0.2">
      <c r="B273" s="59"/>
      <c r="D273" s="59"/>
      <c r="E273" s="59"/>
      <c r="G273" s="59"/>
      <c r="H273" s="59"/>
    </row>
    <row r="274" spans="2:8" ht="15.75" customHeight="1" x14ac:dyDescent="0.2">
      <c r="B274" s="59"/>
      <c r="D274" s="59"/>
      <c r="E274" s="59"/>
      <c r="G274" s="59"/>
      <c r="H274" s="59"/>
    </row>
    <row r="275" spans="2:8" ht="15.75" customHeight="1" x14ac:dyDescent="0.2">
      <c r="B275" s="59"/>
      <c r="D275" s="59"/>
      <c r="E275" s="59"/>
      <c r="G275" s="59"/>
      <c r="H275" s="59"/>
    </row>
    <row r="276" spans="2:8" ht="15.75" customHeight="1" x14ac:dyDescent="0.2">
      <c r="B276" s="59"/>
      <c r="D276" s="59"/>
      <c r="E276" s="59"/>
      <c r="G276" s="59"/>
      <c r="H276" s="59"/>
    </row>
    <row r="277" spans="2:8" ht="15.75" customHeight="1" x14ac:dyDescent="0.2">
      <c r="B277" s="59"/>
      <c r="D277" s="59"/>
      <c r="E277" s="59"/>
      <c r="G277" s="59"/>
      <c r="H277" s="59"/>
    </row>
    <row r="278" spans="2:8" ht="15.75" customHeight="1" x14ac:dyDescent="0.2">
      <c r="B278" s="59"/>
      <c r="D278" s="59"/>
      <c r="E278" s="59"/>
      <c r="G278" s="59"/>
      <c r="H278" s="59"/>
    </row>
    <row r="279" spans="2:8" ht="15.75" customHeight="1" x14ac:dyDescent="0.2">
      <c r="B279" s="59"/>
      <c r="D279" s="59"/>
      <c r="E279" s="59"/>
      <c r="G279" s="59"/>
      <c r="H279" s="59"/>
    </row>
    <row r="280" spans="2:8" ht="15.75" customHeight="1" x14ac:dyDescent="0.2">
      <c r="B280" s="59"/>
      <c r="D280" s="59"/>
      <c r="E280" s="59"/>
      <c r="G280" s="59"/>
      <c r="H280" s="59"/>
    </row>
    <row r="281" spans="2:8" ht="15.75" customHeight="1" x14ac:dyDescent="0.2">
      <c r="B281" s="59"/>
      <c r="D281" s="59"/>
      <c r="E281" s="59"/>
      <c r="G281" s="59"/>
      <c r="H281" s="59"/>
    </row>
    <row r="282" spans="2:8" ht="15.75" customHeight="1" x14ac:dyDescent="0.2">
      <c r="B282" s="59"/>
      <c r="D282" s="59"/>
      <c r="E282" s="59"/>
      <c r="G282" s="59"/>
      <c r="H282" s="59"/>
    </row>
    <row r="283" spans="2:8" ht="15.75" customHeight="1" x14ac:dyDescent="0.2">
      <c r="B283" s="59"/>
      <c r="D283" s="59"/>
      <c r="E283" s="59"/>
      <c r="G283" s="59"/>
      <c r="H283" s="59"/>
    </row>
    <row r="284" spans="2:8" ht="15.75" customHeight="1" x14ac:dyDescent="0.2">
      <c r="B284" s="59"/>
      <c r="D284" s="59"/>
      <c r="E284" s="59"/>
      <c r="G284" s="59"/>
      <c r="H284" s="59"/>
    </row>
    <row r="285" spans="2:8" ht="15.75" customHeight="1" x14ac:dyDescent="0.2">
      <c r="B285" s="59"/>
      <c r="D285" s="59"/>
      <c r="E285" s="59"/>
      <c r="G285" s="59"/>
      <c r="H285" s="59"/>
    </row>
    <row r="286" spans="2:8" ht="15.75" customHeight="1" x14ac:dyDescent="0.2">
      <c r="B286" s="59"/>
      <c r="D286" s="59"/>
      <c r="E286" s="59"/>
      <c r="G286" s="59"/>
      <c r="H286" s="59"/>
    </row>
    <row r="287" spans="2:8" ht="15.75" customHeight="1" x14ac:dyDescent="0.2">
      <c r="B287" s="59"/>
      <c r="D287" s="59"/>
      <c r="E287" s="59"/>
      <c r="G287" s="59"/>
      <c r="H287" s="59"/>
    </row>
    <row r="288" spans="2:8" ht="15.75" customHeight="1" x14ac:dyDescent="0.2">
      <c r="B288" s="59"/>
      <c r="D288" s="59"/>
      <c r="E288" s="59"/>
      <c r="G288" s="59"/>
      <c r="H288" s="59"/>
    </row>
    <row r="289" spans="2:8" ht="15.75" customHeight="1" x14ac:dyDescent="0.2">
      <c r="B289" s="59"/>
      <c r="D289" s="59"/>
      <c r="E289" s="59"/>
      <c r="G289" s="59"/>
      <c r="H289" s="59"/>
    </row>
    <row r="290" spans="2:8" ht="15.75" customHeight="1" x14ac:dyDescent="0.2">
      <c r="B290" s="59"/>
      <c r="D290" s="59"/>
      <c r="E290" s="59"/>
      <c r="G290" s="59"/>
      <c r="H290" s="59"/>
    </row>
    <row r="291" spans="2:8" ht="15.75" customHeight="1" x14ac:dyDescent="0.2">
      <c r="B291" s="59"/>
      <c r="D291" s="59"/>
      <c r="E291" s="59"/>
      <c r="G291" s="59"/>
      <c r="H291" s="59"/>
    </row>
    <row r="292" spans="2:8" ht="15.75" customHeight="1" x14ac:dyDescent="0.2">
      <c r="B292" s="59"/>
      <c r="D292" s="59"/>
      <c r="E292" s="59"/>
      <c r="G292" s="59"/>
      <c r="H292" s="59"/>
    </row>
    <row r="293" spans="2:8" ht="15.75" customHeight="1" x14ac:dyDescent="0.2">
      <c r="B293" s="59"/>
      <c r="D293" s="59"/>
      <c r="E293" s="59"/>
      <c r="G293" s="59"/>
      <c r="H293" s="59"/>
    </row>
    <row r="294" spans="2:8" ht="15.75" customHeight="1" x14ac:dyDescent="0.2">
      <c r="B294" s="59"/>
      <c r="D294" s="59"/>
      <c r="E294" s="59"/>
      <c r="G294" s="59"/>
      <c r="H294" s="59"/>
    </row>
    <row r="295" spans="2:8" ht="15.75" customHeight="1" x14ac:dyDescent="0.2">
      <c r="B295" s="59"/>
      <c r="D295" s="59"/>
      <c r="E295" s="59"/>
      <c r="G295" s="59"/>
      <c r="H295" s="59"/>
    </row>
    <row r="296" spans="2:8" ht="15.75" customHeight="1" x14ac:dyDescent="0.2">
      <c r="B296" s="59"/>
      <c r="D296" s="59"/>
      <c r="E296" s="59"/>
      <c r="G296" s="59"/>
      <c r="H296" s="59"/>
    </row>
    <row r="297" spans="2:8" ht="15.75" customHeight="1" x14ac:dyDescent="0.2">
      <c r="B297" s="59"/>
      <c r="D297" s="59"/>
      <c r="E297" s="59"/>
      <c r="G297" s="59"/>
      <c r="H297" s="59"/>
    </row>
    <row r="298" spans="2:8" ht="15.75" customHeight="1" x14ac:dyDescent="0.2">
      <c r="B298" s="59"/>
      <c r="D298" s="59"/>
      <c r="E298" s="59"/>
      <c r="G298" s="59"/>
      <c r="H298" s="59"/>
    </row>
    <row r="299" spans="2:8" ht="15.75" customHeight="1" x14ac:dyDescent="0.2">
      <c r="B299" s="59"/>
      <c r="D299" s="59"/>
      <c r="E299" s="59"/>
      <c r="G299" s="59"/>
      <c r="H299" s="59"/>
    </row>
    <row r="300" spans="2:8" ht="15.75" customHeight="1" x14ac:dyDescent="0.2">
      <c r="B300" s="59"/>
      <c r="D300" s="59"/>
      <c r="E300" s="59"/>
      <c r="G300" s="59"/>
      <c r="H300" s="59"/>
    </row>
    <row r="301" spans="2:8" ht="15.75" customHeight="1" x14ac:dyDescent="0.2">
      <c r="B301" s="59"/>
      <c r="D301" s="59"/>
      <c r="E301" s="59"/>
      <c r="G301" s="59"/>
      <c r="H301" s="59"/>
    </row>
    <row r="302" spans="2:8" ht="15.75" customHeight="1" x14ac:dyDescent="0.2">
      <c r="B302" s="59"/>
      <c r="D302" s="59"/>
      <c r="E302" s="59"/>
      <c r="G302" s="59"/>
      <c r="H302" s="59"/>
    </row>
    <row r="303" spans="2:8" ht="15.75" customHeight="1" x14ac:dyDescent="0.2">
      <c r="B303" s="59"/>
      <c r="D303" s="59"/>
      <c r="E303" s="59"/>
      <c r="G303" s="59"/>
      <c r="H303" s="59"/>
    </row>
    <row r="304" spans="2:8" ht="15.75" customHeight="1" x14ac:dyDescent="0.2">
      <c r="B304" s="59"/>
      <c r="D304" s="59"/>
      <c r="E304" s="59"/>
      <c r="G304" s="59"/>
      <c r="H304" s="59"/>
    </row>
    <row r="305" spans="2:8" ht="15.75" customHeight="1" x14ac:dyDescent="0.2">
      <c r="B305" s="59"/>
      <c r="D305" s="59"/>
      <c r="E305" s="59"/>
      <c r="G305" s="59"/>
      <c r="H305" s="59"/>
    </row>
    <row r="306" spans="2:8" ht="15.75" customHeight="1" x14ac:dyDescent="0.2">
      <c r="B306" s="59"/>
      <c r="D306" s="59"/>
      <c r="E306" s="59"/>
      <c r="G306" s="59"/>
      <c r="H306" s="59"/>
    </row>
    <row r="307" spans="2:8" ht="15.75" customHeight="1" x14ac:dyDescent="0.2">
      <c r="B307" s="59"/>
      <c r="D307" s="59"/>
      <c r="E307" s="59"/>
      <c r="G307" s="59"/>
      <c r="H307" s="59"/>
    </row>
    <row r="308" spans="2:8" ht="15.75" customHeight="1" x14ac:dyDescent="0.2">
      <c r="B308" s="59"/>
      <c r="D308" s="59"/>
      <c r="E308" s="59"/>
      <c r="G308" s="59"/>
      <c r="H308" s="59"/>
    </row>
    <row r="309" spans="2:8" ht="15.75" customHeight="1" x14ac:dyDescent="0.2">
      <c r="B309" s="59"/>
      <c r="D309" s="59"/>
      <c r="E309" s="59"/>
      <c r="G309" s="59"/>
      <c r="H309" s="59"/>
    </row>
    <row r="310" spans="2:8" ht="15.75" customHeight="1" x14ac:dyDescent="0.2">
      <c r="B310" s="59"/>
      <c r="D310" s="59"/>
      <c r="E310" s="59"/>
      <c r="G310" s="59"/>
      <c r="H310" s="59"/>
    </row>
    <row r="311" spans="2:8" ht="15.75" customHeight="1" x14ac:dyDescent="0.2">
      <c r="B311" s="59"/>
      <c r="D311" s="59"/>
      <c r="E311" s="59"/>
      <c r="G311" s="59"/>
      <c r="H311" s="59"/>
    </row>
    <row r="312" spans="2:8" ht="15.75" customHeight="1" x14ac:dyDescent="0.2">
      <c r="B312" s="59"/>
      <c r="D312" s="59"/>
      <c r="E312" s="59"/>
      <c r="G312" s="59"/>
      <c r="H312" s="59"/>
    </row>
    <row r="313" spans="2:8" ht="15.75" customHeight="1" x14ac:dyDescent="0.2">
      <c r="B313" s="59"/>
      <c r="D313" s="59"/>
      <c r="E313" s="59"/>
      <c r="G313" s="59"/>
      <c r="H313" s="59"/>
    </row>
    <row r="314" spans="2:8" ht="15.75" customHeight="1" x14ac:dyDescent="0.2">
      <c r="B314" s="59"/>
      <c r="D314" s="59"/>
      <c r="E314" s="59"/>
      <c r="G314" s="59"/>
      <c r="H314" s="59"/>
    </row>
    <row r="315" spans="2:8" ht="15.75" customHeight="1" x14ac:dyDescent="0.2">
      <c r="B315" s="59"/>
      <c r="D315" s="59"/>
      <c r="E315" s="59"/>
      <c r="G315" s="59"/>
      <c r="H315" s="59"/>
    </row>
    <row r="316" spans="2:8" ht="15.75" customHeight="1" x14ac:dyDescent="0.2">
      <c r="B316" s="59"/>
      <c r="D316" s="59"/>
      <c r="E316" s="59"/>
      <c r="G316" s="59"/>
      <c r="H316" s="59"/>
    </row>
    <row r="317" spans="2:8" ht="15.75" customHeight="1" x14ac:dyDescent="0.2">
      <c r="B317" s="59"/>
      <c r="D317" s="59"/>
      <c r="E317" s="59"/>
      <c r="G317" s="59"/>
      <c r="H317" s="59"/>
    </row>
    <row r="318" spans="2:8" ht="15.75" customHeight="1" x14ac:dyDescent="0.2">
      <c r="B318" s="59"/>
      <c r="D318" s="59"/>
      <c r="E318" s="59"/>
      <c r="G318" s="59"/>
      <c r="H318" s="59"/>
    </row>
    <row r="319" spans="2:8" ht="15.75" customHeight="1" x14ac:dyDescent="0.2">
      <c r="B319" s="59"/>
      <c r="D319" s="59"/>
      <c r="E319" s="59"/>
      <c r="G319" s="59"/>
      <c r="H319" s="59"/>
    </row>
    <row r="320" spans="2:8" ht="15.75" customHeight="1" x14ac:dyDescent="0.2">
      <c r="B320" s="59"/>
      <c r="D320" s="59"/>
      <c r="E320" s="59"/>
      <c r="G320" s="59"/>
      <c r="H320" s="59"/>
    </row>
    <row r="321" spans="2:8" ht="15.75" customHeight="1" x14ac:dyDescent="0.2">
      <c r="B321" s="59"/>
      <c r="D321" s="59"/>
      <c r="E321" s="59"/>
      <c r="G321" s="59"/>
      <c r="H321" s="59"/>
    </row>
    <row r="322" spans="2:8" ht="15.75" customHeight="1" x14ac:dyDescent="0.2">
      <c r="B322" s="59"/>
      <c r="D322" s="59"/>
      <c r="E322" s="59"/>
      <c r="G322" s="59"/>
      <c r="H322" s="59"/>
    </row>
    <row r="323" spans="2:8" ht="15.75" customHeight="1" x14ac:dyDescent="0.2">
      <c r="B323" s="59"/>
      <c r="D323" s="59"/>
      <c r="E323" s="59"/>
      <c r="G323" s="59"/>
      <c r="H323" s="59"/>
    </row>
    <row r="324" spans="2:8" ht="15.75" customHeight="1" x14ac:dyDescent="0.2">
      <c r="B324" s="59"/>
      <c r="D324" s="59"/>
      <c r="E324" s="59"/>
      <c r="G324" s="59"/>
      <c r="H324" s="59"/>
    </row>
    <row r="325" spans="2:8" ht="15.75" customHeight="1" x14ac:dyDescent="0.2">
      <c r="B325" s="59"/>
      <c r="D325" s="59"/>
      <c r="E325" s="59"/>
      <c r="G325" s="59"/>
      <c r="H325" s="59"/>
    </row>
    <row r="326" spans="2:8" ht="15.75" customHeight="1" x14ac:dyDescent="0.2">
      <c r="B326" s="59"/>
      <c r="D326" s="59"/>
      <c r="E326" s="59"/>
      <c r="G326" s="59"/>
      <c r="H326" s="59"/>
    </row>
    <row r="327" spans="2:8" ht="15.75" customHeight="1" x14ac:dyDescent="0.2">
      <c r="B327" s="59"/>
      <c r="D327" s="59"/>
      <c r="E327" s="59"/>
      <c r="G327" s="59"/>
      <c r="H327" s="59"/>
    </row>
    <row r="328" spans="2:8" ht="15.75" customHeight="1" x14ac:dyDescent="0.2">
      <c r="B328" s="59"/>
      <c r="D328" s="59"/>
      <c r="E328" s="59"/>
      <c r="G328" s="59"/>
      <c r="H328" s="59"/>
    </row>
    <row r="329" spans="2:8" ht="15.75" customHeight="1" x14ac:dyDescent="0.2">
      <c r="B329" s="59"/>
      <c r="D329" s="59"/>
      <c r="E329" s="59"/>
      <c r="G329" s="59"/>
      <c r="H329" s="59"/>
    </row>
    <row r="330" spans="2:8" ht="15.75" customHeight="1" x14ac:dyDescent="0.2">
      <c r="B330" s="59"/>
      <c r="D330" s="59"/>
      <c r="E330" s="59"/>
      <c r="G330" s="59"/>
      <c r="H330" s="59"/>
    </row>
    <row r="331" spans="2:8" ht="15.75" customHeight="1" x14ac:dyDescent="0.2">
      <c r="B331" s="59"/>
      <c r="D331" s="59"/>
      <c r="E331" s="59"/>
      <c r="G331" s="59"/>
      <c r="H331" s="59"/>
    </row>
    <row r="332" spans="2:8" ht="15.75" customHeight="1" x14ac:dyDescent="0.2">
      <c r="B332" s="59"/>
      <c r="D332" s="59"/>
      <c r="E332" s="59"/>
      <c r="G332" s="59"/>
      <c r="H332" s="59"/>
    </row>
    <row r="333" spans="2:8" ht="15.75" customHeight="1" x14ac:dyDescent="0.2">
      <c r="B333" s="59"/>
      <c r="D333" s="59"/>
      <c r="E333" s="59"/>
      <c r="G333" s="59"/>
      <c r="H333" s="59"/>
    </row>
    <row r="334" spans="2:8" ht="15.75" customHeight="1" x14ac:dyDescent="0.2">
      <c r="B334" s="59"/>
      <c r="D334" s="59"/>
      <c r="E334" s="59"/>
      <c r="G334" s="59"/>
      <c r="H334" s="59"/>
    </row>
    <row r="335" spans="2:8" ht="15.75" customHeight="1" x14ac:dyDescent="0.2">
      <c r="B335" s="59"/>
      <c r="D335" s="59"/>
      <c r="E335" s="59"/>
      <c r="G335" s="59"/>
      <c r="H335" s="59"/>
    </row>
    <row r="336" spans="2:8" ht="15.75" customHeight="1" x14ac:dyDescent="0.2">
      <c r="B336" s="59"/>
      <c r="D336" s="59"/>
      <c r="E336" s="59"/>
      <c r="G336" s="59"/>
      <c r="H336" s="59"/>
    </row>
    <row r="337" spans="2:8" ht="15.75" customHeight="1" x14ac:dyDescent="0.2">
      <c r="B337" s="59"/>
      <c r="D337" s="59"/>
      <c r="E337" s="59"/>
      <c r="G337" s="59"/>
      <c r="H337" s="59"/>
    </row>
    <row r="338" spans="2:8" ht="15.75" customHeight="1" x14ac:dyDescent="0.2">
      <c r="B338" s="59"/>
      <c r="D338" s="59"/>
      <c r="E338" s="59"/>
      <c r="G338" s="59"/>
      <c r="H338" s="59"/>
    </row>
    <row r="339" spans="2:8" ht="15.75" customHeight="1" x14ac:dyDescent="0.2">
      <c r="B339" s="59"/>
      <c r="D339" s="59"/>
      <c r="E339" s="59"/>
      <c r="G339" s="59"/>
      <c r="H339" s="59"/>
    </row>
    <row r="340" spans="2:8" ht="15.75" customHeight="1" x14ac:dyDescent="0.2">
      <c r="B340" s="59"/>
      <c r="D340" s="59"/>
      <c r="E340" s="59"/>
      <c r="G340" s="59"/>
      <c r="H340" s="59"/>
    </row>
    <row r="341" spans="2:8" ht="15.75" customHeight="1" x14ac:dyDescent="0.2">
      <c r="B341" s="59"/>
      <c r="D341" s="59"/>
      <c r="E341" s="59"/>
      <c r="G341" s="59"/>
      <c r="H341" s="59"/>
    </row>
    <row r="342" spans="2:8" ht="15.75" customHeight="1" x14ac:dyDescent="0.2">
      <c r="B342" s="59"/>
      <c r="D342" s="59"/>
      <c r="E342" s="59"/>
      <c r="G342" s="59"/>
      <c r="H342" s="59"/>
    </row>
    <row r="343" spans="2:8" ht="15.75" customHeight="1" x14ac:dyDescent="0.2">
      <c r="B343" s="59"/>
      <c r="D343" s="59"/>
      <c r="E343" s="59"/>
      <c r="G343" s="59"/>
      <c r="H343" s="59"/>
    </row>
    <row r="344" spans="2:8" ht="15.75" customHeight="1" x14ac:dyDescent="0.2">
      <c r="B344" s="59"/>
      <c r="D344" s="59"/>
      <c r="E344" s="59"/>
      <c r="G344" s="59"/>
      <c r="H344" s="59"/>
    </row>
    <row r="345" spans="2:8" ht="15.75" customHeight="1" x14ac:dyDescent="0.2">
      <c r="B345" s="59"/>
      <c r="D345" s="59"/>
      <c r="E345" s="59"/>
      <c r="G345" s="59"/>
      <c r="H345" s="59"/>
    </row>
    <row r="346" spans="2:8" ht="15.75" customHeight="1" x14ac:dyDescent="0.2">
      <c r="B346" s="59"/>
      <c r="D346" s="59"/>
      <c r="E346" s="59"/>
      <c r="G346" s="59"/>
      <c r="H346" s="59"/>
    </row>
    <row r="347" spans="2:8" ht="15.75" customHeight="1" x14ac:dyDescent="0.2">
      <c r="B347" s="59"/>
      <c r="D347" s="59"/>
      <c r="E347" s="59"/>
      <c r="G347" s="59"/>
      <c r="H347" s="59"/>
    </row>
    <row r="348" spans="2:8" ht="15.75" customHeight="1" x14ac:dyDescent="0.2">
      <c r="B348" s="59"/>
      <c r="D348" s="59"/>
      <c r="E348" s="59"/>
      <c r="G348" s="59"/>
      <c r="H348" s="59"/>
    </row>
    <row r="349" spans="2:8" ht="15.75" customHeight="1" x14ac:dyDescent="0.2">
      <c r="B349" s="59"/>
      <c r="D349" s="59"/>
      <c r="E349" s="59"/>
      <c r="G349" s="59"/>
      <c r="H349" s="59"/>
    </row>
    <row r="350" spans="2:8" ht="15.75" customHeight="1" x14ac:dyDescent="0.2">
      <c r="B350" s="59"/>
      <c r="D350" s="59"/>
      <c r="E350" s="59"/>
      <c r="G350" s="59"/>
      <c r="H350" s="59"/>
    </row>
    <row r="351" spans="2:8" ht="15.75" customHeight="1" x14ac:dyDescent="0.2">
      <c r="B351" s="59"/>
      <c r="D351" s="59"/>
      <c r="E351" s="59"/>
      <c r="G351" s="59"/>
      <c r="H351" s="59"/>
    </row>
    <row r="352" spans="2:8" ht="15.75" customHeight="1" x14ac:dyDescent="0.2">
      <c r="B352" s="59"/>
      <c r="D352" s="59"/>
      <c r="E352" s="59"/>
      <c r="G352" s="59"/>
      <c r="H352" s="59"/>
    </row>
    <row r="353" spans="2:8" ht="15.75" customHeight="1" x14ac:dyDescent="0.2">
      <c r="B353" s="59"/>
      <c r="D353" s="59"/>
      <c r="E353" s="59"/>
      <c r="G353" s="59"/>
      <c r="H353" s="59"/>
    </row>
    <row r="354" spans="2:8" ht="15.75" customHeight="1" x14ac:dyDescent="0.2">
      <c r="B354" s="59"/>
      <c r="D354" s="59"/>
      <c r="E354" s="59"/>
      <c r="G354" s="59"/>
      <c r="H354" s="59"/>
    </row>
    <row r="355" spans="2:8" ht="15.75" customHeight="1" x14ac:dyDescent="0.2">
      <c r="B355" s="59"/>
      <c r="D355" s="59"/>
      <c r="E355" s="59"/>
      <c r="G355" s="59"/>
      <c r="H355" s="59"/>
    </row>
    <row r="356" spans="2:8" ht="15.75" customHeight="1" x14ac:dyDescent="0.2">
      <c r="B356" s="59"/>
      <c r="D356" s="59"/>
      <c r="E356" s="59"/>
      <c r="G356" s="59"/>
      <c r="H356" s="59"/>
    </row>
    <row r="357" spans="2:8" ht="15.75" customHeight="1" x14ac:dyDescent="0.2">
      <c r="B357" s="59"/>
      <c r="D357" s="59"/>
      <c r="E357" s="59"/>
      <c r="G357" s="59"/>
      <c r="H357" s="59"/>
    </row>
    <row r="358" spans="2:8" ht="15.75" customHeight="1" x14ac:dyDescent="0.2">
      <c r="B358" s="59"/>
      <c r="D358" s="59"/>
      <c r="E358" s="59"/>
      <c r="G358" s="59"/>
      <c r="H358" s="59"/>
    </row>
    <row r="359" spans="2:8" ht="15.75" customHeight="1" x14ac:dyDescent="0.2">
      <c r="B359" s="59"/>
      <c r="D359" s="59"/>
      <c r="E359" s="59"/>
      <c r="G359" s="59"/>
      <c r="H359" s="59"/>
    </row>
    <row r="360" spans="2:8" ht="15.75" customHeight="1" x14ac:dyDescent="0.2">
      <c r="B360" s="59"/>
      <c r="D360" s="59"/>
      <c r="E360" s="59"/>
      <c r="G360" s="59"/>
      <c r="H360" s="59"/>
    </row>
    <row r="361" spans="2:8" ht="15.75" customHeight="1" x14ac:dyDescent="0.2">
      <c r="B361" s="59"/>
      <c r="D361" s="59"/>
      <c r="E361" s="59"/>
      <c r="G361" s="59"/>
      <c r="H361" s="59"/>
    </row>
    <row r="362" spans="2:8" ht="15.75" customHeight="1" x14ac:dyDescent="0.2">
      <c r="B362" s="59"/>
      <c r="D362" s="59"/>
      <c r="E362" s="59"/>
      <c r="G362" s="59"/>
      <c r="H362" s="59"/>
    </row>
    <row r="363" spans="2:8" ht="15.75" customHeight="1" x14ac:dyDescent="0.2">
      <c r="B363" s="59"/>
      <c r="D363" s="59"/>
      <c r="E363" s="59"/>
      <c r="G363" s="59"/>
      <c r="H363" s="59"/>
    </row>
    <row r="364" spans="2:8" ht="15.75" customHeight="1" x14ac:dyDescent="0.2">
      <c r="B364" s="59"/>
      <c r="D364" s="59"/>
      <c r="E364" s="59"/>
      <c r="G364" s="59"/>
      <c r="H364" s="59"/>
    </row>
    <row r="365" spans="2:8" ht="15.75" customHeight="1" x14ac:dyDescent="0.2">
      <c r="B365" s="59"/>
      <c r="D365" s="59"/>
      <c r="E365" s="59"/>
      <c r="G365" s="59"/>
      <c r="H365" s="59"/>
    </row>
    <row r="366" spans="2:8" ht="15.75" customHeight="1" x14ac:dyDescent="0.2">
      <c r="B366" s="59"/>
      <c r="D366" s="59"/>
      <c r="E366" s="59"/>
      <c r="G366" s="59"/>
      <c r="H366" s="59"/>
    </row>
    <row r="367" spans="2:8" ht="15.75" customHeight="1" x14ac:dyDescent="0.2">
      <c r="B367" s="59"/>
      <c r="D367" s="59"/>
      <c r="E367" s="59"/>
      <c r="G367" s="59"/>
      <c r="H367" s="59"/>
    </row>
    <row r="368" spans="2:8" ht="15.75" customHeight="1" x14ac:dyDescent="0.2">
      <c r="B368" s="59"/>
      <c r="D368" s="59"/>
      <c r="E368" s="59"/>
      <c r="G368" s="59"/>
      <c r="H368" s="59"/>
    </row>
    <row r="369" spans="2:8" ht="15.75" customHeight="1" x14ac:dyDescent="0.2">
      <c r="B369" s="59"/>
      <c r="D369" s="59"/>
      <c r="E369" s="59"/>
      <c r="G369" s="59"/>
      <c r="H369" s="59"/>
    </row>
    <row r="370" spans="2:8" ht="15.75" customHeight="1" x14ac:dyDescent="0.2">
      <c r="B370" s="59"/>
      <c r="D370" s="59"/>
      <c r="E370" s="59"/>
      <c r="G370" s="59"/>
      <c r="H370" s="59"/>
    </row>
    <row r="371" spans="2:8" ht="15.75" customHeight="1" x14ac:dyDescent="0.2">
      <c r="B371" s="59"/>
      <c r="D371" s="59"/>
      <c r="E371" s="59"/>
      <c r="G371" s="59"/>
      <c r="H371" s="59"/>
    </row>
    <row r="372" spans="2:8" ht="15.75" customHeight="1" x14ac:dyDescent="0.2">
      <c r="B372" s="59"/>
      <c r="D372" s="59"/>
      <c r="E372" s="59"/>
      <c r="G372" s="59"/>
      <c r="H372" s="59"/>
    </row>
    <row r="373" spans="2:8" ht="15.75" customHeight="1" x14ac:dyDescent="0.2">
      <c r="B373" s="59"/>
      <c r="D373" s="59"/>
      <c r="E373" s="59"/>
      <c r="G373" s="59"/>
      <c r="H373" s="59"/>
    </row>
    <row r="374" spans="2:8" ht="15.75" customHeight="1" x14ac:dyDescent="0.2">
      <c r="B374" s="59"/>
      <c r="D374" s="59"/>
      <c r="E374" s="59"/>
      <c r="G374" s="59"/>
      <c r="H374" s="59"/>
    </row>
    <row r="375" spans="2:8" ht="15.75" customHeight="1" x14ac:dyDescent="0.2">
      <c r="B375" s="59"/>
      <c r="D375" s="59"/>
      <c r="E375" s="59"/>
      <c r="G375" s="59"/>
      <c r="H375" s="59"/>
    </row>
    <row r="376" spans="2:8" ht="15.75" customHeight="1" x14ac:dyDescent="0.2">
      <c r="B376" s="59"/>
      <c r="D376" s="59"/>
      <c r="E376" s="59"/>
      <c r="G376" s="59"/>
      <c r="H376" s="59"/>
    </row>
    <row r="377" spans="2:8" ht="15.75" customHeight="1" x14ac:dyDescent="0.2">
      <c r="B377" s="59"/>
      <c r="D377" s="59"/>
      <c r="E377" s="59"/>
      <c r="G377" s="59"/>
      <c r="H377" s="59"/>
    </row>
    <row r="378" spans="2:8" ht="15.75" customHeight="1" x14ac:dyDescent="0.2">
      <c r="B378" s="59"/>
      <c r="D378" s="59"/>
      <c r="E378" s="59"/>
      <c r="G378" s="59"/>
      <c r="H378" s="59"/>
    </row>
    <row r="379" spans="2:8" ht="15.75" customHeight="1" x14ac:dyDescent="0.2">
      <c r="B379" s="59"/>
      <c r="D379" s="59"/>
      <c r="E379" s="59"/>
      <c r="G379" s="59"/>
      <c r="H379" s="59"/>
    </row>
    <row r="380" spans="2:8" ht="15.75" customHeight="1" x14ac:dyDescent="0.2">
      <c r="B380" s="59"/>
      <c r="D380" s="59"/>
      <c r="E380" s="59"/>
      <c r="G380" s="59"/>
      <c r="H380" s="59"/>
    </row>
    <row r="381" spans="2:8" ht="15.75" customHeight="1" x14ac:dyDescent="0.2">
      <c r="B381" s="59"/>
      <c r="D381" s="59"/>
      <c r="E381" s="59"/>
      <c r="G381" s="59"/>
      <c r="H381" s="59"/>
    </row>
    <row r="382" spans="2:8" ht="15.75" customHeight="1" x14ac:dyDescent="0.2">
      <c r="B382" s="59"/>
      <c r="D382" s="59"/>
      <c r="E382" s="59"/>
      <c r="G382" s="59"/>
      <c r="H382" s="59"/>
    </row>
    <row r="383" spans="2:8" ht="15.75" customHeight="1" x14ac:dyDescent="0.2">
      <c r="B383" s="59"/>
      <c r="D383" s="59"/>
      <c r="E383" s="59"/>
      <c r="G383" s="59"/>
      <c r="H383" s="59"/>
    </row>
    <row r="384" spans="2:8" ht="15.75" customHeight="1" x14ac:dyDescent="0.2">
      <c r="B384" s="59"/>
      <c r="D384" s="59"/>
      <c r="E384" s="59"/>
      <c r="G384" s="59"/>
      <c r="H384" s="59"/>
    </row>
    <row r="385" spans="2:8" ht="15.75" customHeight="1" x14ac:dyDescent="0.2">
      <c r="B385" s="59"/>
      <c r="D385" s="59"/>
      <c r="E385" s="59"/>
      <c r="G385" s="59"/>
      <c r="H385" s="59"/>
    </row>
    <row r="386" spans="2:8" ht="15.75" customHeight="1" x14ac:dyDescent="0.2">
      <c r="B386" s="59"/>
      <c r="D386" s="59"/>
      <c r="E386" s="59"/>
      <c r="G386" s="59"/>
      <c r="H386" s="59"/>
    </row>
    <row r="387" spans="2:8" ht="15.75" customHeight="1" x14ac:dyDescent="0.2">
      <c r="B387" s="59"/>
      <c r="D387" s="59"/>
      <c r="E387" s="59"/>
      <c r="G387" s="59"/>
      <c r="H387" s="59"/>
    </row>
    <row r="388" spans="2:8" ht="15.75" customHeight="1" x14ac:dyDescent="0.2">
      <c r="B388" s="59"/>
      <c r="D388" s="59"/>
      <c r="E388" s="59"/>
      <c r="G388" s="59"/>
      <c r="H388" s="59"/>
    </row>
    <row r="389" spans="2:8" ht="15.75" customHeight="1" x14ac:dyDescent="0.2">
      <c r="B389" s="59"/>
      <c r="D389" s="59"/>
      <c r="E389" s="59"/>
      <c r="G389" s="59"/>
      <c r="H389" s="59"/>
    </row>
    <row r="390" spans="2:8" ht="15.75" customHeight="1" x14ac:dyDescent="0.2">
      <c r="B390" s="59"/>
      <c r="D390" s="59"/>
      <c r="E390" s="59"/>
      <c r="G390" s="59"/>
      <c r="H390" s="59"/>
    </row>
    <row r="391" spans="2:8" ht="15.75" customHeight="1" x14ac:dyDescent="0.2">
      <c r="B391" s="59"/>
      <c r="D391" s="59"/>
      <c r="E391" s="59"/>
      <c r="G391" s="59"/>
      <c r="H391" s="59"/>
    </row>
    <row r="392" spans="2:8" ht="15.75" customHeight="1" x14ac:dyDescent="0.2">
      <c r="B392" s="59"/>
      <c r="D392" s="59"/>
      <c r="E392" s="59"/>
      <c r="G392" s="59"/>
      <c r="H392" s="59"/>
    </row>
    <row r="393" spans="2:8" ht="15.75" customHeight="1" x14ac:dyDescent="0.2">
      <c r="B393" s="59"/>
      <c r="D393" s="59"/>
      <c r="E393" s="59"/>
      <c r="G393" s="59"/>
      <c r="H393" s="59"/>
    </row>
    <row r="394" spans="2:8" ht="15.75" customHeight="1" x14ac:dyDescent="0.2">
      <c r="B394" s="59"/>
      <c r="D394" s="59"/>
      <c r="E394" s="59"/>
      <c r="G394" s="59"/>
      <c r="H394" s="59"/>
    </row>
    <row r="395" spans="2:8" ht="15.75" customHeight="1" x14ac:dyDescent="0.2">
      <c r="B395" s="59"/>
      <c r="D395" s="59"/>
      <c r="E395" s="59"/>
      <c r="G395" s="59"/>
      <c r="H395" s="59"/>
    </row>
    <row r="396" spans="2:8" ht="15.75" customHeight="1" x14ac:dyDescent="0.2">
      <c r="B396" s="59"/>
      <c r="D396" s="59"/>
      <c r="E396" s="59"/>
      <c r="G396" s="59"/>
      <c r="H396" s="59"/>
    </row>
    <row r="397" spans="2:8" ht="15.75" customHeight="1" x14ac:dyDescent="0.2">
      <c r="B397" s="59"/>
      <c r="D397" s="59"/>
      <c r="E397" s="59"/>
      <c r="G397" s="59"/>
      <c r="H397" s="59"/>
    </row>
    <row r="398" spans="2:8" ht="15.75" customHeight="1" x14ac:dyDescent="0.2">
      <c r="B398" s="59"/>
      <c r="D398" s="59"/>
      <c r="E398" s="59"/>
      <c r="G398" s="59"/>
      <c r="H398" s="59"/>
    </row>
    <row r="399" spans="2:8" ht="15.75" customHeight="1" x14ac:dyDescent="0.2">
      <c r="B399" s="59"/>
      <c r="D399" s="59"/>
      <c r="E399" s="59"/>
      <c r="G399" s="59"/>
      <c r="H399" s="59"/>
    </row>
    <row r="400" spans="2:8" ht="15.75" customHeight="1" x14ac:dyDescent="0.2">
      <c r="B400" s="59"/>
      <c r="D400" s="59"/>
      <c r="E400" s="59"/>
      <c r="G400" s="59"/>
      <c r="H400" s="59"/>
    </row>
    <row r="401" spans="2:8" ht="15.75" customHeight="1" x14ac:dyDescent="0.2">
      <c r="B401" s="59"/>
      <c r="D401" s="59"/>
      <c r="E401" s="59"/>
      <c r="G401" s="59"/>
      <c r="H401" s="59"/>
    </row>
    <row r="402" spans="2:8" ht="15.75" customHeight="1" x14ac:dyDescent="0.2">
      <c r="B402" s="59"/>
      <c r="D402" s="59"/>
      <c r="E402" s="59"/>
      <c r="G402" s="59"/>
      <c r="H402" s="59"/>
    </row>
    <row r="403" spans="2:8" ht="15.75" customHeight="1" x14ac:dyDescent="0.2">
      <c r="B403" s="59"/>
      <c r="D403" s="59"/>
      <c r="E403" s="59"/>
      <c r="G403" s="59"/>
      <c r="H403" s="59"/>
    </row>
    <row r="404" spans="2:8" ht="15.75" customHeight="1" x14ac:dyDescent="0.2">
      <c r="B404" s="59"/>
      <c r="D404" s="59"/>
      <c r="E404" s="59"/>
      <c r="G404" s="59"/>
      <c r="H404" s="59"/>
    </row>
    <row r="405" spans="2:8" ht="15.75" customHeight="1" x14ac:dyDescent="0.2">
      <c r="B405" s="59"/>
      <c r="D405" s="59"/>
      <c r="E405" s="59"/>
      <c r="G405" s="59"/>
      <c r="H405" s="59"/>
    </row>
    <row r="406" spans="2:8" ht="15.75" customHeight="1" x14ac:dyDescent="0.2">
      <c r="B406" s="59"/>
      <c r="D406" s="59"/>
      <c r="E406" s="59"/>
      <c r="G406" s="59"/>
      <c r="H406" s="59"/>
    </row>
    <row r="407" spans="2:8" ht="15.75" customHeight="1" x14ac:dyDescent="0.2">
      <c r="B407" s="59"/>
      <c r="D407" s="59"/>
      <c r="E407" s="59"/>
      <c r="G407" s="59"/>
      <c r="H407" s="59"/>
    </row>
    <row r="408" spans="2:8" ht="15.75" customHeight="1" x14ac:dyDescent="0.2">
      <c r="B408" s="59"/>
      <c r="D408" s="59"/>
      <c r="E408" s="59"/>
      <c r="G408" s="59"/>
      <c r="H408" s="59"/>
    </row>
    <row r="409" spans="2:8" ht="15.75" customHeight="1" x14ac:dyDescent="0.2">
      <c r="B409" s="59"/>
      <c r="D409" s="59"/>
      <c r="E409" s="59"/>
      <c r="G409" s="59"/>
      <c r="H409" s="59"/>
    </row>
    <row r="410" spans="2:8" ht="15.75" customHeight="1" x14ac:dyDescent="0.2">
      <c r="B410" s="59"/>
      <c r="D410" s="59"/>
      <c r="E410" s="59"/>
      <c r="G410" s="59"/>
      <c r="H410" s="59"/>
    </row>
    <row r="411" spans="2:8" ht="15.75" customHeight="1" x14ac:dyDescent="0.2">
      <c r="B411" s="59"/>
      <c r="D411" s="59"/>
      <c r="E411" s="59"/>
      <c r="G411" s="59"/>
      <c r="H411" s="59"/>
    </row>
    <row r="412" spans="2:8" ht="15.75" customHeight="1" x14ac:dyDescent="0.2">
      <c r="B412" s="59"/>
      <c r="D412" s="59"/>
      <c r="E412" s="59"/>
      <c r="G412" s="59"/>
      <c r="H412" s="59"/>
    </row>
    <row r="413" spans="2:8" ht="15.75" customHeight="1" x14ac:dyDescent="0.2">
      <c r="B413" s="59"/>
      <c r="D413" s="59"/>
      <c r="E413" s="59"/>
      <c r="G413" s="59"/>
      <c r="H413" s="59"/>
    </row>
    <row r="414" spans="2:8" ht="15.75" customHeight="1" x14ac:dyDescent="0.2">
      <c r="B414" s="59"/>
      <c r="D414" s="59"/>
      <c r="E414" s="59"/>
      <c r="G414" s="59"/>
      <c r="H414" s="59"/>
    </row>
    <row r="415" spans="2:8" ht="15.75" customHeight="1" x14ac:dyDescent="0.2">
      <c r="B415" s="59"/>
      <c r="D415" s="59"/>
      <c r="E415" s="59"/>
      <c r="G415" s="59"/>
      <c r="H415" s="59"/>
    </row>
    <row r="416" spans="2:8" ht="15.75" customHeight="1" x14ac:dyDescent="0.2">
      <c r="B416" s="59"/>
      <c r="D416" s="59"/>
      <c r="E416" s="59"/>
      <c r="G416" s="59"/>
      <c r="H416" s="59"/>
    </row>
    <row r="417" spans="2:8" ht="15.75" customHeight="1" x14ac:dyDescent="0.2">
      <c r="B417" s="59"/>
      <c r="D417" s="59"/>
      <c r="E417" s="59"/>
      <c r="G417" s="59"/>
      <c r="H417" s="59"/>
    </row>
    <row r="418" spans="2:8" ht="15.75" customHeight="1" x14ac:dyDescent="0.2">
      <c r="B418" s="59"/>
      <c r="D418" s="59"/>
      <c r="E418" s="59"/>
      <c r="G418" s="59"/>
      <c r="H418" s="59"/>
    </row>
    <row r="419" spans="2:8" ht="15.75" customHeight="1" x14ac:dyDescent="0.2">
      <c r="B419" s="59"/>
      <c r="D419" s="59"/>
      <c r="E419" s="59"/>
      <c r="G419" s="59"/>
      <c r="H419" s="59"/>
    </row>
    <row r="420" spans="2:8" ht="15.75" customHeight="1" x14ac:dyDescent="0.2">
      <c r="B420" s="59"/>
      <c r="D420" s="59"/>
      <c r="E420" s="59"/>
      <c r="G420" s="59"/>
      <c r="H420" s="59"/>
    </row>
    <row r="421" spans="2:8" ht="15.75" customHeight="1" x14ac:dyDescent="0.2">
      <c r="B421" s="59"/>
      <c r="D421" s="59"/>
      <c r="E421" s="59"/>
      <c r="G421" s="59"/>
      <c r="H421" s="59"/>
    </row>
    <row r="422" spans="2:8" ht="15.75" customHeight="1" x14ac:dyDescent="0.2">
      <c r="B422" s="59"/>
      <c r="D422" s="59"/>
      <c r="E422" s="59"/>
      <c r="G422" s="59"/>
      <c r="H422" s="59"/>
    </row>
    <row r="423" spans="2:8" ht="15.75" customHeight="1" x14ac:dyDescent="0.2">
      <c r="B423" s="59"/>
      <c r="D423" s="59"/>
      <c r="E423" s="59"/>
      <c r="G423" s="59"/>
      <c r="H423" s="59"/>
    </row>
    <row r="424" spans="2:8" ht="15.75" customHeight="1" x14ac:dyDescent="0.2">
      <c r="B424" s="59"/>
      <c r="D424" s="59"/>
      <c r="E424" s="59"/>
      <c r="G424" s="59"/>
      <c r="H424" s="59"/>
    </row>
    <row r="425" spans="2:8" ht="15.75" customHeight="1" x14ac:dyDescent="0.2">
      <c r="B425" s="59"/>
      <c r="D425" s="59"/>
      <c r="E425" s="59"/>
      <c r="G425" s="59"/>
      <c r="H425" s="59"/>
    </row>
    <row r="426" spans="2:8" ht="15.75" customHeight="1" x14ac:dyDescent="0.2">
      <c r="B426" s="59"/>
      <c r="D426" s="59"/>
      <c r="E426" s="59"/>
      <c r="G426" s="59"/>
      <c r="H426" s="59"/>
    </row>
    <row r="427" spans="2:8" ht="15.75" customHeight="1" x14ac:dyDescent="0.2">
      <c r="B427" s="59"/>
      <c r="D427" s="59"/>
      <c r="E427" s="59"/>
      <c r="G427" s="59"/>
      <c r="H427" s="59"/>
    </row>
    <row r="428" spans="2:8" ht="15.75" customHeight="1" x14ac:dyDescent="0.2">
      <c r="B428" s="59"/>
      <c r="D428" s="59"/>
      <c r="E428" s="59"/>
      <c r="G428" s="59"/>
      <c r="H428" s="59"/>
    </row>
    <row r="429" spans="2:8" ht="15.75" customHeight="1" x14ac:dyDescent="0.2">
      <c r="B429" s="59"/>
      <c r="D429" s="59"/>
      <c r="E429" s="59"/>
      <c r="G429" s="59"/>
      <c r="H429" s="59"/>
    </row>
    <row r="430" spans="2:8" ht="15.75" customHeight="1" x14ac:dyDescent="0.2">
      <c r="B430" s="59"/>
      <c r="D430" s="59"/>
      <c r="E430" s="59"/>
      <c r="G430" s="59"/>
      <c r="H430" s="59"/>
    </row>
    <row r="431" spans="2:8" ht="15.75" customHeight="1" x14ac:dyDescent="0.2">
      <c r="B431" s="59"/>
      <c r="D431" s="59"/>
      <c r="E431" s="59"/>
      <c r="G431" s="59"/>
      <c r="H431" s="59"/>
    </row>
    <row r="432" spans="2:8" ht="15.75" customHeight="1" x14ac:dyDescent="0.2">
      <c r="B432" s="59"/>
      <c r="D432" s="59"/>
      <c r="E432" s="59"/>
      <c r="G432" s="59"/>
      <c r="H432" s="59"/>
    </row>
    <row r="433" spans="2:8" ht="15.75" customHeight="1" x14ac:dyDescent="0.2">
      <c r="B433" s="59"/>
      <c r="D433" s="59"/>
      <c r="E433" s="59"/>
      <c r="G433" s="59"/>
      <c r="H433" s="59"/>
    </row>
    <row r="434" spans="2:8" ht="15.75" customHeight="1" x14ac:dyDescent="0.2">
      <c r="B434" s="59"/>
      <c r="D434" s="59"/>
      <c r="E434" s="59"/>
      <c r="G434" s="59"/>
      <c r="H434" s="59"/>
    </row>
    <row r="435" spans="2:8" ht="15.75" customHeight="1" x14ac:dyDescent="0.2">
      <c r="B435" s="59"/>
      <c r="D435" s="59"/>
      <c r="E435" s="59"/>
      <c r="G435" s="59"/>
      <c r="H435" s="59"/>
    </row>
    <row r="436" spans="2:8" ht="15.75" customHeight="1" x14ac:dyDescent="0.2">
      <c r="B436" s="59"/>
      <c r="D436" s="59"/>
      <c r="E436" s="59"/>
      <c r="G436" s="59"/>
      <c r="H436" s="59"/>
    </row>
    <row r="437" spans="2:8" ht="15.75" customHeight="1" x14ac:dyDescent="0.2">
      <c r="B437" s="59"/>
      <c r="D437" s="59"/>
      <c r="E437" s="59"/>
      <c r="G437" s="59"/>
      <c r="H437" s="59"/>
    </row>
    <row r="438" spans="2:8" ht="15.75" customHeight="1" x14ac:dyDescent="0.2">
      <c r="B438" s="59"/>
      <c r="D438" s="59"/>
      <c r="E438" s="59"/>
      <c r="G438" s="59"/>
      <c r="H438" s="59"/>
    </row>
    <row r="439" spans="2:8" ht="15.75" customHeight="1" x14ac:dyDescent="0.2">
      <c r="B439" s="59"/>
      <c r="D439" s="59"/>
      <c r="E439" s="59"/>
      <c r="G439" s="59"/>
      <c r="H439" s="59"/>
    </row>
    <row r="440" spans="2:8" ht="15.75" customHeight="1" x14ac:dyDescent="0.2">
      <c r="B440" s="59"/>
      <c r="D440" s="59"/>
      <c r="E440" s="59"/>
      <c r="G440" s="59"/>
      <c r="H440" s="59"/>
    </row>
    <row r="441" spans="2:8" ht="15.75" customHeight="1" x14ac:dyDescent="0.2">
      <c r="B441" s="59"/>
      <c r="D441" s="59"/>
      <c r="E441" s="59"/>
      <c r="G441" s="59"/>
      <c r="H441" s="59"/>
    </row>
    <row r="442" spans="2:8" ht="15.75" customHeight="1" x14ac:dyDescent="0.2">
      <c r="B442" s="59"/>
      <c r="D442" s="59"/>
      <c r="E442" s="59"/>
      <c r="G442" s="59"/>
      <c r="H442" s="59"/>
    </row>
    <row r="443" spans="2:8" ht="15.75" customHeight="1" x14ac:dyDescent="0.2">
      <c r="B443" s="59"/>
      <c r="D443" s="59"/>
      <c r="E443" s="59"/>
      <c r="G443" s="59"/>
      <c r="H443" s="59"/>
    </row>
    <row r="444" spans="2:8" ht="15.75" customHeight="1" x14ac:dyDescent="0.2">
      <c r="B444" s="59"/>
      <c r="D444" s="59"/>
      <c r="E444" s="59"/>
      <c r="G444" s="59"/>
      <c r="H444" s="59"/>
    </row>
    <row r="445" spans="2:8" ht="15.75" customHeight="1" x14ac:dyDescent="0.2">
      <c r="B445" s="59"/>
      <c r="D445" s="59"/>
      <c r="E445" s="59"/>
      <c r="G445" s="59"/>
      <c r="H445" s="59"/>
    </row>
    <row r="446" spans="2:8" ht="15.75" customHeight="1" x14ac:dyDescent="0.2">
      <c r="B446" s="59"/>
      <c r="D446" s="59"/>
      <c r="E446" s="59"/>
      <c r="G446" s="59"/>
      <c r="H446" s="59"/>
    </row>
    <row r="447" spans="2:8" ht="15.75" customHeight="1" x14ac:dyDescent="0.2">
      <c r="B447" s="59"/>
      <c r="D447" s="59"/>
      <c r="E447" s="59"/>
      <c r="G447" s="59"/>
      <c r="H447" s="59"/>
    </row>
    <row r="448" spans="2:8" ht="15.75" customHeight="1" x14ac:dyDescent="0.2">
      <c r="B448" s="59"/>
      <c r="D448" s="59"/>
      <c r="E448" s="59"/>
      <c r="G448" s="59"/>
      <c r="H448" s="59"/>
    </row>
    <row r="449" spans="2:8" ht="15.75" customHeight="1" x14ac:dyDescent="0.2">
      <c r="B449" s="59"/>
      <c r="D449" s="59"/>
      <c r="E449" s="59"/>
      <c r="G449" s="59"/>
      <c r="H449" s="59"/>
    </row>
    <row r="450" spans="2:8" ht="15.75" customHeight="1" x14ac:dyDescent="0.2">
      <c r="B450" s="59"/>
      <c r="D450" s="59"/>
      <c r="E450" s="59"/>
      <c r="G450" s="59"/>
      <c r="H450" s="59"/>
    </row>
    <row r="451" spans="2:8" ht="15.75" customHeight="1" x14ac:dyDescent="0.2">
      <c r="B451" s="59"/>
      <c r="D451" s="59"/>
      <c r="E451" s="59"/>
      <c r="G451" s="59"/>
      <c r="H451" s="59"/>
    </row>
    <row r="452" spans="2:8" ht="15.75" customHeight="1" x14ac:dyDescent="0.2">
      <c r="B452" s="59"/>
      <c r="D452" s="59"/>
      <c r="E452" s="59"/>
      <c r="G452" s="59"/>
      <c r="H452" s="59"/>
    </row>
    <row r="453" spans="2:8" ht="15.75" customHeight="1" x14ac:dyDescent="0.2">
      <c r="B453" s="59"/>
      <c r="D453" s="59"/>
      <c r="E453" s="59"/>
      <c r="G453" s="59"/>
      <c r="H453" s="59"/>
    </row>
    <row r="454" spans="2:8" ht="15.75" customHeight="1" x14ac:dyDescent="0.2">
      <c r="B454" s="59"/>
      <c r="D454" s="59"/>
      <c r="E454" s="59"/>
      <c r="G454" s="59"/>
      <c r="H454" s="59"/>
    </row>
    <row r="455" spans="2:8" ht="15.75" customHeight="1" x14ac:dyDescent="0.2">
      <c r="B455" s="59"/>
      <c r="D455" s="59"/>
      <c r="E455" s="59"/>
      <c r="G455" s="59"/>
      <c r="H455" s="59"/>
    </row>
    <row r="456" spans="2:8" ht="15.75" customHeight="1" x14ac:dyDescent="0.2">
      <c r="B456" s="59"/>
      <c r="D456" s="59"/>
      <c r="E456" s="59"/>
      <c r="G456" s="59"/>
      <c r="H456" s="59"/>
    </row>
    <row r="457" spans="2:8" ht="15.75" customHeight="1" x14ac:dyDescent="0.2">
      <c r="B457" s="59"/>
      <c r="D457" s="59"/>
      <c r="E457" s="59"/>
      <c r="G457" s="59"/>
      <c r="H457" s="59"/>
    </row>
    <row r="458" spans="2:8" ht="15.75" customHeight="1" x14ac:dyDescent="0.2">
      <c r="B458" s="59"/>
      <c r="D458" s="59"/>
      <c r="E458" s="59"/>
      <c r="G458" s="59"/>
      <c r="H458" s="59"/>
    </row>
    <row r="459" spans="2:8" ht="15.75" customHeight="1" x14ac:dyDescent="0.2">
      <c r="B459" s="59"/>
      <c r="D459" s="59"/>
      <c r="E459" s="59"/>
      <c r="G459" s="59"/>
      <c r="H459" s="59"/>
    </row>
    <row r="460" spans="2:8" ht="15.75" customHeight="1" x14ac:dyDescent="0.2">
      <c r="B460" s="59"/>
      <c r="D460" s="59"/>
      <c r="E460" s="59"/>
      <c r="G460" s="59"/>
      <c r="H460" s="59"/>
    </row>
    <row r="461" spans="2:8" ht="15.75" customHeight="1" x14ac:dyDescent="0.2">
      <c r="B461" s="59"/>
      <c r="D461" s="59"/>
      <c r="E461" s="59"/>
      <c r="G461" s="59"/>
      <c r="H461" s="59"/>
    </row>
    <row r="462" spans="2:8" ht="15.75" customHeight="1" x14ac:dyDescent="0.2">
      <c r="B462" s="59"/>
      <c r="D462" s="59"/>
      <c r="E462" s="59"/>
      <c r="G462" s="59"/>
      <c r="H462" s="59"/>
    </row>
    <row r="463" spans="2:8" ht="15.75" customHeight="1" x14ac:dyDescent="0.2">
      <c r="B463" s="59"/>
      <c r="D463" s="59"/>
      <c r="E463" s="59"/>
      <c r="G463" s="59"/>
      <c r="H463" s="59"/>
    </row>
    <row r="464" spans="2:8" ht="15.75" customHeight="1" x14ac:dyDescent="0.2">
      <c r="B464" s="59"/>
      <c r="D464" s="59"/>
      <c r="E464" s="59"/>
      <c r="G464" s="59"/>
      <c r="H464" s="59"/>
    </row>
    <row r="465" spans="2:8" ht="15.75" customHeight="1" x14ac:dyDescent="0.2">
      <c r="B465" s="59"/>
      <c r="D465" s="59"/>
      <c r="E465" s="59"/>
      <c r="G465" s="59"/>
      <c r="H465" s="59"/>
    </row>
    <row r="466" spans="2:8" ht="15.75" customHeight="1" x14ac:dyDescent="0.2">
      <c r="B466" s="59"/>
      <c r="D466" s="59"/>
      <c r="E466" s="59"/>
      <c r="G466" s="59"/>
      <c r="H466" s="59"/>
    </row>
    <row r="467" spans="2:8" ht="15.75" customHeight="1" x14ac:dyDescent="0.2">
      <c r="B467" s="59"/>
      <c r="D467" s="59"/>
      <c r="E467" s="59"/>
      <c r="G467" s="59"/>
      <c r="H467" s="59"/>
    </row>
    <row r="468" spans="2:8" ht="15.75" customHeight="1" x14ac:dyDescent="0.2">
      <c r="B468" s="59"/>
      <c r="D468" s="59"/>
      <c r="E468" s="59"/>
      <c r="G468" s="59"/>
      <c r="H468" s="59"/>
    </row>
    <row r="469" spans="2:8" ht="15.75" customHeight="1" x14ac:dyDescent="0.2">
      <c r="B469" s="59"/>
      <c r="D469" s="59"/>
      <c r="E469" s="59"/>
      <c r="G469" s="59"/>
      <c r="H469" s="59"/>
    </row>
    <row r="470" spans="2:8" ht="15.75" customHeight="1" x14ac:dyDescent="0.2">
      <c r="B470" s="59"/>
      <c r="D470" s="59"/>
      <c r="E470" s="59"/>
      <c r="G470" s="59"/>
      <c r="H470" s="59"/>
    </row>
    <row r="471" spans="2:8" ht="15.75" customHeight="1" x14ac:dyDescent="0.2">
      <c r="B471" s="59"/>
      <c r="D471" s="59"/>
      <c r="E471" s="59"/>
      <c r="G471" s="59"/>
      <c r="H471" s="59"/>
    </row>
    <row r="472" spans="2:8" ht="15.75" customHeight="1" x14ac:dyDescent="0.2">
      <c r="B472" s="59"/>
      <c r="D472" s="59"/>
      <c r="E472" s="59"/>
      <c r="G472" s="59"/>
      <c r="H472" s="59"/>
    </row>
    <row r="473" spans="2:8" ht="15.75" customHeight="1" x14ac:dyDescent="0.2">
      <c r="B473" s="59"/>
      <c r="D473" s="59"/>
      <c r="E473" s="59"/>
      <c r="G473" s="59"/>
      <c r="H473" s="59"/>
    </row>
    <row r="474" spans="2:8" ht="15.75" customHeight="1" x14ac:dyDescent="0.2">
      <c r="B474" s="59"/>
      <c r="D474" s="59"/>
      <c r="E474" s="59"/>
      <c r="G474" s="59"/>
      <c r="H474" s="59"/>
    </row>
    <row r="475" spans="2:8" ht="15.75" customHeight="1" x14ac:dyDescent="0.2">
      <c r="B475" s="59"/>
      <c r="D475" s="59"/>
      <c r="E475" s="59"/>
      <c r="G475" s="59"/>
      <c r="H475" s="59"/>
    </row>
    <row r="476" spans="2:8" ht="15.75" customHeight="1" x14ac:dyDescent="0.2">
      <c r="B476" s="59"/>
      <c r="D476" s="59"/>
      <c r="E476" s="59"/>
      <c r="G476" s="59"/>
      <c r="H476" s="59"/>
    </row>
    <row r="477" spans="2:8" ht="15.75" customHeight="1" x14ac:dyDescent="0.2">
      <c r="B477" s="59"/>
      <c r="D477" s="59"/>
      <c r="E477" s="59"/>
      <c r="G477" s="59"/>
      <c r="H477" s="59"/>
    </row>
    <row r="478" spans="2:8" ht="15.75" customHeight="1" x14ac:dyDescent="0.2">
      <c r="B478" s="59"/>
      <c r="D478" s="59"/>
      <c r="E478" s="59"/>
      <c r="G478" s="59"/>
      <c r="H478" s="59"/>
    </row>
    <row r="479" spans="2:8" ht="15.75" customHeight="1" x14ac:dyDescent="0.2">
      <c r="B479" s="59"/>
      <c r="D479" s="59"/>
      <c r="E479" s="59"/>
      <c r="G479" s="59"/>
      <c r="H479" s="59"/>
    </row>
    <row r="480" spans="2:8" ht="15.75" customHeight="1" x14ac:dyDescent="0.2">
      <c r="B480" s="59"/>
      <c r="D480" s="59"/>
      <c r="E480" s="59"/>
      <c r="G480" s="59"/>
      <c r="H480" s="59"/>
    </row>
    <row r="481" spans="2:8" ht="15.75" customHeight="1" x14ac:dyDescent="0.2">
      <c r="B481" s="59"/>
      <c r="D481" s="59"/>
      <c r="E481" s="59"/>
      <c r="G481" s="59"/>
      <c r="H481" s="59"/>
    </row>
    <row r="482" spans="2:8" ht="15.75" customHeight="1" x14ac:dyDescent="0.2">
      <c r="B482" s="59"/>
      <c r="D482" s="59"/>
      <c r="E482" s="59"/>
      <c r="G482" s="59"/>
      <c r="H482" s="59"/>
    </row>
    <row r="483" spans="2:8" ht="15.75" customHeight="1" x14ac:dyDescent="0.2">
      <c r="B483" s="59"/>
      <c r="D483" s="59"/>
      <c r="E483" s="59"/>
      <c r="G483" s="59"/>
      <c r="H483" s="59"/>
    </row>
    <row r="484" spans="2:8" ht="15.75" customHeight="1" x14ac:dyDescent="0.2">
      <c r="B484" s="59"/>
      <c r="D484" s="59"/>
      <c r="E484" s="59"/>
      <c r="G484" s="59"/>
      <c r="H484" s="59"/>
    </row>
    <row r="485" spans="2:8" ht="15.75" customHeight="1" x14ac:dyDescent="0.2">
      <c r="B485" s="59"/>
      <c r="D485" s="59"/>
      <c r="E485" s="59"/>
      <c r="G485" s="59"/>
      <c r="H485" s="59"/>
    </row>
    <row r="486" spans="2:8" ht="15.75" customHeight="1" x14ac:dyDescent="0.2">
      <c r="B486" s="59"/>
      <c r="D486" s="59"/>
      <c r="E486" s="59"/>
      <c r="G486" s="59"/>
      <c r="H486" s="59"/>
    </row>
    <row r="487" spans="2:8" ht="15.75" customHeight="1" x14ac:dyDescent="0.2">
      <c r="B487" s="59"/>
      <c r="D487" s="59"/>
      <c r="E487" s="59"/>
      <c r="G487" s="59"/>
      <c r="H487" s="59"/>
    </row>
    <row r="488" spans="2:8" ht="15.75" customHeight="1" x14ac:dyDescent="0.2">
      <c r="B488" s="59"/>
      <c r="D488" s="59"/>
      <c r="E488" s="59"/>
      <c r="G488" s="59"/>
      <c r="H488" s="59"/>
    </row>
    <row r="489" spans="2:8" ht="15.75" customHeight="1" x14ac:dyDescent="0.2">
      <c r="B489" s="59"/>
      <c r="D489" s="59"/>
      <c r="E489" s="59"/>
      <c r="G489" s="59"/>
      <c r="H489" s="59"/>
    </row>
    <row r="490" spans="2:8" ht="15.75" customHeight="1" x14ac:dyDescent="0.2">
      <c r="B490" s="59"/>
      <c r="D490" s="59"/>
      <c r="E490" s="59"/>
      <c r="G490" s="59"/>
      <c r="H490" s="59"/>
    </row>
    <row r="491" spans="2:8" ht="15.75" customHeight="1" x14ac:dyDescent="0.2">
      <c r="B491" s="59"/>
      <c r="D491" s="59"/>
      <c r="E491" s="59"/>
      <c r="G491" s="59"/>
      <c r="H491" s="59"/>
    </row>
    <row r="492" spans="2:8" ht="15.75" customHeight="1" x14ac:dyDescent="0.2">
      <c r="B492" s="59"/>
      <c r="D492" s="59"/>
      <c r="E492" s="59"/>
      <c r="G492" s="59"/>
      <c r="H492" s="59"/>
    </row>
    <row r="493" spans="2:8" ht="15.75" customHeight="1" x14ac:dyDescent="0.2">
      <c r="B493" s="59"/>
      <c r="D493" s="59"/>
      <c r="E493" s="59"/>
      <c r="G493" s="59"/>
      <c r="H493" s="59"/>
    </row>
    <row r="494" spans="2:8" ht="15.75" customHeight="1" x14ac:dyDescent="0.2">
      <c r="B494" s="59"/>
      <c r="D494" s="59"/>
      <c r="E494" s="59"/>
      <c r="G494" s="59"/>
      <c r="H494" s="59"/>
    </row>
    <row r="495" spans="2:8" ht="15.75" customHeight="1" x14ac:dyDescent="0.2">
      <c r="B495" s="59"/>
      <c r="D495" s="59"/>
      <c r="E495" s="59"/>
      <c r="G495" s="59"/>
      <c r="H495" s="59"/>
    </row>
    <row r="496" spans="2:8" ht="15.75" customHeight="1" x14ac:dyDescent="0.2">
      <c r="B496" s="59"/>
      <c r="D496" s="59"/>
      <c r="E496" s="59"/>
      <c r="G496" s="59"/>
      <c r="H496" s="59"/>
    </row>
    <row r="497" spans="2:8" ht="15.75" customHeight="1" x14ac:dyDescent="0.2">
      <c r="B497" s="59"/>
      <c r="D497" s="59"/>
      <c r="E497" s="59"/>
      <c r="G497" s="59"/>
      <c r="H497" s="59"/>
    </row>
    <row r="498" spans="2:8" ht="15.75" customHeight="1" x14ac:dyDescent="0.2">
      <c r="B498" s="59"/>
      <c r="D498" s="59"/>
      <c r="E498" s="59"/>
      <c r="G498" s="59"/>
      <c r="H498" s="59"/>
    </row>
    <row r="499" spans="2:8" ht="15.75" customHeight="1" x14ac:dyDescent="0.2">
      <c r="B499" s="59"/>
      <c r="D499" s="59"/>
      <c r="E499" s="59"/>
      <c r="G499" s="59"/>
      <c r="H499" s="59"/>
    </row>
    <row r="500" spans="2:8" ht="15.75" customHeight="1" x14ac:dyDescent="0.2">
      <c r="B500" s="59"/>
      <c r="D500" s="59"/>
      <c r="E500" s="59"/>
      <c r="G500" s="59"/>
      <c r="H500" s="59"/>
    </row>
    <row r="501" spans="2:8" ht="15.75" customHeight="1" x14ac:dyDescent="0.2">
      <c r="B501" s="59"/>
      <c r="D501" s="59"/>
      <c r="E501" s="59"/>
      <c r="G501" s="59"/>
      <c r="H501" s="59"/>
    </row>
    <row r="502" spans="2:8" ht="15.75" customHeight="1" x14ac:dyDescent="0.2">
      <c r="B502" s="59"/>
      <c r="D502" s="59"/>
      <c r="E502" s="59"/>
      <c r="G502" s="59"/>
      <c r="H502" s="59"/>
    </row>
    <row r="503" spans="2:8" ht="15.75" customHeight="1" x14ac:dyDescent="0.2">
      <c r="B503" s="59"/>
      <c r="D503" s="59"/>
      <c r="E503" s="59"/>
      <c r="G503" s="59"/>
      <c r="H503" s="59"/>
    </row>
    <row r="504" spans="2:8" ht="15.75" customHeight="1" x14ac:dyDescent="0.2">
      <c r="B504" s="59"/>
      <c r="D504" s="59"/>
      <c r="E504" s="59"/>
      <c r="G504" s="59"/>
      <c r="H504" s="59"/>
    </row>
    <row r="505" spans="2:8" ht="15.75" customHeight="1" x14ac:dyDescent="0.2">
      <c r="B505" s="59"/>
      <c r="D505" s="59"/>
      <c r="E505" s="59"/>
      <c r="G505" s="59"/>
      <c r="H505" s="59"/>
    </row>
    <row r="506" spans="2:8" ht="15.75" customHeight="1" x14ac:dyDescent="0.2">
      <c r="B506" s="59"/>
      <c r="D506" s="59"/>
      <c r="E506" s="59"/>
      <c r="G506" s="59"/>
      <c r="H506" s="59"/>
    </row>
    <row r="507" spans="2:8" ht="15.75" customHeight="1" x14ac:dyDescent="0.2">
      <c r="B507" s="59"/>
      <c r="D507" s="59"/>
      <c r="E507" s="59"/>
      <c r="G507" s="59"/>
      <c r="H507" s="59"/>
    </row>
    <row r="508" spans="2:8" ht="15.75" customHeight="1" x14ac:dyDescent="0.2">
      <c r="B508" s="59"/>
      <c r="D508" s="59"/>
      <c r="E508" s="59"/>
      <c r="G508" s="59"/>
      <c r="H508" s="59"/>
    </row>
    <row r="509" spans="2:8" ht="15.75" customHeight="1" x14ac:dyDescent="0.2">
      <c r="B509" s="59"/>
      <c r="D509" s="59"/>
      <c r="E509" s="59"/>
      <c r="G509" s="59"/>
      <c r="H509" s="59"/>
    </row>
    <row r="510" spans="2:8" ht="15.75" customHeight="1" x14ac:dyDescent="0.2">
      <c r="B510" s="59"/>
      <c r="D510" s="59"/>
      <c r="E510" s="59"/>
      <c r="G510" s="59"/>
      <c r="H510" s="59"/>
    </row>
    <row r="511" spans="2:8" ht="15.75" customHeight="1" x14ac:dyDescent="0.2">
      <c r="B511" s="59"/>
      <c r="D511" s="59"/>
      <c r="E511" s="59"/>
      <c r="G511" s="59"/>
      <c r="H511" s="59"/>
    </row>
    <row r="512" spans="2:8" ht="15.75" customHeight="1" x14ac:dyDescent="0.2">
      <c r="B512" s="59"/>
      <c r="D512" s="59"/>
      <c r="E512" s="59"/>
      <c r="G512" s="59"/>
      <c r="H512" s="59"/>
    </row>
    <row r="513" spans="2:8" ht="15.75" customHeight="1" x14ac:dyDescent="0.2">
      <c r="B513" s="59"/>
      <c r="D513" s="59"/>
      <c r="E513" s="59"/>
      <c r="G513" s="59"/>
      <c r="H513" s="59"/>
    </row>
    <row r="514" spans="2:8" ht="15.75" customHeight="1" x14ac:dyDescent="0.2">
      <c r="B514" s="59"/>
      <c r="D514" s="59"/>
      <c r="E514" s="59"/>
      <c r="G514" s="59"/>
      <c r="H514" s="59"/>
    </row>
    <row r="515" spans="2:8" ht="15.75" customHeight="1" x14ac:dyDescent="0.2">
      <c r="B515" s="59"/>
      <c r="D515" s="59"/>
      <c r="E515" s="59"/>
      <c r="G515" s="59"/>
      <c r="H515" s="59"/>
    </row>
    <row r="516" spans="2:8" ht="15.75" customHeight="1" x14ac:dyDescent="0.2">
      <c r="B516" s="59"/>
      <c r="D516" s="59"/>
      <c r="E516" s="59"/>
      <c r="G516" s="59"/>
      <c r="H516" s="59"/>
    </row>
    <row r="517" spans="2:8" ht="15.75" customHeight="1" x14ac:dyDescent="0.2">
      <c r="B517" s="59"/>
      <c r="D517" s="59"/>
      <c r="E517" s="59"/>
      <c r="G517" s="59"/>
      <c r="H517" s="59"/>
    </row>
    <row r="518" spans="2:8" ht="15.75" customHeight="1" x14ac:dyDescent="0.2">
      <c r="B518" s="59"/>
      <c r="D518" s="59"/>
      <c r="E518" s="59"/>
      <c r="G518" s="59"/>
      <c r="H518" s="59"/>
    </row>
    <row r="519" spans="2:8" ht="15.75" customHeight="1" x14ac:dyDescent="0.2">
      <c r="B519" s="59"/>
      <c r="D519" s="59"/>
      <c r="E519" s="59"/>
      <c r="G519" s="59"/>
      <c r="H519" s="59"/>
    </row>
    <row r="520" spans="2:8" ht="15.75" customHeight="1" x14ac:dyDescent="0.2">
      <c r="B520" s="59"/>
      <c r="D520" s="59"/>
      <c r="E520" s="59"/>
      <c r="G520" s="59"/>
      <c r="H520" s="59"/>
    </row>
    <row r="521" spans="2:8" ht="15.75" customHeight="1" x14ac:dyDescent="0.2">
      <c r="B521" s="59"/>
      <c r="D521" s="59"/>
      <c r="E521" s="59"/>
      <c r="G521" s="59"/>
      <c r="H521" s="59"/>
    </row>
    <row r="522" spans="2:8" ht="15.75" customHeight="1" x14ac:dyDescent="0.2">
      <c r="B522" s="59"/>
      <c r="D522" s="59"/>
      <c r="E522" s="59"/>
      <c r="G522" s="59"/>
      <c r="H522" s="59"/>
    </row>
    <row r="523" spans="2:8" ht="15.75" customHeight="1" x14ac:dyDescent="0.2">
      <c r="B523" s="59"/>
      <c r="D523" s="59"/>
      <c r="E523" s="59"/>
      <c r="G523" s="59"/>
      <c r="H523" s="59"/>
    </row>
    <row r="524" spans="2:8" ht="15.75" customHeight="1" x14ac:dyDescent="0.2">
      <c r="B524" s="59"/>
      <c r="D524" s="59"/>
      <c r="E524" s="59"/>
      <c r="G524" s="59"/>
      <c r="H524" s="59"/>
    </row>
    <row r="525" spans="2:8" ht="15.75" customHeight="1" x14ac:dyDescent="0.2">
      <c r="B525" s="59"/>
      <c r="D525" s="59"/>
      <c r="E525" s="59"/>
      <c r="G525" s="59"/>
      <c r="H525" s="59"/>
    </row>
    <row r="526" spans="2:8" ht="15.75" customHeight="1" x14ac:dyDescent="0.2">
      <c r="B526" s="59"/>
      <c r="D526" s="59"/>
      <c r="E526" s="59"/>
      <c r="G526" s="59"/>
      <c r="H526" s="59"/>
    </row>
    <row r="527" spans="2:8" ht="15.75" customHeight="1" x14ac:dyDescent="0.2">
      <c r="B527" s="59"/>
      <c r="D527" s="59"/>
      <c r="E527" s="59"/>
      <c r="G527" s="59"/>
      <c r="H527" s="59"/>
    </row>
    <row r="528" spans="2:8" ht="15.75" customHeight="1" x14ac:dyDescent="0.2">
      <c r="B528" s="59"/>
      <c r="D528" s="59"/>
      <c r="E528" s="59"/>
      <c r="G528" s="59"/>
      <c r="H528" s="59"/>
    </row>
    <row r="529" spans="2:8" ht="15.75" customHeight="1" x14ac:dyDescent="0.2">
      <c r="B529" s="59"/>
      <c r="D529" s="59"/>
      <c r="E529" s="59"/>
      <c r="G529" s="59"/>
      <c r="H529" s="59"/>
    </row>
    <row r="530" spans="2:8" ht="15.75" customHeight="1" x14ac:dyDescent="0.2">
      <c r="B530" s="59"/>
      <c r="D530" s="59"/>
      <c r="E530" s="59"/>
      <c r="G530" s="59"/>
      <c r="H530" s="59"/>
    </row>
    <row r="531" spans="2:8" ht="15.75" customHeight="1" x14ac:dyDescent="0.2">
      <c r="B531" s="59"/>
      <c r="D531" s="59"/>
      <c r="E531" s="59"/>
      <c r="G531" s="59"/>
      <c r="H531" s="59"/>
    </row>
    <row r="532" spans="2:8" ht="15.75" customHeight="1" x14ac:dyDescent="0.2">
      <c r="B532" s="59"/>
      <c r="D532" s="59"/>
      <c r="E532" s="59"/>
      <c r="G532" s="59"/>
      <c r="H532" s="59"/>
    </row>
    <row r="533" spans="2:8" ht="15.75" customHeight="1" x14ac:dyDescent="0.2">
      <c r="B533" s="59"/>
      <c r="D533" s="59"/>
      <c r="E533" s="59"/>
      <c r="G533" s="59"/>
      <c r="H533" s="59"/>
    </row>
    <row r="534" spans="2:8" ht="15.75" customHeight="1" x14ac:dyDescent="0.2">
      <c r="B534" s="59"/>
      <c r="D534" s="59"/>
      <c r="E534" s="59"/>
      <c r="G534" s="59"/>
      <c r="H534" s="59"/>
    </row>
    <row r="535" spans="2:8" ht="15.75" customHeight="1" x14ac:dyDescent="0.2">
      <c r="B535" s="59"/>
      <c r="D535" s="59"/>
      <c r="E535" s="59"/>
      <c r="G535" s="59"/>
      <c r="H535" s="59"/>
    </row>
    <row r="536" spans="2:8" ht="15.75" customHeight="1" x14ac:dyDescent="0.2">
      <c r="B536" s="59"/>
      <c r="D536" s="59"/>
      <c r="E536" s="59"/>
      <c r="G536" s="59"/>
      <c r="H536" s="59"/>
    </row>
    <row r="537" spans="2:8" ht="15.75" customHeight="1" x14ac:dyDescent="0.2">
      <c r="B537" s="59"/>
      <c r="D537" s="59"/>
      <c r="E537" s="59"/>
      <c r="G537" s="59"/>
      <c r="H537" s="59"/>
    </row>
    <row r="538" spans="2:8" ht="15.75" customHeight="1" x14ac:dyDescent="0.2">
      <c r="B538" s="59"/>
      <c r="D538" s="59"/>
      <c r="E538" s="59"/>
      <c r="G538" s="59"/>
      <c r="H538" s="59"/>
    </row>
    <row r="539" spans="2:8" ht="15.75" customHeight="1" x14ac:dyDescent="0.2">
      <c r="B539" s="59"/>
      <c r="D539" s="59"/>
      <c r="E539" s="59"/>
      <c r="G539" s="59"/>
      <c r="H539" s="59"/>
    </row>
    <row r="540" spans="2:8" ht="15.75" customHeight="1" x14ac:dyDescent="0.2">
      <c r="B540" s="59"/>
      <c r="D540" s="59"/>
      <c r="E540" s="59"/>
      <c r="G540" s="59"/>
      <c r="H540" s="59"/>
    </row>
    <row r="541" spans="2:8" ht="15.75" customHeight="1" x14ac:dyDescent="0.2">
      <c r="B541" s="59"/>
      <c r="D541" s="59"/>
      <c r="E541" s="59"/>
      <c r="G541" s="59"/>
      <c r="H541" s="59"/>
    </row>
    <row r="542" spans="2:8" ht="15.75" customHeight="1" x14ac:dyDescent="0.2">
      <c r="B542" s="59"/>
      <c r="D542" s="59"/>
      <c r="E542" s="59"/>
      <c r="G542" s="59"/>
      <c r="H542" s="59"/>
    </row>
    <row r="543" spans="2:8" ht="15.75" customHeight="1" x14ac:dyDescent="0.2">
      <c r="B543" s="59"/>
      <c r="D543" s="59"/>
      <c r="E543" s="59"/>
      <c r="G543" s="59"/>
      <c r="H543" s="59"/>
    </row>
    <row r="544" spans="2:8" ht="15.75" customHeight="1" x14ac:dyDescent="0.2">
      <c r="B544" s="59"/>
      <c r="D544" s="59"/>
      <c r="E544" s="59"/>
      <c r="G544" s="59"/>
      <c r="H544" s="59"/>
    </row>
    <row r="545" spans="2:8" ht="15.75" customHeight="1" x14ac:dyDescent="0.2">
      <c r="B545" s="59"/>
      <c r="D545" s="59"/>
      <c r="E545" s="59"/>
      <c r="G545" s="59"/>
      <c r="H545" s="59"/>
    </row>
    <row r="546" spans="2:8" ht="15.75" customHeight="1" x14ac:dyDescent="0.2">
      <c r="B546" s="59"/>
      <c r="D546" s="59"/>
      <c r="E546" s="59"/>
      <c r="G546" s="59"/>
      <c r="H546" s="59"/>
    </row>
    <row r="547" spans="2:8" ht="15.75" customHeight="1" x14ac:dyDescent="0.2">
      <c r="B547" s="59"/>
      <c r="D547" s="59"/>
      <c r="E547" s="59"/>
      <c r="G547" s="59"/>
      <c r="H547" s="59"/>
    </row>
    <row r="548" spans="2:8" ht="15.75" customHeight="1" x14ac:dyDescent="0.2">
      <c r="B548" s="59"/>
      <c r="D548" s="59"/>
      <c r="E548" s="59"/>
      <c r="G548" s="59"/>
      <c r="H548" s="59"/>
    </row>
    <row r="549" spans="2:8" ht="15.75" customHeight="1" x14ac:dyDescent="0.2">
      <c r="B549" s="59"/>
      <c r="D549" s="59"/>
      <c r="E549" s="59"/>
      <c r="G549" s="59"/>
      <c r="H549" s="59"/>
    </row>
    <row r="550" spans="2:8" ht="15.75" customHeight="1" x14ac:dyDescent="0.2">
      <c r="B550" s="59"/>
      <c r="D550" s="59"/>
      <c r="E550" s="59"/>
      <c r="G550" s="59"/>
      <c r="H550" s="59"/>
    </row>
    <row r="551" spans="2:8" ht="15.75" customHeight="1" x14ac:dyDescent="0.2">
      <c r="B551" s="59"/>
      <c r="D551" s="59"/>
      <c r="E551" s="59"/>
      <c r="G551" s="59"/>
      <c r="H551" s="59"/>
    </row>
    <row r="552" spans="2:8" ht="15.75" customHeight="1" x14ac:dyDescent="0.2">
      <c r="B552" s="59"/>
      <c r="D552" s="59"/>
      <c r="E552" s="59"/>
      <c r="G552" s="59"/>
      <c r="H552" s="59"/>
    </row>
    <row r="553" spans="2:8" ht="15.75" customHeight="1" x14ac:dyDescent="0.2">
      <c r="B553" s="59"/>
      <c r="D553" s="59"/>
      <c r="E553" s="59"/>
      <c r="G553" s="59"/>
      <c r="H553" s="59"/>
    </row>
    <row r="554" spans="2:8" ht="15.75" customHeight="1" x14ac:dyDescent="0.2">
      <c r="B554" s="59"/>
      <c r="D554" s="59"/>
      <c r="E554" s="59"/>
      <c r="G554" s="59"/>
      <c r="H554" s="59"/>
    </row>
    <row r="555" spans="2:8" ht="15.75" customHeight="1" x14ac:dyDescent="0.2">
      <c r="B555" s="59"/>
      <c r="D555" s="59"/>
      <c r="E555" s="59"/>
      <c r="G555" s="59"/>
      <c r="H555" s="59"/>
    </row>
    <row r="556" spans="2:8" ht="15.75" customHeight="1" x14ac:dyDescent="0.2">
      <c r="B556" s="59"/>
      <c r="D556" s="59"/>
      <c r="E556" s="59"/>
      <c r="G556" s="59"/>
      <c r="H556" s="59"/>
    </row>
    <row r="557" spans="2:8" ht="15.75" customHeight="1" x14ac:dyDescent="0.2">
      <c r="B557" s="59"/>
      <c r="D557" s="59"/>
      <c r="E557" s="59"/>
      <c r="G557" s="59"/>
      <c r="H557" s="59"/>
    </row>
    <row r="558" spans="2:8" ht="15.75" customHeight="1" x14ac:dyDescent="0.2">
      <c r="B558" s="59"/>
      <c r="D558" s="59"/>
      <c r="E558" s="59"/>
      <c r="G558" s="59"/>
      <c r="H558" s="59"/>
    </row>
    <row r="559" spans="2:8" ht="15.75" customHeight="1" x14ac:dyDescent="0.2">
      <c r="B559" s="59"/>
      <c r="D559" s="59"/>
      <c r="E559" s="59"/>
      <c r="G559" s="59"/>
      <c r="H559" s="59"/>
    </row>
    <row r="560" spans="2:8" ht="15.75" customHeight="1" x14ac:dyDescent="0.2">
      <c r="B560" s="59"/>
      <c r="D560" s="59"/>
      <c r="E560" s="59"/>
      <c r="G560" s="59"/>
      <c r="H560" s="59"/>
    </row>
    <row r="561" spans="2:8" ht="15.75" customHeight="1" x14ac:dyDescent="0.2">
      <c r="B561" s="59"/>
      <c r="D561" s="59"/>
      <c r="E561" s="59"/>
      <c r="G561" s="59"/>
      <c r="H561" s="59"/>
    </row>
    <row r="562" spans="2:8" ht="15.75" customHeight="1" x14ac:dyDescent="0.2">
      <c r="B562" s="59"/>
      <c r="D562" s="59"/>
      <c r="E562" s="59"/>
      <c r="G562" s="59"/>
      <c r="H562" s="59"/>
    </row>
    <row r="563" spans="2:8" ht="15.75" customHeight="1" x14ac:dyDescent="0.2">
      <c r="B563" s="59"/>
      <c r="D563" s="59"/>
      <c r="E563" s="59"/>
      <c r="G563" s="59"/>
      <c r="H563" s="59"/>
    </row>
    <row r="564" spans="2:8" ht="15.75" customHeight="1" x14ac:dyDescent="0.2">
      <c r="B564" s="59"/>
      <c r="D564" s="59"/>
      <c r="E564" s="59"/>
      <c r="G564" s="59"/>
      <c r="H564" s="59"/>
    </row>
    <row r="565" spans="2:8" ht="15.75" customHeight="1" x14ac:dyDescent="0.2">
      <c r="B565" s="59"/>
      <c r="D565" s="59"/>
      <c r="E565" s="59"/>
      <c r="G565" s="59"/>
      <c r="H565" s="59"/>
    </row>
    <row r="566" spans="2:8" ht="15.75" customHeight="1" x14ac:dyDescent="0.2">
      <c r="B566" s="59"/>
      <c r="D566" s="59"/>
      <c r="E566" s="59"/>
      <c r="G566" s="59"/>
      <c r="H566" s="59"/>
    </row>
    <row r="567" spans="2:8" ht="15.75" customHeight="1" x14ac:dyDescent="0.2">
      <c r="B567" s="59"/>
      <c r="D567" s="59"/>
      <c r="E567" s="59"/>
      <c r="G567" s="59"/>
      <c r="H567" s="59"/>
    </row>
    <row r="568" spans="2:8" ht="15.75" customHeight="1" x14ac:dyDescent="0.2">
      <c r="B568" s="59"/>
      <c r="D568" s="59"/>
      <c r="E568" s="59"/>
      <c r="G568" s="59"/>
      <c r="H568" s="59"/>
    </row>
    <row r="569" spans="2:8" ht="15.75" customHeight="1" x14ac:dyDescent="0.2">
      <c r="B569" s="59"/>
      <c r="D569" s="59"/>
      <c r="E569" s="59"/>
      <c r="G569" s="59"/>
      <c r="H569" s="59"/>
    </row>
    <row r="570" spans="2:8" ht="15.75" customHeight="1" x14ac:dyDescent="0.2">
      <c r="B570" s="59"/>
      <c r="D570" s="59"/>
      <c r="E570" s="59"/>
      <c r="G570" s="59"/>
      <c r="H570" s="59"/>
    </row>
    <row r="571" spans="2:8" ht="15.75" customHeight="1" x14ac:dyDescent="0.2">
      <c r="B571" s="59"/>
      <c r="D571" s="59"/>
      <c r="E571" s="59"/>
      <c r="G571" s="59"/>
      <c r="H571" s="59"/>
    </row>
    <row r="572" spans="2:8" ht="15.75" customHeight="1" x14ac:dyDescent="0.2">
      <c r="B572" s="59"/>
      <c r="D572" s="59"/>
      <c r="E572" s="59"/>
      <c r="G572" s="59"/>
      <c r="H572" s="59"/>
    </row>
    <row r="573" spans="2:8" ht="15.75" customHeight="1" x14ac:dyDescent="0.2">
      <c r="B573" s="59"/>
      <c r="D573" s="59"/>
      <c r="E573" s="59"/>
      <c r="G573" s="59"/>
      <c r="H573" s="59"/>
    </row>
    <row r="574" spans="2:8" ht="15.75" customHeight="1" x14ac:dyDescent="0.2">
      <c r="B574" s="59"/>
      <c r="D574" s="59"/>
      <c r="E574" s="59"/>
      <c r="G574" s="59"/>
      <c r="H574" s="59"/>
    </row>
    <row r="575" spans="2:8" ht="15.75" customHeight="1" x14ac:dyDescent="0.2">
      <c r="B575" s="59"/>
      <c r="D575" s="59"/>
      <c r="E575" s="59"/>
      <c r="G575" s="59"/>
      <c r="H575" s="59"/>
    </row>
    <row r="576" spans="2:8" ht="15.75" customHeight="1" x14ac:dyDescent="0.2">
      <c r="B576" s="59"/>
      <c r="D576" s="59"/>
      <c r="E576" s="59"/>
      <c r="G576" s="59"/>
      <c r="H576" s="59"/>
    </row>
    <row r="577" spans="2:8" ht="15.75" customHeight="1" x14ac:dyDescent="0.2">
      <c r="B577" s="59"/>
      <c r="D577" s="59"/>
      <c r="E577" s="59"/>
      <c r="G577" s="59"/>
      <c r="H577" s="59"/>
    </row>
    <row r="578" spans="2:8" ht="15.75" customHeight="1" x14ac:dyDescent="0.2">
      <c r="B578" s="59"/>
      <c r="D578" s="59"/>
      <c r="E578" s="59"/>
      <c r="G578" s="59"/>
      <c r="H578" s="59"/>
    </row>
    <row r="579" spans="2:8" ht="15.75" customHeight="1" x14ac:dyDescent="0.2">
      <c r="B579" s="59"/>
      <c r="D579" s="59"/>
      <c r="E579" s="59"/>
      <c r="G579" s="59"/>
      <c r="H579" s="59"/>
    </row>
    <row r="580" spans="2:8" ht="15.75" customHeight="1" x14ac:dyDescent="0.2">
      <c r="B580" s="59"/>
      <c r="D580" s="59"/>
      <c r="E580" s="59"/>
      <c r="G580" s="59"/>
      <c r="H580" s="59"/>
    </row>
    <row r="581" spans="2:8" ht="15.75" customHeight="1" x14ac:dyDescent="0.2">
      <c r="B581" s="59"/>
      <c r="D581" s="59"/>
      <c r="E581" s="59"/>
      <c r="G581" s="59"/>
      <c r="H581" s="59"/>
    </row>
    <row r="582" spans="2:8" ht="15.75" customHeight="1" x14ac:dyDescent="0.2">
      <c r="B582" s="59"/>
      <c r="D582" s="59"/>
      <c r="E582" s="59"/>
      <c r="G582" s="59"/>
      <c r="H582" s="59"/>
    </row>
    <row r="583" spans="2:8" ht="15.75" customHeight="1" x14ac:dyDescent="0.2">
      <c r="B583" s="59"/>
      <c r="D583" s="59"/>
      <c r="E583" s="59"/>
      <c r="G583" s="59"/>
      <c r="H583" s="59"/>
    </row>
    <row r="584" spans="2:8" ht="15.75" customHeight="1" x14ac:dyDescent="0.2">
      <c r="B584" s="59"/>
      <c r="D584" s="59"/>
      <c r="E584" s="59"/>
      <c r="G584" s="59"/>
      <c r="H584" s="59"/>
    </row>
    <row r="585" spans="2:8" ht="15.75" customHeight="1" x14ac:dyDescent="0.2">
      <c r="B585" s="59"/>
      <c r="D585" s="59"/>
      <c r="E585" s="59"/>
      <c r="G585" s="59"/>
      <c r="H585" s="59"/>
    </row>
    <row r="586" spans="2:8" ht="15.75" customHeight="1" x14ac:dyDescent="0.2">
      <c r="B586" s="59"/>
      <c r="D586" s="59"/>
      <c r="E586" s="59"/>
      <c r="G586" s="59"/>
      <c r="H586" s="59"/>
    </row>
    <row r="587" spans="2:8" ht="15.75" customHeight="1" x14ac:dyDescent="0.2">
      <c r="B587" s="59"/>
      <c r="D587" s="59"/>
      <c r="E587" s="59"/>
      <c r="G587" s="59"/>
      <c r="H587" s="59"/>
    </row>
    <row r="588" spans="2:8" ht="15.75" customHeight="1" x14ac:dyDescent="0.2">
      <c r="B588" s="59"/>
      <c r="D588" s="59"/>
      <c r="E588" s="59"/>
      <c r="G588" s="59"/>
      <c r="H588" s="59"/>
    </row>
    <row r="589" spans="2:8" ht="15.75" customHeight="1" x14ac:dyDescent="0.2">
      <c r="B589" s="59"/>
      <c r="D589" s="59"/>
      <c r="E589" s="59"/>
      <c r="G589" s="59"/>
      <c r="H589" s="59"/>
    </row>
    <row r="590" spans="2:8" ht="15.75" customHeight="1" x14ac:dyDescent="0.2">
      <c r="B590" s="59"/>
      <c r="D590" s="59"/>
      <c r="E590" s="59"/>
      <c r="G590" s="59"/>
      <c r="H590" s="59"/>
    </row>
    <row r="591" spans="2:8" ht="15.75" customHeight="1" x14ac:dyDescent="0.2">
      <c r="B591" s="59"/>
      <c r="D591" s="59"/>
      <c r="E591" s="59"/>
      <c r="G591" s="59"/>
      <c r="H591" s="59"/>
    </row>
    <row r="592" spans="2:8" ht="15.75" customHeight="1" x14ac:dyDescent="0.2">
      <c r="B592" s="59"/>
      <c r="D592" s="59"/>
      <c r="E592" s="59"/>
      <c r="G592" s="59"/>
      <c r="H592" s="59"/>
    </row>
    <row r="593" spans="2:8" ht="15.75" customHeight="1" x14ac:dyDescent="0.2">
      <c r="B593" s="59"/>
      <c r="D593" s="59"/>
      <c r="E593" s="59"/>
      <c r="G593" s="59"/>
      <c r="H593" s="59"/>
    </row>
    <row r="594" spans="2:8" ht="15.75" customHeight="1" x14ac:dyDescent="0.2">
      <c r="B594" s="59"/>
      <c r="D594" s="59"/>
      <c r="E594" s="59"/>
      <c r="G594" s="59"/>
      <c r="H594" s="59"/>
    </row>
    <row r="595" spans="2:8" ht="15.75" customHeight="1" x14ac:dyDescent="0.2">
      <c r="B595" s="59"/>
      <c r="D595" s="59"/>
      <c r="E595" s="59"/>
      <c r="G595" s="59"/>
      <c r="H595" s="59"/>
    </row>
    <row r="596" spans="2:8" ht="15.75" customHeight="1" x14ac:dyDescent="0.2">
      <c r="B596" s="59"/>
      <c r="D596" s="59"/>
      <c r="E596" s="59"/>
      <c r="G596" s="59"/>
      <c r="H596" s="59"/>
    </row>
    <row r="597" spans="2:8" ht="15.75" customHeight="1" x14ac:dyDescent="0.2">
      <c r="B597" s="59"/>
      <c r="D597" s="59"/>
      <c r="E597" s="59"/>
      <c r="G597" s="59"/>
      <c r="H597" s="59"/>
    </row>
    <row r="598" spans="2:8" ht="15.75" customHeight="1" x14ac:dyDescent="0.2">
      <c r="B598" s="59"/>
      <c r="D598" s="59"/>
      <c r="E598" s="59"/>
      <c r="G598" s="59"/>
      <c r="H598" s="59"/>
    </row>
    <row r="599" spans="2:8" ht="15.75" customHeight="1" x14ac:dyDescent="0.2">
      <c r="B599" s="59"/>
      <c r="D599" s="59"/>
      <c r="E599" s="59"/>
      <c r="G599" s="59"/>
      <c r="H599" s="59"/>
    </row>
    <row r="600" spans="2:8" ht="15.75" customHeight="1" x14ac:dyDescent="0.2">
      <c r="B600" s="59"/>
      <c r="D600" s="59"/>
      <c r="E600" s="59"/>
      <c r="G600" s="59"/>
      <c r="H600" s="59"/>
    </row>
    <row r="601" spans="2:8" ht="15.75" customHeight="1" x14ac:dyDescent="0.2">
      <c r="B601" s="59"/>
      <c r="D601" s="59"/>
      <c r="E601" s="59"/>
      <c r="G601" s="59"/>
      <c r="H601" s="59"/>
    </row>
    <row r="602" spans="2:8" ht="15.75" customHeight="1" x14ac:dyDescent="0.2">
      <c r="B602" s="59"/>
      <c r="D602" s="59"/>
      <c r="E602" s="59"/>
      <c r="G602" s="59"/>
      <c r="H602" s="59"/>
    </row>
    <row r="603" spans="2:8" ht="15.75" customHeight="1" x14ac:dyDescent="0.2">
      <c r="B603" s="59"/>
      <c r="D603" s="59"/>
      <c r="E603" s="59"/>
      <c r="G603" s="59"/>
      <c r="H603" s="59"/>
    </row>
    <row r="604" spans="2:8" ht="15.75" customHeight="1" x14ac:dyDescent="0.2">
      <c r="B604" s="59"/>
      <c r="D604" s="59"/>
      <c r="E604" s="59"/>
      <c r="G604" s="59"/>
      <c r="H604" s="59"/>
    </row>
    <row r="605" spans="2:8" ht="15.75" customHeight="1" x14ac:dyDescent="0.2">
      <c r="B605" s="59"/>
      <c r="D605" s="59"/>
      <c r="E605" s="59"/>
      <c r="G605" s="59"/>
      <c r="H605" s="59"/>
    </row>
    <row r="606" spans="2:8" ht="15.75" customHeight="1" x14ac:dyDescent="0.2">
      <c r="B606" s="59"/>
      <c r="D606" s="59"/>
      <c r="E606" s="59"/>
      <c r="G606" s="59"/>
      <c r="H606" s="59"/>
    </row>
    <row r="607" spans="2:8" ht="15.75" customHeight="1" x14ac:dyDescent="0.2">
      <c r="B607" s="59"/>
      <c r="D607" s="59"/>
      <c r="E607" s="59"/>
      <c r="G607" s="59"/>
      <c r="H607" s="59"/>
    </row>
    <row r="608" spans="2:8" ht="15.75" customHeight="1" x14ac:dyDescent="0.2">
      <c r="B608" s="59"/>
      <c r="D608" s="59"/>
      <c r="E608" s="59"/>
      <c r="G608" s="59"/>
      <c r="H608" s="59"/>
    </row>
    <row r="609" spans="2:8" ht="15.75" customHeight="1" x14ac:dyDescent="0.2">
      <c r="B609" s="59"/>
      <c r="D609" s="59"/>
      <c r="E609" s="59"/>
      <c r="G609" s="59"/>
      <c r="H609" s="59"/>
    </row>
    <row r="610" spans="2:8" ht="15.75" customHeight="1" x14ac:dyDescent="0.2">
      <c r="B610" s="59"/>
      <c r="D610" s="59"/>
      <c r="E610" s="59"/>
      <c r="G610" s="59"/>
      <c r="H610" s="59"/>
    </row>
    <row r="611" spans="2:8" ht="15.75" customHeight="1" x14ac:dyDescent="0.2">
      <c r="B611" s="59"/>
      <c r="D611" s="59"/>
      <c r="E611" s="59"/>
      <c r="G611" s="59"/>
      <c r="H611" s="59"/>
    </row>
    <row r="612" spans="2:8" ht="15.75" customHeight="1" x14ac:dyDescent="0.2">
      <c r="B612" s="59"/>
      <c r="D612" s="59"/>
      <c r="E612" s="59"/>
      <c r="G612" s="59"/>
      <c r="H612" s="59"/>
    </row>
    <row r="613" spans="2:8" ht="15.75" customHeight="1" x14ac:dyDescent="0.2">
      <c r="B613" s="59"/>
      <c r="D613" s="59"/>
      <c r="E613" s="59"/>
      <c r="G613" s="59"/>
      <c r="H613" s="59"/>
    </row>
    <row r="614" spans="2:8" ht="15.75" customHeight="1" x14ac:dyDescent="0.2">
      <c r="B614" s="59"/>
      <c r="D614" s="59"/>
      <c r="E614" s="59"/>
      <c r="G614" s="59"/>
      <c r="H614" s="59"/>
    </row>
    <row r="615" spans="2:8" ht="15.75" customHeight="1" x14ac:dyDescent="0.2">
      <c r="B615" s="59"/>
      <c r="D615" s="59"/>
      <c r="E615" s="59"/>
      <c r="G615" s="59"/>
      <c r="H615" s="59"/>
    </row>
    <row r="616" spans="2:8" ht="15.75" customHeight="1" x14ac:dyDescent="0.2">
      <c r="B616" s="59"/>
      <c r="D616" s="59"/>
      <c r="E616" s="59"/>
      <c r="G616" s="59"/>
      <c r="H616" s="59"/>
    </row>
    <row r="617" spans="2:8" ht="15.75" customHeight="1" x14ac:dyDescent="0.2">
      <c r="B617" s="59"/>
      <c r="D617" s="59"/>
      <c r="E617" s="59"/>
      <c r="G617" s="59"/>
      <c r="H617" s="59"/>
    </row>
    <row r="618" spans="2:8" ht="15.75" customHeight="1" x14ac:dyDescent="0.2">
      <c r="B618" s="59"/>
      <c r="D618" s="59"/>
      <c r="E618" s="59"/>
      <c r="G618" s="59"/>
      <c r="H618" s="59"/>
    </row>
    <row r="619" spans="2:8" ht="15.75" customHeight="1" x14ac:dyDescent="0.2">
      <c r="B619" s="59"/>
      <c r="D619" s="59"/>
      <c r="E619" s="59"/>
      <c r="G619" s="59"/>
      <c r="H619" s="59"/>
    </row>
    <row r="620" spans="2:8" ht="15.75" customHeight="1" x14ac:dyDescent="0.2">
      <c r="B620" s="59"/>
      <c r="D620" s="59"/>
      <c r="E620" s="59"/>
      <c r="G620" s="59"/>
      <c r="H620" s="59"/>
    </row>
    <row r="621" spans="2:8" ht="15.75" customHeight="1" x14ac:dyDescent="0.2">
      <c r="B621" s="59"/>
      <c r="D621" s="59"/>
      <c r="E621" s="59"/>
      <c r="G621" s="59"/>
      <c r="H621" s="59"/>
    </row>
    <row r="622" spans="2:8" ht="15.75" customHeight="1" x14ac:dyDescent="0.2">
      <c r="B622" s="59"/>
      <c r="D622" s="59"/>
      <c r="E622" s="59"/>
      <c r="G622" s="59"/>
      <c r="H622" s="59"/>
    </row>
    <row r="623" spans="2:8" ht="15.75" customHeight="1" x14ac:dyDescent="0.2">
      <c r="B623" s="59"/>
      <c r="D623" s="59"/>
      <c r="E623" s="59"/>
      <c r="G623" s="59"/>
      <c r="H623" s="59"/>
    </row>
    <row r="624" spans="2:8" ht="15.75" customHeight="1" x14ac:dyDescent="0.2">
      <c r="B624" s="59"/>
      <c r="D624" s="59"/>
      <c r="E624" s="59"/>
      <c r="G624" s="59"/>
      <c r="H624" s="59"/>
    </row>
    <row r="625" spans="2:8" ht="15.75" customHeight="1" x14ac:dyDescent="0.2">
      <c r="B625" s="59"/>
      <c r="D625" s="59"/>
      <c r="E625" s="59"/>
      <c r="G625" s="59"/>
      <c r="H625" s="59"/>
    </row>
    <row r="626" spans="2:8" ht="15.75" customHeight="1" x14ac:dyDescent="0.2">
      <c r="B626" s="59"/>
      <c r="D626" s="59"/>
      <c r="E626" s="59"/>
      <c r="G626" s="59"/>
      <c r="H626" s="59"/>
    </row>
    <row r="627" spans="2:8" ht="15.75" customHeight="1" x14ac:dyDescent="0.2">
      <c r="B627" s="59"/>
      <c r="D627" s="59"/>
      <c r="E627" s="59"/>
      <c r="G627" s="59"/>
      <c r="H627" s="59"/>
    </row>
    <row r="628" spans="2:8" ht="15.75" customHeight="1" x14ac:dyDescent="0.2">
      <c r="B628" s="59"/>
      <c r="D628" s="59"/>
      <c r="E628" s="59"/>
      <c r="G628" s="59"/>
      <c r="H628" s="59"/>
    </row>
    <row r="629" spans="2:8" ht="15.75" customHeight="1" x14ac:dyDescent="0.2">
      <c r="B629" s="59"/>
      <c r="D629" s="59"/>
      <c r="E629" s="59"/>
      <c r="G629" s="59"/>
      <c r="H629" s="59"/>
    </row>
    <row r="630" spans="2:8" ht="15.75" customHeight="1" x14ac:dyDescent="0.2">
      <c r="B630" s="59"/>
      <c r="D630" s="59"/>
      <c r="E630" s="59"/>
      <c r="G630" s="59"/>
      <c r="H630" s="59"/>
    </row>
    <row r="631" spans="2:8" ht="15.75" customHeight="1" x14ac:dyDescent="0.2">
      <c r="B631" s="59"/>
      <c r="D631" s="59"/>
      <c r="E631" s="59"/>
      <c r="G631" s="59"/>
      <c r="H631" s="59"/>
    </row>
    <row r="632" spans="2:8" ht="15.75" customHeight="1" x14ac:dyDescent="0.2">
      <c r="B632" s="59"/>
      <c r="D632" s="59"/>
      <c r="E632" s="59"/>
      <c r="G632" s="59"/>
      <c r="H632" s="59"/>
    </row>
    <row r="633" spans="2:8" ht="15.75" customHeight="1" x14ac:dyDescent="0.2">
      <c r="B633" s="59"/>
      <c r="D633" s="59"/>
      <c r="E633" s="59"/>
      <c r="G633" s="59"/>
      <c r="H633" s="59"/>
    </row>
    <row r="634" spans="2:8" ht="15.75" customHeight="1" x14ac:dyDescent="0.2">
      <c r="B634" s="59"/>
      <c r="D634" s="59"/>
      <c r="E634" s="59"/>
      <c r="G634" s="59"/>
      <c r="H634" s="59"/>
    </row>
    <row r="635" spans="2:8" ht="15.75" customHeight="1" x14ac:dyDescent="0.2">
      <c r="B635" s="59"/>
      <c r="D635" s="59"/>
      <c r="E635" s="59"/>
      <c r="G635" s="59"/>
      <c r="H635" s="59"/>
    </row>
    <row r="636" spans="2:8" ht="15.75" customHeight="1" x14ac:dyDescent="0.2">
      <c r="B636" s="59"/>
      <c r="D636" s="59"/>
      <c r="E636" s="59"/>
      <c r="G636" s="59"/>
      <c r="H636" s="59"/>
    </row>
    <row r="637" spans="2:8" ht="15.75" customHeight="1" x14ac:dyDescent="0.2">
      <c r="B637" s="59"/>
      <c r="D637" s="59"/>
      <c r="E637" s="59"/>
      <c r="G637" s="59"/>
      <c r="H637" s="59"/>
    </row>
    <row r="638" spans="2:8" ht="15.75" customHeight="1" x14ac:dyDescent="0.2">
      <c r="B638" s="59"/>
      <c r="D638" s="59"/>
      <c r="E638" s="59"/>
      <c r="G638" s="59"/>
      <c r="H638" s="59"/>
    </row>
    <row r="639" spans="2:8" ht="15.75" customHeight="1" x14ac:dyDescent="0.2">
      <c r="B639" s="59"/>
      <c r="D639" s="59"/>
      <c r="E639" s="59"/>
      <c r="G639" s="59"/>
      <c r="H639" s="59"/>
    </row>
    <row r="640" spans="2:8" ht="15.75" customHeight="1" x14ac:dyDescent="0.2">
      <c r="B640" s="59"/>
      <c r="D640" s="59"/>
      <c r="E640" s="59"/>
      <c r="G640" s="59"/>
      <c r="H640" s="59"/>
    </row>
    <row r="641" spans="2:8" ht="15.75" customHeight="1" x14ac:dyDescent="0.2">
      <c r="B641" s="59"/>
      <c r="D641" s="59"/>
      <c r="E641" s="59"/>
      <c r="G641" s="59"/>
      <c r="H641" s="59"/>
    </row>
    <row r="642" spans="2:8" ht="15.75" customHeight="1" x14ac:dyDescent="0.2">
      <c r="B642" s="59"/>
      <c r="D642" s="59"/>
      <c r="E642" s="59"/>
      <c r="G642" s="59"/>
      <c r="H642" s="59"/>
    </row>
    <row r="643" spans="2:8" ht="15.75" customHeight="1" x14ac:dyDescent="0.2">
      <c r="B643" s="59"/>
      <c r="D643" s="59"/>
      <c r="E643" s="59"/>
      <c r="G643" s="59"/>
      <c r="H643" s="59"/>
    </row>
    <row r="644" spans="2:8" ht="15.75" customHeight="1" x14ac:dyDescent="0.2">
      <c r="B644" s="59"/>
      <c r="D644" s="59"/>
      <c r="E644" s="59"/>
      <c r="G644" s="59"/>
      <c r="H644" s="59"/>
    </row>
    <row r="645" spans="2:8" ht="15.75" customHeight="1" x14ac:dyDescent="0.2">
      <c r="B645" s="59"/>
      <c r="D645" s="59"/>
      <c r="E645" s="59"/>
      <c r="G645" s="59"/>
      <c r="H645" s="59"/>
    </row>
    <row r="646" spans="2:8" ht="15.75" customHeight="1" x14ac:dyDescent="0.2">
      <c r="B646" s="59"/>
      <c r="D646" s="59"/>
      <c r="E646" s="59"/>
      <c r="G646" s="59"/>
      <c r="H646" s="59"/>
    </row>
    <row r="647" spans="2:8" ht="15.75" customHeight="1" x14ac:dyDescent="0.2">
      <c r="B647" s="59"/>
      <c r="D647" s="59"/>
      <c r="E647" s="59"/>
      <c r="G647" s="59"/>
      <c r="H647" s="59"/>
    </row>
    <row r="648" spans="2:8" ht="15.75" customHeight="1" x14ac:dyDescent="0.2">
      <c r="B648" s="59"/>
      <c r="D648" s="59"/>
      <c r="E648" s="59"/>
      <c r="G648" s="59"/>
      <c r="H648" s="59"/>
    </row>
    <row r="649" spans="2:8" ht="15.75" customHeight="1" x14ac:dyDescent="0.2">
      <c r="B649" s="59"/>
      <c r="D649" s="59"/>
      <c r="E649" s="59"/>
      <c r="G649" s="59"/>
      <c r="H649" s="59"/>
    </row>
    <row r="650" spans="2:8" ht="15.75" customHeight="1" x14ac:dyDescent="0.2">
      <c r="B650" s="59"/>
      <c r="D650" s="59"/>
      <c r="E650" s="59"/>
      <c r="G650" s="59"/>
      <c r="H650" s="59"/>
    </row>
    <row r="651" spans="2:8" ht="15.75" customHeight="1" x14ac:dyDescent="0.2">
      <c r="B651" s="59"/>
      <c r="D651" s="59"/>
      <c r="E651" s="59"/>
      <c r="G651" s="59"/>
      <c r="H651" s="59"/>
    </row>
    <row r="652" spans="2:8" ht="15.75" customHeight="1" x14ac:dyDescent="0.2">
      <c r="B652" s="59"/>
      <c r="D652" s="59"/>
      <c r="E652" s="59"/>
      <c r="G652" s="59"/>
      <c r="H652" s="59"/>
    </row>
    <row r="653" spans="2:8" ht="15.75" customHeight="1" x14ac:dyDescent="0.2">
      <c r="B653" s="59"/>
      <c r="D653" s="59"/>
      <c r="E653" s="59"/>
      <c r="G653" s="59"/>
      <c r="H653" s="59"/>
    </row>
    <row r="654" spans="2:8" ht="15.75" customHeight="1" x14ac:dyDescent="0.2">
      <c r="B654" s="59"/>
      <c r="D654" s="59"/>
      <c r="E654" s="59"/>
      <c r="G654" s="59"/>
      <c r="H654" s="59"/>
    </row>
    <row r="655" spans="2:8" ht="15.75" customHeight="1" x14ac:dyDescent="0.2">
      <c r="B655" s="59"/>
      <c r="D655" s="59"/>
      <c r="E655" s="59"/>
      <c r="G655" s="59"/>
      <c r="H655" s="59"/>
    </row>
    <row r="656" spans="2:8" ht="15.75" customHeight="1" x14ac:dyDescent="0.2">
      <c r="B656" s="59"/>
      <c r="D656" s="59"/>
      <c r="E656" s="59"/>
      <c r="G656" s="59"/>
      <c r="H656" s="59"/>
    </row>
    <row r="657" spans="2:8" ht="15.75" customHeight="1" x14ac:dyDescent="0.2">
      <c r="B657" s="59"/>
      <c r="D657" s="59"/>
      <c r="E657" s="59"/>
      <c r="G657" s="59"/>
      <c r="H657" s="59"/>
    </row>
    <row r="658" spans="2:8" ht="15.75" customHeight="1" x14ac:dyDescent="0.2">
      <c r="B658" s="59"/>
      <c r="D658" s="59"/>
      <c r="E658" s="59"/>
      <c r="G658" s="59"/>
      <c r="H658" s="59"/>
    </row>
    <row r="659" spans="2:8" ht="15.75" customHeight="1" x14ac:dyDescent="0.2">
      <c r="B659" s="59"/>
      <c r="D659" s="59"/>
      <c r="E659" s="59"/>
      <c r="G659" s="59"/>
      <c r="H659" s="59"/>
    </row>
    <row r="660" spans="2:8" ht="15.75" customHeight="1" x14ac:dyDescent="0.2">
      <c r="B660" s="59"/>
      <c r="D660" s="59"/>
      <c r="E660" s="59"/>
      <c r="G660" s="59"/>
      <c r="H660" s="59"/>
    </row>
    <row r="661" spans="2:8" ht="15.75" customHeight="1" x14ac:dyDescent="0.2">
      <c r="B661" s="59"/>
      <c r="D661" s="59"/>
      <c r="E661" s="59"/>
      <c r="G661" s="59"/>
      <c r="H661" s="59"/>
    </row>
    <row r="662" spans="2:8" ht="15.75" customHeight="1" x14ac:dyDescent="0.2">
      <c r="B662" s="59"/>
      <c r="D662" s="59"/>
      <c r="E662" s="59"/>
      <c r="G662" s="59"/>
      <c r="H662" s="59"/>
    </row>
    <row r="663" spans="2:8" ht="15.75" customHeight="1" x14ac:dyDescent="0.2">
      <c r="B663" s="59"/>
      <c r="D663" s="59"/>
      <c r="E663" s="59"/>
      <c r="G663" s="59"/>
      <c r="H663" s="59"/>
    </row>
    <row r="664" spans="2:8" ht="15.75" customHeight="1" x14ac:dyDescent="0.2">
      <c r="B664" s="59"/>
      <c r="D664" s="59"/>
      <c r="E664" s="59"/>
      <c r="G664" s="59"/>
      <c r="H664" s="59"/>
    </row>
    <row r="665" spans="2:8" ht="15.75" customHeight="1" x14ac:dyDescent="0.2">
      <c r="B665" s="59"/>
      <c r="D665" s="59"/>
      <c r="E665" s="59"/>
      <c r="G665" s="59"/>
      <c r="H665" s="59"/>
    </row>
    <row r="666" spans="2:8" ht="15.75" customHeight="1" x14ac:dyDescent="0.2">
      <c r="B666" s="59"/>
      <c r="D666" s="59"/>
      <c r="E666" s="59"/>
      <c r="G666" s="59"/>
      <c r="H666" s="59"/>
    </row>
    <row r="667" spans="2:8" ht="15.75" customHeight="1" x14ac:dyDescent="0.2">
      <c r="B667" s="59"/>
      <c r="D667" s="59"/>
      <c r="E667" s="59"/>
      <c r="G667" s="59"/>
      <c r="H667" s="59"/>
    </row>
    <row r="668" spans="2:8" ht="15.75" customHeight="1" x14ac:dyDescent="0.2">
      <c r="B668" s="59"/>
      <c r="D668" s="59"/>
      <c r="E668" s="59"/>
      <c r="G668" s="59"/>
      <c r="H668" s="59"/>
    </row>
    <row r="669" spans="2:8" ht="15.75" customHeight="1" x14ac:dyDescent="0.2">
      <c r="B669" s="59"/>
      <c r="D669" s="59"/>
      <c r="E669" s="59"/>
      <c r="G669" s="59"/>
      <c r="H669" s="59"/>
    </row>
    <row r="670" spans="2:8" ht="15.75" customHeight="1" x14ac:dyDescent="0.2">
      <c r="B670" s="59"/>
      <c r="D670" s="59"/>
      <c r="E670" s="59"/>
      <c r="G670" s="59"/>
      <c r="H670" s="59"/>
    </row>
    <row r="671" spans="2:8" ht="15.75" customHeight="1" x14ac:dyDescent="0.2">
      <c r="B671" s="59"/>
      <c r="D671" s="59"/>
      <c r="E671" s="59"/>
      <c r="G671" s="59"/>
      <c r="H671" s="59"/>
    </row>
    <row r="672" spans="2:8" ht="15.75" customHeight="1" x14ac:dyDescent="0.2">
      <c r="B672" s="59"/>
      <c r="D672" s="59"/>
      <c r="E672" s="59"/>
      <c r="G672" s="59"/>
      <c r="H672" s="59"/>
    </row>
    <row r="673" spans="2:8" ht="15.75" customHeight="1" x14ac:dyDescent="0.2">
      <c r="B673" s="59"/>
      <c r="D673" s="59"/>
      <c r="E673" s="59"/>
      <c r="G673" s="59"/>
      <c r="H673" s="59"/>
    </row>
    <row r="674" spans="2:8" ht="15.75" customHeight="1" x14ac:dyDescent="0.2">
      <c r="B674" s="59"/>
      <c r="D674" s="59"/>
      <c r="E674" s="59"/>
      <c r="G674" s="59"/>
      <c r="H674" s="59"/>
    </row>
    <row r="675" spans="2:8" ht="15.75" customHeight="1" x14ac:dyDescent="0.2">
      <c r="B675" s="59"/>
      <c r="D675" s="59"/>
      <c r="E675" s="59"/>
      <c r="G675" s="59"/>
      <c r="H675" s="59"/>
    </row>
    <row r="676" spans="2:8" ht="15.75" customHeight="1" x14ac:dyDescent="0.2">
      <c r="B676" s="59"/>
      <c r="D676" s="59"/>
      <c r="E676" s="59"/>
      <c r="G676" s="59"/>
      <c r="H676" s="59"/>
    </row>
    <row r="677" spans="2:8" ht="15.75" customHeight="1" x14ac:dyDescent="0.2">
      <c r="B677" s="59"/>
      <c r="D677" s="59"/>
      <c r="E677" s="59"/>
      <c r="G677" s="59"/>
      <c r="H677" s="59"/>
    </row>
    <row r="678" spans="2:8" ht="15.75" customHeight="1" x14ac:dyDescent="0.2">
      <c r="B678" s="59"/>
      <c r="D678" s="59"/>
      <c r="E678" s="59"/>
      <c r="G678" s="59"/>
      <c r="H678" s="59"/>
    </row>
    <row r="679" spans="2:8" ht="15.75" customHeight="1" x14ac:dyDescent="0.2">
      <c r="B679" s="59"/>
      <c r="D679" s="59"/>
      <c r="E679" s="59"/>
      <c r="G679" s="59"/>
      <c r="H679" s="59"/>
    </row>
    <row r="680" spans="2:8" ht="15.75" customHeight="1" x14ac:dyDescent="0.2">
      <c r="B680" s="59"/>
      <c r="D680" s="59"/>
      <c r="E680" s="59"/>
      <c r="G680" s="59"/>
      <c r="H680" s="59"/>
    </row>
    <row r="681" spans="2:8" ht="15.75" customHeight="1" x14ac:dyDescent="0.2">
      <c r="B681" s="59"/>
      <c r="D681" s="59"/>
      <c r="E681" s="59"/>
      <c r="G681" s="59"/>
      <c r="H681" s="59"/>
    </row>
    <row r="682" spans="2:8" ht="15.75" customHeight="1" x14ac:dyDescent="0.2">
      <c r="B682" s="59"/>
      <c r="D682" s="59"/>
      <c r="E682" s="59"/>
      <c r="G682" s="59"/>
      <c r="H682" s="59"/>
    </row>
    <row r="683" spans="2:8" ht="15.75" customHeight="1" x14ac:dyDescent="0.2">
      <c r="B683" s="59"/>
      <c r="D683" s="59"/>
      <c r="E683" s="59"/>
      <c r="G683" s="59"/>
      <c r="H683" s="59"/>
    </row>
    <row r="684" spans="2:8" ht="15.75" customHeight="1" x14ac:dyDescent="0.2">
      <c r="B684" s="59"/>
      <c r="D684" s="59"/>
      <c r="E684" s="59"/>
      <c r="G684" s="59"/>
      <c r="H684" s="59"/>
    </row>
    <row r="685" spans="2:8" ht="15.75" customHeight="1" x14ac:dyDescent="0.2">
      <c r="B685" s="59"/>
      <c r="D685" s="59"/>
      <c r="E685" s="59"/>
      <c r="G685" s="59"/>
      <c r="H685" s="59"/>
    </row>
    <row r="686" spans="2:8" ht="15.75" customHeight="1" x14ac:dyDescent="0.2">
      <c r="B686" s="59"/>
      <c r="D686" s="59"/>
      <c r="E686" s="59"/>
      <c r="G686" s="59"/>
      <c r="H686" s="59"/>
    </row>
    <row r="687" spans="2:8" ht="15.75" customHeight="1" x14ac:dyDescent="0.2">
      <c r="B687" s="59"/>
      <c r="D687" s="59"/>
      <c r="E687" s="59"/>
      <c r="G687" s="59"/>
      <c r="H687" s="59"/>
    </row>
    <row r="688" spans="2:8" ht="15.75" customHeight="1" x14ac:dyDescent="0.2">
      <c r="B688" s="59"/>
      <c r="D688" s="59"/>
      <c r="E688" s="59"/>
      <c r="G688" s="59"/>
      <c r="H688" s="59"/>
    </row>
    <row r="689" spans="2:8" ht="15.75" customHeight="1" x14ac:dyDescent="0.2">
      <c r="B689" s="59"/>
      <c r="D689" s="59"/>
      <c r="E689" s="59"/>
      <c r="G689" s="59"/>
      <c r="H689" s="59"/>
    </row>
    <row r="690" spans="2:8" ht="15.75" customHeight="1" x14ac:dyDescent="0.2">
      <c r="B690" s="59"/>
      <c r="D690" s="59"/>
      <c r="E690" s="59"/>
      <c r="G690" s="59"/>
      <c r="H690" s="59"/>
    </row>
    <row r="691" spans="2:8" ht="15.75" customHeight="1" x14ac:dyDescent="0.2">
      <c r="B691" s="59"/>
      <c r="D691" s="59"/>
      <c r="E691" s="59"/>
      <c r="G691" s="59"/>
      <c r="H691" s="59"/>
    </row>
    <row r="692" spans="2:8" ht="15.75" customHeight="1" x14ac:dyDescent="0.2">
      <c r="B692" s="59"/>
      <c r="D692" s="59"/>
      <c r="E692" s="59"/>
      <c r="G692" s="59"/>
      <c r="H692" s="59"/>
    </row>
    <row r="693" spans="2:8" ht="15.75" customHeight="1" x14ac:dyDescent="0.2">
      <c r="B693" s="59"/>
      <c r="D693" s="59"/>
      <c r="E693" s="59"/>
      <c r="G693" s="59"/>
      <c r="H693" s="59"/>
    </row>
    <row r="694" spans="2:8" ht="15.75" customHeight="1" x14ac:dyDescent="0.2">
      <c r="B694" s="59"/>
      <c r="D694" s="59"/>
      <c r="E694" s="59"/>
      <c r="G694" s="59"/>
      <c r="H694" s="59"/>
    </row>
    <row r="695" spans="2:8" ht="15.75" customHeight="1" x14ac:dyDescent="0.2">
      <c r="B695" s="59"/>
      <c r="D695" s="59"/>
      <c r="E695" s="59"/>
      <c r="G695" s="59"/>
      <c r="H695" s="59"/>
    </row>
    <row r="696" spans="2:8" ht="15.75" customHeight="1" x14ac:dyDescent="0.2">
      <c r="B696" s="59"/>
      <c r="D696" s="59"/>
      <c r="E696" s="59"/>
      <c r="G696" s="59"/>
      <c r="H696" s="59"/>
    </row>
    <row r="697" spans="2:8" ht="15.75" customHeight="1" x14ac:dyDescent="0.2">
      <c r="B697" s="59"/>
      <c r="D697" s="59"/>
      <c r="E697" s="59"/>
      <c r="G697" s="59"/>
      <c r="H697" s="59"/>
    </row>
    <row r="698" spans="2:8" ht="15.75" customHeight="1" x14ac:dyDescent="0.2">
      <c r="B698" s="59"/>
      <c r="D698" s="59"/>
      <c r="E698" s="59"/>
      <c r="G698" s="59"/>
      <c r="H698" s="59"/>
    </row>
    <row r="699" spans="2:8" ht="15.75" customHeight="1" x14ac:dyDescent="0.2">
      <c r="B699" s="59"/>
      <c r="D699" s="59"/>
      <c r="E699" s="59"/>
      <c r="G699" s="59"/>
      <c r="H699" s="59"/>
    </row>
    <row r="700" spans="2:8" ht="15.75" customHeight="1" x14ac:dyDescent="0.2">
      <c r="B700" s="59"/>
      <c r="D700" s="59"/>
      <c r="E700" s="59"/>
      <c r="G700" s="59"/>
      <c r="H700" s="59"/>
    </row>
    <row r="701" spans="2:8" ht="15.75" customHeight="1" x14ac:dyDescent="0.2">
      <c r="B701" s="59"/>
      <c r="D701" s="59"/>
      <c r="E701" s="59"/>
      <c r="G701" s="59"/>
      <c r="H701" s="59"/>
    </row>
    <row r="702" spans="2:8" ht="15.75" customHeight="1" x14ac:dyDescent="0.2">
      <c r="B702" s="59"/>
      <c r="D702" s="59"/>
      <c r="E702" s="59"/>
      <c r="G702" s="59"/>
      <c r="H702" s="59"/>
    </row>
    <row r="703" spans="2:8" ht="15.75" customHeight="1" x14ac:dyDescent="0.2">
      <c r="B703" s="59"/>
      <c r="D703" s="59"/>
      <c r="E703" s="59"/>
      <c r="G703" s="59"/>
      <c r="H703" s="59"/>
    </row>
    <row r="704" spans="2:8" ht="15.75" customHeight="1" x14ac:dyDescent="0.2">
      <c r="B704" s="59"/>
      <c r="D704" s="59"/>
      <c r="E704" s="59"/>
      <c r="G704" s="59"/>
      <c r="H704" s="59"/>
    </row>
    <row r="705" spans="2:8" ht="15.75" customHeight="1" x14ac:dyDescent="0.2">
      <c r="B705" s="59"/>
      <c r="D705" s="59"/>
      <c r="E705" s="59"/>
      <c r="G705" s="59"/>
      <c r="H705" s="59"/>
    </row>
    <row r="706" spans="2:8" ht="15.75" customHeight="1" x14ac:dyDescent="0.2">
      <c r="B706" s="59"/>
      <c r="D706" s="59"/>
      <c r="E706" s="59"/>
      <c r="G706" s="59"/>
      <c r="H706" s="59"/>
    </row>
    <row r="707" spans="2:8" ht="15.75" customHeight="1" x14ac:dyDescent="0.2">
      <c r="B707" s="59"/>
      <c r="D707" s="59"/>
      <c r="E707" s="59"/>
      <c r="G707" s="59"/>
      <c r="H707" s="59"/>
    </row>
    <row r="708" spans="2:8" ht="15.75" customHeight="1" x14ac:dyDescent="0.2">
      <c r="B708" s="59"/>
      <c r="D708" s="59"/>
      <c r="E708" s="59"/>
      <c r="G708" s="59"/>
      <c r="H708" s="59"/>
    </row>
    <row r="709" spans="2:8" ht="15.75" customHeight="1" x14ac:dyDescent="0.2">
      <c r="B709" s="59"/>
      <c r="D709" s="59"/>
      <c r="E709" s="59"/>
      <c r="G709" s="59"/>
      <c r="H709" s="59"/>
    </row>
    <row r="710" spans="2:8" ht="15.75" customHeight="1" x14ac:dyDescent="0.2">
      <c r="B710" s="59"/>
      <c r="D710" s="59"/>
      <c r="E710" s="59"/>
      <c r="G710" s="59"/>
      <c r="H710" s="59"/>
    </row>
    <row r="711" spans="2:8" ht="15.75" customHeight="1" x14ac:dyDescent="0.2">
      <c r="B711" s="59"/>
      <c r="D711" s="59"/>
      <c r="E711" s="59"/>
      <c r="G711" s="59"/>
      <c r="H711" s="59"/>
    </row>
    <row r="712" spans="2:8" ht="15.75" customHeight="1" x14ac:dyDescent="0.2">
      <c r="B712" s="59"/>
      <c r="D712" s="59"/>
      <c r="E712" s="59"/>
      <c r="G712" s="59"/>
      <c r="H712" s="59"/>
    </row>
    <row r="713" spans="2:8" ht="15.75" customHeight="1" x14ac:dyDescent="0.2">
      <c r="B713" s="59"/>
      <c r="D713" s="59"/>
      <c r="E713" s="59"/>
      <c r="G713" s="59"/>
      <c r="H713" s="59"/>
    </row>
    <row r="714" spans="2:8" ht="15.75" customHeight="1" x14ac:dyDescent="0.2">
      <c r="B714" s="59"/>
      <c r="D714" s="59"/>
      <c r="E714" s="59"/>
      <c r="G714" s="59"/>
      <c r="H714" s="59"/>
    </row>
    <row r="715" spans="2:8" ht="15.75" customHeight="1" x14ac:dyDescent="0.2">
      <c r="B715" s="59"/>
      <c r="D715" s="59"/>
      <c r="E715" s="59"/>
      <c r="G715" s="59"/>
      <c r="H715" s="59"/>
    </row>
    <row r="716" spans="2:8" ht="15.75" customHeight="1" x14ac:dyDescent="0.2">
      <c r="B716" s="59"/>
      <c r="D716" s="59"/>
      <c r="E716" s="59"/>
      <c r="G716" s="59"/>
      <c r="H716" s="59"/>
    </row>
    <row r="717" spans="2:8" ht="15.75" customHeight="1" x14ac:dyDescent="0.2">
      <c r="B717" s="59"/>
      <c r="D717" s="59"/>
      <c r="E717" s="59"/>
      <c r="G717" s="59"/>
      <c r="H717" s="59"/>
    </row>
    <row r="718" spans="2:8" ht="15.75" customHeight="1" x14ac:dyDescent="0.2">
      <c r="B718" s="59"/>
      <c r="D718" s="59"/>
      <c r="E718" s="59"/>
      <c r="G718" s="59"/>
      <c r="H718" s="59"/>
    </row>
    <row r="719" spans="2:8" ht="15.75" customHeight="1" x14ac:dyDescent="0.2">
      <c r="B719" s="59"/>
      <c r="D719" s="59"/>
      <c r="E719" s="59"/>
      <c r="G719" s="59"/>
      <c r="H719" s="59"/>
    </row>
    <row r="720" spans="2:8" ht="15.75" customHeight="1" x14ac:dyDescent="0.2">
      <c r="B720" s="59"/>
      <c r="D720" s="59"/>
      <c r="E720" s="59"/>
      <c r="G720" s="59"/>
      <c r="H720" s="59"/>
    </row>
    <row r="721" spans="2:8" ht="15.75" customHeight="1" x14ac:dyDescent="0.2">
      <c r="B721" s="59"/>
      <c r="D721" s="59"/>
      <c r="E721" s="59"/>
      <c r="G721" s="59"/>
      <c r="H721" s="59"/>
    </row>
    <row r="722" spans="2:8" ht="15.75" customHeight="1" x14ac:dyDescent="0.2">
      <c r="B722" s="59"/>
      <c r="D722" s="59"/>
      <c r="E722" s="59"/>
      <c r="G722" s="59"/>
      <c r="H722" s="59"/>
    </row>
    <row r="723" spans="2:8" ht="15.75" customHeight="1" x14ac:dyDescent="0.2">
      <c r="B723" s="59"/>
      <c r="D723" s="59"/>
      <c r="E723" s="59"/>
      <c r="G723" s="59"/>
      <c r="H723" s="59"/>
    </row>
    <row r="724" spans="2:8" ht="15.75" customHeight="1" x14ac:dyDescent="0.2">
      <c r="B724" s="59"/>
      <c r="D724" s="59"/>
      <c r="E724" s="59"/>
      <c r="G724" s="59"/>
      <c r="H724" s="59"/>
    </row>
    <row r="725" spans="2:8" ht="15.75" customHeight="1" x14ac:dyDescent="0.2">
      <c r="B725" s="59"/>
      <c r="D725" s="59"/>
      <c r="E725" s="59"/>
      <c r="G725" s="59"/>
      <c r="H725" s="59"/>
    </row>
    <row r="726" spans="2:8" ht="15.75" customHeight="1" x14ac:dyDescent="0.2">
      <c r="B726" s="59"/>
      <c r="D726" s="59"/>
      <c r="E726" s="59"/>
      <c r="G726" s="59"/>
      <c r="H726" s="59"/>
    </row>
    <row r="727" spans="2:8" ht="15.75" customHeight="1" x14ac:dyDescent="0.2">
      <c r="B727" s="59"/>
      <c r="D727" s="59"/>
      <c r="E727" s="59"/>
      <c r="G727" s="59"/>
      <c r="H727" s="59"/>
    </row>
    <row r="728" spans="2:8" ht="15.75" customHeight="1" x14ac:dyDescent="0.2">
      <c r="B728" s="59"/>
      <c r="D728" s="59"/>
      <c r="E728" s="59"/>
      <c r="G728" s="59"/>
      <c r="H728" s="59"/>
    </row>
    <row r="729" spans="2:8" ht="15.75" customHeight="1" x14ac:dyDescent="0.2">
      <c r="B729" s="59"/>
      <c r="D729" s="59"/>
      <c r="E729" s="59"/>
      <c r="G729" s="59"/>
      <c r="H729" s="59"/>
    </row>
    <row r="730" spans="2:8" ht="15.75" customHeight="1" x14ac:dyDescent="0.2">
      <c r="B730" s="59"/>
      <c r="D730" s="59"/>
      <c r="E730" s="59"/>
      <c r="G730" s="59"/>
      <c r="H730" s="59"/>
    </row>
    <row r="731" spans="2:8" ht="15.75" customHeight="1" x14ac:dyDescent="0.2">
      <c r="B731" s="59"/>
      <c r="D731" s="59"/>
      <c r="E731" s="59"/>
      <c r="G731" s="59"/>
      <c r="H731" s="59"/>
    </row>
    <row r="732" spans="2:8" ht="15.75" customHeight="1" x14ac:dyDescent="0.2">
      <c r="B732" s="59"/>
      <c r="D732" s="59"/>
      <c r="E732" s="59"/>
      <c r="G732" s="59"/>
      <c r="H732" s="59"/>
    </row>
    <row r="733" spans="2:8" ht="15.75" customHeight="1" x14ac:dyDescent="0.2">
      <c r="B733" s="59"/>
      <c r="D733" s="59"/>
      <c r="E733" s="59"/>
      <c r="G733" s="59"/>
      <c r="H733" s="59"/>
    </row>
    <row r="734" spans="2:8" ht="15.75" customHeight="1" x14ac:dyDescent="0.2">
      <c r="B734" s="59"/>
      <c r="D734" s="59"/>
      <c r="E734" s="59"/>
      <c r="G734" s="59"/>
      <c r="H734" s="59"/>
    </row>
    <row r="735" spans="2:8" ht="15.75" customHeight="1" x14ac:dyDescent="0.2">
      <c r="B735" s="59"/>
      <c r="D735" s="59"/>
      <c r="E735" s="59"/>
      <c r="G735" s="59"/>
      <c r="H735" s="59"/>
    </row>
    <row r="736" spans="2:8" ht="15.75" customHeight="1" x14ac:dyDescent="0.2">
      <c r="B736" s="59"/>
      <c r="D736" s="59"/>
      <c r="E736" s="59"/>
      <c r="G736" s="59"/>
      <c r="H736" s="59"/>
    </row>
    <row r="737" spans="2:8" ht="15.75" customHeight="1" x14ac:dyDescent="0.2">
      <c r="B737" s="59"/>
      <c r="D737" s="59"/>
      <c r="E737" s="59"/>
      <c r="G737" s="59"/>
      <c r="H737" s="59"/>
    </row>
    <row r="738" spans="2:8" ht="15.75" customHeight="1" x14ac:dyDescent="0.2">
      <c r="B738" s="59"/>
      <c r="D738" s="59"/>
      <c r="E738" s="59"/>
      <c r="G738" s="59"/>
      <c r="H738" s="59"/>
    </row>
    <row r="739" spans="2:8" ht="15.75" customHeight="1" x14ac:dyDescent="0.2">
      <c r="B739" s="59"/>
      <c r="D739" s="59"/>
      <c r="E739" s="59"/>
      <c r="G739" s="59"/>
      <c r="H739" s="59"/>
    </row>
    <row r="740" spans="2:8" ht="15.75" customHeight="1" x14ac:dyDescent="0.2">
      <c r="B740" s="59"/>
      <c r="D740" s="59"/>
      <c r="E740" s="59"/>
      <c r="G740" s="59"/>
      <c r="H740" s="59"/>
    </row>
    <row r="741" spans="2:8" ht="15.75" customHeight="1" x14ac:dyDescent="0.2">
      <c r="B741" s="59"/>
      <c r="D741" s="59"/>
      <c r="E741" s="59"/>
      <c r="G741" s="59"/>
      <c r="H741" s="59"/>
    </row>
    <row r="742" spans="2:8" ht="15.75" customHeight="1" x14ac:dyDescent="0.2">
      <c r="B742" s="59"/>
      <c r="D742" s="59"/>
      <c r="E742" s="59"/>
      <c r="G742" s="59"/>
      <c r="H742" s="59"/>
    </row>
    <row r="743" spans="2:8" ht="15.75" customHeight="1" x14ac:dyDescent="0.2">
      <c r="B743" s="59"/>
      <c r="D743" s="59"/>
      <c r="E743" s="59"/>
      <c r="G743" s="59"/>
      <c r="H743" s="59"/>
    </row>
    <row r="744" spans="2:8" ht="15.75" customHeight="1" x14ac:dyDescent="0.2">
      <c r="B744" s="59"/>
      <c r="D744" s="59"/>
      <c r="E744" s="59"/>
      <c r="G744" s="59"/>
      <c r="H744" s="59"/>
    </row>
    <row r="745" spans="2:8" ht="15.75" customHeight="1" x14ac:dyDescent="0.2">
      <c r="B745" s="59"/>
      <c r="D745" s="59"/>
      <c r="E745" s="59"/>
      <c r="G745" s="59"/>
      <c r="H745" s="59"/>
    </row>
    <row r="746" spans="2:8" ht="15.75" customHeight="1" x14ac:dyDescent="0.2">
      <c r="B746" s="59"/>
      <c r="D746" s="59"/>
      <c r="E746" s="59"/>
      <c r="G746" s="59"/>
      <c r="H746" s="59"/>
    </row>
    <row r="747" spans="2:8" ht="15.75" customHeight="1" x14ac:dyDescent="0.2">
      <c r="B747" s="59"/>
      <c r="D747" s="59"/>
      <c r="E747" s="59"/>
      <c r="G747" s="59"/>
      <c r="H747" s="59"/>
    </row>
    <row r="748" spans="2:8" ht="15.75" customHeight="1" x14ac:dyDescent="0.2">
      <c r="B748" s="59"/>
      <c r="D748" s="59"/>
      <c r="E748" s="59"/>
      <c r="G748" s="59"/>
      <c r="H748" s="59"/>
    </row>
    <row r="749" spans="2:8" ht="15.75" customHeight="1" x14ac:dyDescent="0.2">
      <c r="B749" s="59"/>
      <c r="D749" s="59"/>
      <c r="E749" s="59"/>
      <c r="G749" s="59"/>
      <c r="H749" s="59"/>
    </row>
    <row r="750" spans="2:8" ht="15.75" customHeight="1" x14ac:dyDescent="0.2">
      <c r="B750" s="59"/>
      <c r="D750" s="59"/>
      <c r="E750" s="59"/>
      <c r="G750" s="59"/>
      <c r="H750" s="59"/>
    </row>
    <row r="751" spans="2:8" ht="15.75" customHeight="1" x14ac:dyDescent="0.2">
      <c r="B751" s="59"/>
      <c r="D751" s="59"/>
      <c r="E751" s="59"/>
      <c r="G751" s="59"/>
      <c r="H751" s="59"/>
    </row>
    <row r="752" spans="2:8" ht="15.75" customHeight="1" x14ac:dyDescent="0.2">
      <c r="B752" s="59"/>
      <c r="D752" s="59"/>
      <c r="E752" s="59"/>
      <c r="G752" s="59"/>
      <c r="H752" s="59"/>
    </row>
    <row r="753" spans="2:8" ht="15.75" customHeight="1" x14ac:dyDescent="0.2">
      <c r="B753" s="59"/>
      <c r="D753" s="59"/>
      <c r="E753" s="59"/>
      <c r="G753" s="59"/>
      <c r="H753" s="59"/>
    </row>
    <row r="754" spans="2:8" ht="15.75" customHeight="1" x14ac:dyDescent="0.2">
      <c r="B754" s="59"/>
      <c r="D754" s="59"/>
      <c r="E754" s="59"/>
      <c r="G754" s="59"/>
      <c r="H754" s="59"/>
    </row>
    <row r="755" spans="2:8" ht="15.75" customHeight="1" x14ac:dyDescent="0.2">
      <c r="B755" s="59"/>
      <c r="D755" s="59"/>
      <c r="E755" s="59"/>
      <c r="G755" s="59"/>
      <c r="H755" s="59"/>
    </row>
    <row r="756" spans="2:8" ht="15.75" customHeight="1" x14ac:dyDescent="0.2">
      <c r="B756" s="59"/>
      <c r="D756" s="59"/>
      <c r="E756" s="59"/>
      <c r="G756" s="59"/>
      <c r="H756" s="59"/>
    </row>
    <row r="757" spans="2:8" ht="15.75" customHeight="1" x14ac:dyDescent="0.2">
      <c r="B757" s="59"/>
      <c r="D757" s="59"/>
      <c r="E757" s="59"/>
      <c r="G757" s="59"/>
      <c r="H757" s="59"/>
    </row>
    <row r="758" spans="2:8" ht="15.75" customHeight="1" x14ac:dyDescent="0.2">
      <c r="B758" s="59"/>
      <c r="D758" s="59"/>
      <c r="E758" s="59"/>
      <c r="G758" s="59"/>
      <c r="H758" s="59"/>
    </row>
    <row r="759" spans="2:8" ht="15.75" customHeight="1" x14ac:dyDescent="0.2">
      <c r="B759" s="59"/>
      <c r="D759" s="59"/>
      <c r="E759" s="59"/>
      <c r="G759" s="59"/>
      <c r="H759" s="59"/>
    </row>
    <row r="760" spans="2:8" ht="15.75" customHeight="1" x14ac:dyDescent="0.2">
      <c r="B760" s="59"/>
      <c r="D760" s="59"/>
      <c r="E760" s="59"/>
      <c r="G760" s="59"/>
      <c r="H760" s="59"/>
    </row>
    <row r="761" spans="2:8" ht="15.75" customHeight="1" x14ac:dyDescent="0.2">
      <c r="B761" s="59"/>
      <c r="D761" s="59"/>
      <c r="E761" s="59"/>
      <c r="G761" s="59"/>
      <c r="H761" s="59"/>
    </row>
    <row r="762" spans="2:8" ht="15.75" customHeight="1" x14ac:dyDescent="0.2">
      <c r="B762" s="59"/>
      <c r="D762" s="59"/>
      <c r="E762" s="59"/>
      <c r="G762" s="59"/>
      <c r="H762" s="59"/>
    </row>
    <row r="763" spans="2:8" ht="15.75" customHeight="1" x14ac:dyDescent="0.2">
      <c r="B763" s="59"/>
      <c r="D763" s="59"/>
      <c r="E763" s="59"/>
      <c r="G763" s="59"/>
      <c r="H763" s="59"/>
    </row>
    <row r="764" spans="2:8" ht="15.75" customHeight="1" x14ac:dyDescent="0.2">
      <c r="B764" s="59"/>
      <c r="D764" s="59"/>
      <c r="E764" s="59"/>
      <c r="G764" s="59"/>
      <c r="H764" s="59"/>
    </row>
    <row r="765" spans="2:8" ht="15.75" customHeight="1" x14ac:dyDescent="0.2">
      <c r="B765" s="59"/>
      <c r="D765" s="59"/>
      <c r="E765" s="59"/>
      <c r="G765" s="59"/>
      <c r="H765" s="59"/>
    </row>
    <row r="766" spans="2:8" ht="15.75" customHeight="1" x14ac:dyDescent="0.2">
      <c r="B766" s="59"/>
      <c r="D766" s="59"/>
      <c r="E766" s="59"/>
      <c r="G766" s="59"/>
      <c r="H766" s="59"/>
    </row>
    <row r="767" spans="2:8" ht="15.75" customHeight="1" x14ac:dyDescent="0.2">
      <c r="B767" s="59"/>
      <c r="D767" s="59"/>
      <c r="E767" s="59"/>
      <c r="G767" s="59"/>
      <c r="H767" s="59"/>
    </row>
    <row r="768" spans="2:8" ht="15.75" customHeight="1" x14ac:dyDescent="0.2">
      <c r="B768" s="59"/>
      <c r="D768" s="59"/>
      <c r="E768" s="59"/>
      <c r="G768" s="59"/>
      <c r="H768" s="59"/>
    </row>
    <row r="769" spans="2:8" ht="15.75" customHeight="1" x14ac:dyDescent="0.2">
      <c r="B769" s="59"/>
      <c r="D769" s="59"/>
      <c r="E769" s="59"/>
      <c r="G769" s="59"/>
      <c r="H769" s="59"/>
    </row>
    <row r="770" spans="2:8" ht="15.75" customHeight="1" x14ac:dyDescent="0.2">
      <c r="B770" s="59"/>
      <c r="D770" s="59"/>
      <c r="E770" s="59"/>
      <c r="G770" s="59"/>
      <c r="H770" s="59"/>
    </row>
    <row r="771" spans="2:8" ht="15.75" customHeight="1" x14ac:dyDescent="0.2">
      <c r="B771" s="59"/>
      <c r="D771" s="59"/>
      <c r="E771" s="59"/>
      <c r="G771" s="59"/>
      <c r="H771" s="59"/>
    </row>
    <row r="772" spans="2:8" ht="15.75" customHeight="1" x14ac:dyDescent="0.2">
      <c r="B772" s="59"/>
      <c r="D772" s="59"/>
      <c r="E772" s="59"/>
      <c r="G772" s="59"/>
      <c r="H772" s="59"/>
    </row>
    <row r="773" spans="2:8" ht="15.75" customHeight="1" x14ac:dyDescent="0.2">
      <c r="B773" s="59"/>
      <c r="D773" s="59"/>
      <c r="E773" s="59"/>
      <c r="G773" s="59"/>
      <c r="H773" s="59"/>
    </row>
    <row r="774" spans="2:8" ht="15.75" customHeight="1" x14ac:dyDescent="0.2">
      <c r="B774" s="59"/>
      <c r="D774" s="59"/>
      <c r="E774" s="59"/>
      <c r="G774" s="59"/>
      <c r="H774" s="59"/>
    </row>
    <row r="775" spans="2:8" ht="15.75" customHeight="1" x14ac:dyDescent="0.2">
      <c r="B775" s="59"/>
      <c r="D775" s="59"/>
      <c r="E775" s="59"/>
      <c r="G775" s="59"/>
      <c r="H775" s="59"/>
    </row>
    <row r="776" spans="2:8" ht="15.75" customHeight="1" x14ac:dyDescent="0.2">
      <c r="B776" s="59"/>
      <c r="D776" s="59"/>
      <c r="E776" s="59"/>
      <c r="G776" s="59"/>
      <c r="H776" s="59"/>
    </row>
    <row r="777" spans="2:8" ht="15.75" customHeight="1" x14ac:dyDescent="0.2">
      <c r="B777" s="59"/>
      <c r="D777" s="59"/>
      <c r="E777" s="59"/>
      <c r="G777" s="59"/>
      <c r="H777" s="59"/>
    </row>
    <row r="778" spans="2:8" ht="15.75" customHeight="1" x14ac:dyDescent="0.2">
      <c r="B778" s="59"/>
      <c r="D778" s="59"/>
      <c r="E778" s="59"/>
      <c r="G778" s="59"/>
      <c r="H778" s="59"/>
    </row>
    <row r="779" spans="2:8" ht="15.75" customHeight="1" x14ac:dyDescent="0.2">
      <c r="B779" s="59"/>
      <c r="D779" s="59"/>
      <c r="E779" s="59"/>
      <c r="G779" s="59"/>
      <c r="H779" s="59"/>
    </row>
    <row r="780" spans="2:8" ht="15.75" customHeight="1" x14ac:dyDescent="0.2">
      <c r="B780" s="59"/>
      <c r="D780" s="59"/>
      <c r="E780" s="59"/>
      <c r="G780" s="59"/>
      <c r="H780" s="59"/>
    </row>
    <row r="781" spans="2:8" ht="15.75" customHeight="1" x14ac:dyDescent="0.2">
      <c r="B781" s="59"/>
      <c r="D781" s="59"/>
      <c r="E781" s="59"/>
      <c r="G781" s="59"/>
      <c r="H781" s="59"/>
    </row>
    <row r="782" spans="2:8" ht="15.75" customHeight="1" x14ac:dyDescent="0.2">
      <c r="B782" s="59"/>
      <c r="D782" s="59"/>
      <c r="E782" s="59"/>
      <c r="G782" s="59"/>
      <c r="H782" s="59"/>
    </row>
    <row r="783" spans="2:8" ht="15.75" customHeight="1" x14ac:dyDescent="0.2">
      <c r="B783" s="59"/>
      <c r="D783" s="59"/>
      <c r="E783" s="59"/>
      <c r="G783" s="59"/>
      <c r="H783" s="59"/>
    </row>
    <row r="784" spans="2:8" ht="15.75" customHeight="1" x14ac:dyDescent="0.2">
      <c r="B784" s="59"/>
      <c r="D784" s="59"/>
      <c r="E784" s="59"/>
      <c r="G784" s="59"/>
      <c r="H784" s="59"/>
    </row>
    <row r="785" spans="2:8" ht="15.75" customHeight="1" x14ac:dyDescent="0.2">
      <c r="B785" s="59"/>
      <c r="D785" s="59"/>
      <c r="E785" s="59"/>
      <c r="G785" s="59"/>
      <c r="H785" s="59"/>
    </row>
    <row r="786" spans="2:8" ht="15.75" customHeight="1" x14ac:dyDescent="0.2">
      <c r="B786" s="59"/>
      <c r="D786" s="59"/>
      <c r="E786" s="59"/>
      <c r="G786" s="59"/>
      <c r="H786" s="59"/>
    </row>
    <row r="787" spans="2:8" ht="15.75" customHeight="1" x14ac:dyDescent="0.2">
      <c r="B787" s="59"/>
      <c r="D787" s="59"/>
      <c r="E787" s="59"/>
      <c r="G787" s="59"/>
      <c r="H787" s="59"/>
    </row>
    <row r="788" spans="2:8" ht="15.75" customHeight="1" x14ac:dyDescent="0.2">
      <c r="B788" s="59"/>
      <c r="D788" s="59"/>
      <c r="E788" s="59"/>
      <c r="G788" s="59"/>
      <c r="H788" s="59"/>
    </row>
    <row r="789" spans="2:8" ht="15.75" customHeight="1" x14ac:dyDescent="0.2">
      <c r="B789" s="59"/>
      <c r="D789" s="59"/>
      <c r="E789" s="59"/>
      <c r="G789" s="59"/>
      <c r="H789" s="59"/>
    </row>
    <row r="790" spans="2:8" ht="15.75" customHeight="1" x14ac:dyDescent="0.2">
      <c r="B790" s="59"/>
      <c r="D790" s="59"/>
      <c r="E790" s="59"/>
      <c r="G790" s="59"/>
      <c r="H790" s="59"/>
    </row>
    <row r="791" spans="2:8" ht="15.75" customHeight="1" x14ac:dyDescent="0.2">
      <c r="B791" s="59"/>
      <c r="D791" s="59"/>
      <c r="E791" s="59"/>
      <c r="G791" s="59"/>
      <c r="H791" s="59"/>
    </row>
    <row r="792" spans="2:8" ht="15.75" customHeight="1" x14ac:dyDescent="0.2">
      <c r="B792" s="59"/>
      <c r="D792" s="59"/>
      <c r="E792" s="59"/>
      <c r="G792" s="59"/>
      <c r="H792" s="59"/>
    </row>
    <row r="793" spans="2:8" ht="15.75" customHeight="1" x14ac:dyDescent="0.2">
      <c r="B793" s="59"/>
      <c r="D793" s="59"/>
      <c r="E793" s="59"/>
      <c r="G793" s="59"/>
      <c r="H793" s="59"/>
    </row>
    <row r="794" spans="2:8" ht="15.75" customHeight="1" x14ac:dyDescent="0.2">
      <c r="B794" s="59"/>
      <c r="D794" s="59"/>
      <c r="E794" s="59"/>
      <c r="G794" s="59"/>
      <c r="H794" s="59"/>
    </row>
    <row r="795" spans="2:8" ht="15.75" customHeight="1" x14ac:dyDescent="0.2">
      <c r="B795" s="59"/>
      <c r="D795" s="59"/>
      <c r="E795" s="59"/>
      <c r="G795" s="59"/>
      <c r="H795" s="59"/>
    </row>
    <row r="796" spans="2:8" ht="15.75" customHeight="1" x14ac:dyDescent="0.2">
      <c r="B796" s="59"/>
      <c r="D796" s="59"/>
      <c r="E796" s="59"/>
      <c r="G796" s="59"/>
      <c r="H796" s="59"/>
    </row>
    <row r="797" spans="2:8" ht="15.75" customHeight="1" x14ac:dyDescent="0.2">
      <c r="B797" s="59"/>
      <c r="D797" s="59"/>
      <c r="E797" s="59"/>
      <c r="G797" s="59"/>
      <c r="H797" s="59"/>
    </row>
    <row r="798" spans="2:8" ht="15.75" customHeight="1" x14ac:dyDescent="0.2">
      <c r="B798" s="59"/>
      <c r="D798" s="59"/>
      <c r="E798" s="59"/>
      <c r="G798" s="59"/>
      <c r="H798" s="59"/>
    </row>
    <row r="799" spans="2:8" ht="15.75" customHeight="1" x14ac:dyDescent="0.2">
      <c r="B799" s="59"/>
      <c r="D799" s="59"/>
      <c r="E799" s="59"/>
      <c r="G799" s="59"/>
      <c r="H799" s="59"/>
    </row>
    <row r="800" spans="2:8" ht="15.75" customHeight="1" x14ac:dyDescent="0.2">
      <c r="B800" s="59"/>
      <c r="D800" s="59"/>
      <c r="E800" s="59"/>
      <c r="G800" s="59"/>
      <c r="H800" s="59"/>
    </row>
    <row r="801" spans="2:8" ht="15.75" customHeight="1" x14ac:dyDescent="0.2">
      <c r="B801" s="59"/>
      <c r="D801" s="59"/>
      <c r="E801" s="59"/>
      <c r="G801" s="59"/>
      <c r="H801" s="59"/>
    </row>
    <row r="802" spans="2:8" ht="15.75" customHeight="1" x14ac:dyDescent="0.2">
      <c r="B802" s="59"/>
      <c r="D802" s="59"/>
      <c r="E802" s="59"/>
      <c r="G802" s="59"/>
      <c r="H802" s="59"/>
    </row>
    <row r="803" spans="2:8" ht="15.75" customHeight="1" x14ac:dyDescent="0.2">
      <c r="B803" s="59"/>
      <c r="D803" s="59"/>
      <c r="E803" s="59"/>
      <c r="G803" s="59"/>
      <c r="H803" s="59"/>
    </row>
    <row r="804" spans="2:8" ht="15.75" customHeight="1" x14ac:dyDescent="0.2">
      <c r="B804" s="59"/>
      <c r="D804" s="59"/>
      <c r="E804" s="59"/>
      <c r="G804" s="59"/>
      <c r="H804" s="59"/>
    </row>
    <row r="805" spans="2:8" ht="15.75" customHeight="1" x14ac:dyDescent="0.2">
      <c r="B805" s="59"/>
      <c r="D805" s="59"/>
      <c r="E805" s="59"/>
      <c r="G805" s="59"/>
      <c r="H805" s="59"/>
    </row>
    <row r="806" spans="2:8" ht="15.75" customHeight="1" x14ac:dyDescent="0.2">
      <c r="B806" s="59"/>
      <c r="D806" s="59"/>
      <c r="E806" s="59"/>
      <c r="G806" s="59"/>
      <c r="H806" s="59"/>
    </row>
    <row r="807" spans="2:8" ht="15.75" customHeight="1" x14ac:dyDescent="0.2">
      <c r="B807" s="59"/>
      <c r="D807" s="59"/>
      <c r="E807" s="59"/>
      <c r="G807" s="59"/>
      <c r="H807" s="59"/>
    </row>
    <row r="808" spans="2:8" ht="15.75" customHeight="1" x14ac:dyDescent="0.2">
      <c r="B808" s="59"/>
      <c r="D808" s="59"/>
      <c r="E808" s="59"/>
      <c r="G808" s="59"/>
      <c r="H808" s="59"/>
    </row>
    <row r="809" spans="2:8" ht="15.75" customHeight="1" x14ac:dyDescent="0.2">
      <c r="B809" s="59"/>
      <c r="D809" s="59"/>
      <c r="E809" s="59"/>
      <c r="G809" s="59"/>
      <c r="H809" s="59"/>
    </row>
    <row r="810" spans="2:8" ht="15.75" customHeight="1" x14ac:dyDescent="0.2">
      <c r="B810" s="59"/>
      <c r="D810" s="59"/>
      <c r="E810" s="59"/>
      <c r="G810" s="59"/>
      <c r="H810" s="59"/>
    </row>
    <row r="811" spans="2:8" ht="15.75" customHeight="1" x14ac:dyDescent="0.2">
      <c r="B811" s="59"/>
      <c r="D811" s="59"/>
      <c r="E811" s="59"/>
      <c r="G811" s="59"/>
      <c r="H811" s="59"/>
    </row>
    <row r="812" spans="2:8" ht="15.75" customHeight="1" x14ac:dyDescent="0.2">
      <c r="B812" s="59"/>
      <c r="D812" s="59"/>
      <c r="E812" s="59"/>
      <c r="G812" s="59"/>
      <c r="H812" s="59"/>
    </row>
    <row r="813" spans="2:8" ht="15.75" customHeight="1" x14ac:dyDescent="0.2">
      <c r="B813" s="59"/>
      <c r="D813" s="59"/>
      <c r="E813" s="59"/>
      <c r="G813" s="59"/>
      <c r="H813" s="59"/>
    </row>
    <row r="814" spans="2:8" ht="15.75" customHeight="1" x14ac:dyDescent="0.2">
      <c r="B814" s="59"/>
      <c r="D814" s="59"/>
      <c r="E814" s="59"/>
      <c r="G814" s="59"/>
      <c r="H814" s="59"/>
    </row>
    <row r="815" spans="2:8" ht="15.75" customHeight="1" x14ac:dyDescent="0.2">
      <c r="B815" s="59"/>
      <c r="D815" s="59"/>
      <c r="E815" s="59"/>
      <c r="G815" s="59"/>
      <c r="H815" s="59"/>
    </row>
    <row r="816" spans="2:8" ht="15.75" customHeight="1" x14ac:dyDescent="0.2">
      <c r="B816" s="59"/>
      <c r="D816" s="59"/>
      <c r="E816" s="59"/>
      <c r="G816" s="59"/>
      <c r="H816" s="59"/>
    </row>
    <row r="817" spans="2:8" ht="15.75" customHeight="1" x14ac:dyDescent="0.2">
      <c r="B817" s="59"/>
      <c r="D817" s="59"/>
      <c r="E817" s="59"/>
      <c r="G817" s="59"/>
      <c r="H817" s="59"/>
    </row>
    <row r="818" spans="2:8" ht="15.75" customHeight="1" x14ac:dyDescent="0.2">
      <c r="B818" s="59"/>
      <c r="D818" s="59"/>
      <c r="E818" s="59"/>
      <c r="G818" s="59"/>
      <c r="H818" s="59"/>
    </row>
    <row r="819" spans="2:8" ht="15.75" customHeight="1" x14ac:dyDescent="0.2">
      <c r="B819" s="59"/>
      <c r="D819" s="59"/>
      <c r="E819" s="59"/>
      <c r="G819" s="59"/>
      <c r="H819" s="59"/>
    </row>
    <row r="820" spans="2:8" ht="15.75" customHeight="1" x14ac:dyDescent="0.2">
      <c r="B820" s="59"/>
      <c r="D820" s="59"/>
      <c r="E820" s="59"/>
      <c r="G820" s="59"/>
      <c r="H820" s="59"/>
    </row>
    <row r="821" spans="2:8" ht="15.75" customHeight="1" x14ac:dyDescent="0.2">
      <c r="B821" s="59"/>
      <c r="D821" s="59"/>
      <c r="E821" s="59"/>
      <c r="G821" s="59"/>
      <c r="H821" s="59"/>
    </row>
    <row r="822" spans="2:8" ht="15.75" customHeight="1" x14ac:dyDescent="0.2">
      <c r="B822" s="59"/>
      <c r="D822" s="59"/>
      <c r="E822" s="59"/>
      <c r="G822" s="59"/>
      <c r="H822" s="59"/>
    </row>
    <row r="823" spans="2:8" ht="15.75" customHeight="1" x14ac:dyDescent="0.2">
      <c r="B823" s="59"/>
      <c r="D823" s="59"/>
      <c r="E823" s="59"/>
      <c r="G823" s="59"/>
      <c r="H823" s="59"/>
    </row>
    <row r="824" spans="2:8" ht="15.75" customHeight="1" x14ac:dyDescent="0.2">
      <c r="B824" s="59"/>
      <c r="D824" s="59"/>
      <c r="E824" s="59"/>
      <c r="G824" s="59"/>
      <c r="H824" s="59"/>
    </row>
    <row r="825" spans="2:8" ht="15.75" customHeight="1" x14ac:dyDescent="0.2">
      <c r="B825" s="59"/>
      <c r="D825" s="59"/>
      <c r="E825" s="59"/>
      <c r="G825" s="59"/>
      <c r="H825" s="59"/>
    </row>
    <row r="826" spans="2:8" ht="15.75" customHeight="1" x14ac:dyDescent="0.2">
      <c r="B826" s="59"/>
      <c r="D826" s="59"/>
      <c r="E826" s="59"/>
      <c r="G826" s="59"/>
      <c r="H826" s="59"/>
    </row>
    <row r="827" spans="2:8" ht="15.75" customHeight="1" x14ac:dyDescent="0.2">
      <c r="B827" s="59"/>
      <c r="D827" s="59"/>
      <c r="E827" s="59"/>
      <c r="G827" s="59"/>
      <c r="H827" s="59"/>
    </row>
    <row r="828" spans="2:8" ht="15.75" customHeight="1" x14ac:dyDescent="0.2">
      <c r="B828" s="59"/>
      <c r="D828" s="59"/>
      <c r="E828" s="59"/>
      <c r="G828" s="59"/>
      <c r="H828" s="59"/>
    </row>
    <row r="829" spans="2:8" ht="15.75" customHeight="1" x14ac:dyDescent="0.2">
      <c r="B829" s="59"/>
      <c r="D829" s="59"/>
      <c r="E829" s="59"/>
      <c r="G829" s="59"/>
      <c r="H829" s="59"/>
    </row>
    <row r="830" spans="2:8" ht="15.75" customHeight="1" x14ac:dyDescent="0.2">
      <c r="B830" s="59"/>
      <c r="D830" s="59"/>
      <c r="E830" s="59"/>
      <c r="G830" s="59"/>
      <c r="H830" s="59"/>
    </row>
    <row r="831" spans="2:8" ht="15.75" customHeight="1" x14ac:dyDescent="0.2">
      <c r="B831" s="59"/>
      <c r="D831" s="59"/>
      <c r="E831" s="59"/>
      <c r="G831" s="59"/>
      <c r="H831" s="59"/>
    </row>
    <row r="832" spans="2:8" ht="15.75" customHeight="1" x14ac:dyDescent="0.2">
      <c r="B832" s="59"/>
      <c r="D832" s="59"/>
      <c r="E832" s="59"/>
      <c r="G832" s="59"/>
      <c r="H832" s="59"/>
    </row>
    <row r="833" spans="2:8" ht="15.75" customHeight="1" x14ac:dyDescent="0.2">
      <c r="B833" s="59"/>
      <c r="D833" s="59"/>
      <c r="E833" s="59"/>
      <c r="G833" s="59"/>
      <c r="H833" s="59"/>
    </row>
    <row r="834" spans="2:8" ht="15.75" customHeight="1" x14ac:dyDescent="0.2">
      <c r="B834" s="59"/>
      <c r="D834" s="59"/>
      <c r="E834" s="59"/>
      <c r="G834" s="59"/>
      <c r="H834" s="59"/>
    </row>
    <row r="835" spans="2:8" ht="15.75" customHeight="1" x14ac:dyDescent="0.2">
      <c r="B835" s="59"/>
      <c r="D835" s="59"/>
      <c r="E835" s="59"/>
      <c r="G835" s="59"/>
      <c r="H835" s="59"/>
    </row>
    <row r="836" spans="2:8" ht="15.75" customHeight="1" x14ac:dyDescent="0.2">
      <c r="B836" s="59"/>
      <c r="D836" s="59"/>
      <c r="E836" s="59"/>
      <c r="G836" s="59"/>
      <c r="H836" s="59"/>
    </row>
    <row r="837" spans="2:8" ht="15.75" customHeight="1" x14ac:dyDescent="0.2">
      <c r="B837" s="59"/>
      <c r="D837" s="59"/>
      <c r="E837" s="59"/>
      <c r="G837" s="59"/>
      <c r="H837" s="59"/>
    </row>
    <row r="838" spans="2:8" ht="15.75" customHeight="1" x14ac:dyDescent="0.2">
      <c r="B838" s="59"/>
      <c r="D838" s="59"/>
      <c r="E838" s="59"/>
      <c r="G838" s="59"/>
      <c r="H838" s="59"/>
    </row>
    <row r="839" spans="2:8" ht="15.75" customHeight="1" x14ac:dyDescent="0.2">
      <c r="B839" s="59"/>
      <c r="D839" s="59"/>
      <c r="E839" s="59"/>
      <c r="G839" s="59"/>
      <c r="H839" s="59"/>
    </row>
    <row r="840" spans="2:8" ht="15.75" customHeight="1" x14ac:dyDescent="0.2">
      <c r="B840" s="59"/>
      <c r="D840" s="59"/>
      <c r="E840" s="59"/>
      <c r="G840" s="59"/>
      <c r="H840" s="59"/>
    </row>
    <row r="841" spans="2:8" ht="15.75" customHeight="1" x14ac:dyDescent="0.2">
      <c r="B841" s="59"/>
      <c r="D841" s="59"/>
      <c r="E841" s="59"/>
      <c r="G841" s="59"/>
      <c r="H841" s="59"/>
    </row>
    <row r="842" spans="2:8" ht="15.75" customHeight="1" x14ac:dyDescent="0.2">
      <c r="B842" s="59"/>
      <c r="D842" s="59"/>
      <c r="E842" s="59"/>
      <c r="G842" s="59"/>
      <c r="H842" s="59"/>
    </row>
    <row r="843" spans="2:8" ht="15.75" customHeight="1" x14ac:dyDescent="0.2">
      <c r="B843" s="59"/>
      <c r="D843" s="59"/>
      <c r="E843" s="59"/>
      <c r="G843" s="59"/>
      <c r="H843" s="59"/>
    </row>
    <row r="844" spans="2:8" ht="15.75" customHeight="1" x14ac:dyDescent="0.2">
      <c r="B844" s="59"/>
      <c r="D844" s="59"/>
      <c r="E844" s="59"/>
      <c r="G844" s="59"/>
      <c r="H844" s="59"/>
    </row>
    <row r="845" spans="2:8" ht="15.75" customHeight="1" x14ac:dyDescent="0.2">
      <c r="B845" s="59"/>
      <c r="D845" s="59"/>
      <c r="E845" s="59"/>
      <c r="G845" s="59"/>
      <c r="H845" s="59"/>
    </row>
    <row r="846" spans="2:8" ht="15.75" customHeight="1" x14ac:dyDescent="0.2">
      <c r="B846" s="59"/>
      <c r="D846" s="59"/>
      <c r="E846" s="59"/>
      <c r="G846" s="59"/>
      <c r="H846" s="59"/>
    </row>
    <row r="847" spans="2:8" ht="15.75" customHeight="1" x14ac:dyDescent="0.2">
      <c r="B847" s="59"/>
      <c r="D847" s="59"/>
      <c r="E847" s="59"/>
      <c r="G847" s="59"/>
      <c r="H847" s="59"/>
    </row>
    <row r="848" spans="2:8" ht="15.75" customHeight="1" x14ac:dyDescent="0.2">
      <c r="B848" s="59"/>
      <c r="D848" s="59"/>
      <c r="E848" s="59"/>
      <c r="G848" s="59"/>
      <c r="H848" s="59"/>
    </row>
    <row r="849" spans="2:8" ht="15.75" customHeight="1" x14ac:dyDescent="0.2">
      <c r="B849" s="59"/>
      <c r="D849" s="59"/>
      <c r="E849" s="59"/>
      <c r="G849" s="59"/>
      <c r="H849" s="59"/>
    </row>
    <row r="850" spans="2:8" ht="15.75" customHeight="1" x14ac:dyDescent="0.2">
      <c r="B850" s="59"/>
      <c r="D850" s="59"/>
      <c r="E850" s="59"/>
      <c r="G850" s="59"/>
      <c r="H850" s="59"/>
    </row>
    <row r="851" spans="2:8" ht="15.75" customHeight="1" x14ac:dyDescent="0.2">
      <c r="B851" s="59"/>
      <c r="D851" s="59"/>
      <c r="E851" s="59"/>
      <c r="G851" s="59"/>
      <c r="H851" s="59"/>
    </row>
    <row r="852" spans="2:8" ht="15.75" customHeight="1" x14ac:dyDescent="0.2">
      <c r="B852" s="59"/>
      <c r="D852" s="59"/>
      <c r="E852" s="59"/>
      <c r="G852" s="59"/>
      <c r="H852" s="59"/>
    </row>
    <row r="853" spans="2:8" ht="15.75" customHeight="1" x14ac:dyDescent="0.2">
      <c r="B853" s="59"/>
      <c r="D853" s="59"/>
      <c r="E853" s="59"/>
      <c r="G853" s="59"/>
      <c r="H853" s="59"/>
    </row>
    <row r="854" spans="2:8" ht="15.75" customHeight="1" x14ac:dyDescent="0.2">
      <c r="B854" s="59"/>
      <c r="D854" s="59"/>
      <c r="E854" s="59"/>
      <c r="G854" s="59"/>
      <c r="H854" s="59"/>
    </row>
    <row r="855" spans="2:8" ht="15.75" customHeight="1" x14ac:dyDescent="0.2">
      <c r="B855" s="59"/>
      <c r="D855" s="59"/>
      <c r="E855" s="59"/>
      <c r="G855" s="59"/>
      <c r="H855" s="59"/>
    </row>
    <row r="856" spans="2:8" ht="15.75" customHeight="1" x14ac:dyDescent="0.2">
      <c r="B856" s="59"/>
      <c r="D856" s="59"/>
      <c r="E856" s="59"/>
      <c r="G856" s="59"/>
      <c r="H856" s="59"/>
    </row>
    <row r="857" spans="2:8" ht="15.75" customHeight="1" x14ac:dyDescent="0.2">
      <c r="B857" s="59"/>
      <c r="D857" s="59"/>
      <c r="E857" s="59"/>
      <c r="G857" s="59"/>
      <c r="H857" s="59"/>
    </row>
    <row r="858" spans="2:8" ht="15.75" customHeight="1" x14ac:dyDescent="0.2">
      <c r="B858" s="59"/>
      <c r="D858" s="59"/>
      <c r="E858" s="59"/>
      <c r="G858" s="59"/>
      <c r="H858" s="59"/>
    </row>
    <row r="859" spans="2:8" ht="15.75" customHeight="1" x14ac:dyDescent="0.2">
      <c r="B859" s="59"/>
      <c r="D859" s="59"/>
      <c r="E859" s="59"/>
      <c r="G859" s="59"/>
      <c r="H859" s="59"/>
    </row>
    <row r="860" spans="2:8" ht="15.75" customHeight="1" x14ac:dyDescent="0.2">
      <c r="B860" s="59"/>
      <c r="D860" s="59"/>
      <c r="E860" s="59"/>
      <c r="G860" s="59"/>
      <c r="H860" s="59"/>
    </row>
    <row r="861" spans="2:8" ht="15.75" customHeight="1" x14ac:dyDescent="0.2">
      <c r="B861" s="59"/>
      <c r="D861" s="59"/>
      <c r="E861" s="59"/>
      <c r="G861" s="59"/>
      <c r="H861" s="59"/>
    </row>
    <row r="862" spans="2:8" ht="15.75" customHeight="1" x14ac:dyDescent="0.2">
      <c r="B862" s="59"/>
      <c r="D862" s="59"/>
      <c r="E862" s="59"/>
      <c r="G862" s="59"/>
      <c r="H862" s="59"/>
    </row>
    <row r="863" spans="2:8" ht="15.75" customHeight="1" x14ac:dyDescent="0.2">
      <c r="B863" s="59"/>
      <c r="D863" s="59"/>
      <c r="E863" s="59"/>
      <c r="G863" s="59"/>
      <c r="H863" s="59"/>
    </row>
    <row r="864" spans="2:8" ht="15.75" customHeight="1" x14ac:dyDescent="0.2">
      <c r="B864" s="59"/>
      <c r="D864" s="59"/>
      <c r="E864" s="59"/>
      <c r="G864" s="59"/>
      <c r="H864" s="59"/>
    </row>
    <row r="865" spans="2:8" ht="15.75" customHeight="1" x14ac:dyDescent="0.2">
      <c r="B865" s="59"/>
      <c r="D865" s="59"/>
      <c r="E865" s="59"/>
      <c r="G865" s="59"/>
      <c r="H865" s="59"/>
    </row>
    <row r="866" spans="2:8" ht="15.75" customHeight="1" x14ac:dyDescent="0.2">
      <c r="B866" s="59"/>
      <c r="D866" s="59"/>
      <c r="E866" s="59"/>
      <c r="G866" s="59"/>
      <c r="H866" s="59"/>
    </row>
    <row r="867" spans="2:8" ht="15.75" customHeight="1" x14ac:dyDescent="0.2">
      <c r="B867" s="59"/>
      <c r="D867" s="59"/>
      <c r="E867" s="59"/>
      <c r="G867" s="59"/>
      <c r="H867" s="59"/>
    </row>
    <row r="868" spans="2:8" ht="15.75" customHeight="1" x14ac:dyDescent="0.2">
      <c r="B868" s="59"/>
      <c r="D868" s="59"/>
      <c r="E868" s="59"/>
      <c r="G868" s="59"/>
      <c r="H868" s="59"/>
    </row>
    <row r="869" spans="2:8" ht="15.75" customHeight="1" x14ac:dyDescent="0.2">
      <c r="B869" s="59"/>
      <c r="D869" s="59"/>
      <c r="E869" s="59"/>
      <c r="G869" s="59"/>
      <c r="H869" s="59"/>
    </row>
    <row r="870" spans="2:8" ht="15.75" customHeight="1" x14ac:dyDescent="0.2">
      <c r="B870" s="59"/>
      <c r="D870" s="59"/>
      <c r="E870" s="59"/>
      <c r="G870" s="59"/>
      <c r="H870" s="59"/>
    </row>
    <row r="871" spans="2:8" ht="15.75" customHeight="1" x14ac:dyDescent="0.2">
      <c r="B871" s="59"/>
      <c r="D871" s="59"/>
      <c r="E871" s="59"/>
      <c r="G871" s="59"/>
      <c r="H871" s="59"/>
    </row>
    <row r="872" spans="2:8" ht="15.75" customHeight="1" x14ac:dyDescent="0.2">
      <c r="B872" s="59"/>
      <c r="D872" s="59"/>
      <c r="E872" s="59"/>
      <c r="G872" s="59"/>
      <c r="H872" s="59"/>
    </row>
    <row r="873" spans="2:8" ht="15.75" customHeight="1" x14ac:dyDescent="0.2">
      <c r="B873" s="59"/>
      <c r="D873" s="59"/>
      <c r="E873" s="59"/>
      <c r="G873" s="59"/>
      <c r="H873" s="59"/>
    </row>
    <row r="874" spans="2:8" ht="15.75" customHeight="1" x14ac:dyDescent="0.2">
      <c r="B874" s="59"/>
      <c r="D874" s="59"/>
      <c r="E874" s="59"/>
      <c r="G874" s="59"/>
      <c r="H874" s="59"/>
    </row>
    <row r="875" spans="2:8" ht="15.75" customHeight="1" x14ac:dyDescent="0.2">
      <c r="B875" s="59"/>
      <c r="D875" s="59"/>
      <c r="E875" s="59"/>
      <c r="G875" s="59"/>
      <c r="H875" s="59"/>
    </row>
    <row r="876" spans="2:8" ht="15.75" customHeight="1" x14ac:dyDescent="0.2">
      <c r="B876" s="59"/>
      <c r="D876" s="59"/>
      <c r="E876" s="59"/>
      <c r="G876" s="59"/>
      <c r="H876" s="59"/>
    </row>
    <row r="877" spans="2:8" ht="15.75" customHeight="1" x14ac:dyDescent="0.2">
      <c r="B877" s="59"/>
      <c r="D877" s="59"/>
      <c r="E877" s="59"/>
      <c r="G877" s="59"/>
      <c r="H877" s="59"/>
    </row>
    <row r="878" spans="2:8" ht="15.75" customHeight="1" x14ac:dyDescent="0.2">
      <c r="B878" s="59"/>
      <c r="D878" s="59"/>
      <c r="E878" s="59"/>
      <c r="G878" s="59"/>
      <c r="H878" s="59"/>
    </row>
    <row r="879" spans="2:8" ht="15.75" customHeight="1" x14ac:dyDescent="0.2">
      <c r="B879" s="59"/>
      <c r="D879" s="59"/>
      <c r="E879" s="59"/>
      <c r="G879" s="59"/>
      <c r="H879" s="59"/>
    </row>
    <row r="880" spans="2:8" ht="15.75" customHeight="1" x14ac:dyDescent="0.2">
      <c r="B880" s="59"/>
      <c r="D880" s="59"/>
      <c r="E880" s="59"/>
      <c r="G880" s="59"/>
      <c r="H880" s="59"/>
    </row>
    <row r="881" spans="2:8" ht="15.75" customHeight="1" x14ac:dyDescent="0.2">
      <c r="B881" s="59"/>
      <c r="D881" s="59"/>
      <c r="E881" s="59"/>
      <c r="G881" s="59"/>
      <c r="H881" s="59"/>
    </row>
    <row r="882" spans="2:8" ht="15.75" customHeight="1" x14ac:dyDescent="0.2">
      <c r="B882" s="59"/>
      <c r="D882" s="59"/>
      <c r="E882" s="59"/>
      <c r="G882" s="59"/>
      <c r="H882" s="59"/>
    </row>
    <row r="883" spans="2:8" ht="15.75" customHeight="1" x14ac:dyDescent="0.2">
      <c r="B883" s="59"/>
      <c r="D883" s="59"/>
      <c r="E883" s="59"/>
      <c r="G883" s="59"/>
      <c r="H883" s="59"/>
    </row>
    <row r="884" spans="2:8" ht="15.75" customHeight="1" x14ac:dyDescent="0.2">
      <c r="B884" s="59"/>
      <c r="D884" s="59"/>
      <c r="E884" s="59"/>
      <c r="G884" s="59"/>
      <c r="H884" s="59"/>
    </row>
    <row r="885" spans="2:8" ht="15.75" customHeight="1" x14ac:dyDescent="0.2">
      <c r="B885" s="59"/>
      <c r="D885" s="59"/>
      <c r="E885" s="59"/>
      <c r="G885" s="59"/>
      <c r="H885" s="59"/>
    </row>
    <row r="886" spans="2:8" ht="15.75" customHeight="1" x14ac:dyDescent="0.2">
      <c r="B886" s="59"/>
      <c r="D886" s="59"/>
      <c r="E886" s="59"/>
      <c r="G886" s="59"/>
      <c r="H886" s="59"/>
    </row>
    <row r="887" spans="2:8" ht="15.75" customHeight="1" x14ac:dyDescent="0.2">
      <c r="B887" s="59"/>
      <c r="D887" s="59"/>
      <c r="E887" s="59"/>
      <c r="G887" s="59"/>
      <c r="H887" s="59"/>
    </row>
    <row r="888" spans="2:8" ht="15.75" customHeight="1" x14ac:dyDescent="0.2">
      <c r="B888" s="59"/>
      <c r="D888" s="59"/>
      <c r="E888" s="59"/>
      <c r="G888" s="59"/>
      <c r="H888" s="59"/>
    </row>
    <row r="889" spans="2:8" ht="15.75" customHeight="1" x14ac:dyDescent="0.2">
      <c r="B889" s="59"/>
      <c r="D889" s="59"/>
      <c r="E889" s="59"/>
      <c r="G889" s="59"/>
      <c r="H889" s="59"/>
    </row>
    <row r="890" spans="2:8" ht="15.75" customHeight="1" x14ac:dyDescent="0.2">
      <c r="B890" s="59"/>
      <c r="D890" s="59"/>
      <c r="E890" s="59"/>
      <c r="G890" s="59"/>
      <c r="H890" s="59"/>
    </row>
    <row r="891" spans="2:8" ht="15.75" customHeight="1" x14ac:dyDescent="0.2">
      <c r="B891" s="59"/>
      <c r="D891" s="59"/>
      <c r="E891" s="59"/>
      <c r="G891" s="59"/>
      <c r="H891" s="59"/>
    </row>
    <row r="892" spans="2:8" ht="15.75" customHeight="1" x14ac:dyDescent="0.2">
      <c r="B892" s="59"/>
      <c r="D892" s="59"/>
      <c r="E892" s="59"/>
      <c r="G892" s="59"/>
      <c r="H892" s="59"/>
    </row>
    <row r="893" spans="2:8" ht="15.75" customHeight="1" x14ac:dyDescent="0.2">
      <c r="B893" s="59"/>
      <c r="D893" s="59"/>
      <c r="E893" s="59"/>
      <c r="G893" s="59"/>
      <c r="H893" s="59"/>
    </row>
    <row r="894" spans="2:8" ht="15.75" customHeight="1" x14ac:dyDescent="0.2">
      <c r="B894" s="59"/>
      <c r="D894" s="59"/>
      <c r="E894" s="59"/>
      <c r="G894" s="59"/>
      <c r="H894" s="59"/>
    </row>
    <row r="895" spans="2:8" ht="15.75" customHeight="1" x14ac:dyDescent="0.2">
      <c r="B895" s="59"/>
      <c r="D895" s="59"/>
      <c r="E895" s="59"/>
      <c r="G895" s="59"/>
      <c r="H895" s="59"/>
    </row>
    <row r="896" spans="2:8" ht="15.75" customHeight="1" x14ac:dyDescent="0.2">
      <c r="B896" s="59"/>
      <c r="D896" s="59"/>
      <c r="E896" s="59"/>
      <c r="G896" s="59"/>
      <c r="H896" s="59"/>
    </row>
    <row r="897" spans="2:8" ht="15.75" customHeight="1" x14ac:dyDescent="0.2">
      <c r="B897" s="59"/>
      <c r="D897" s="59"/>
      <c r="E897" s="59"/>
      <c r="G897" s="59"/>
      <c r="H897" s="59"/>
    </row>
    <row r="898" spans="2:8" ht="15.75" customHeight="1" x14ac:dyDescent="0.2">
      <c r="B898" s="59"/>
      <c r="D898" s="59"/>
      <c r="E898" s="59"/>
      <c r="G898" s="59"/>
      <c r="H898" s="59"/>
    </row>
    <row r="899" spans="2:8" ht="15.75" customHeight="1" x14ac:dyDescent="0.2">
      <c r="B899" s="59"/>
      <c r="D899" s="59"/>
      <c r="E899" s="59"/>
      <c r="G899" s="59"/>
      <c r="H899" s="59"/>
    </row>
    <row r="900" spans="2:8" ht="15.75" customHeight="1" x14ac:dyDescent="0.2">
      <c r="B900" s="59"/>
      <c r="D900" s="59"/>
      <c r="E900" s="59"/>
      <c r="G900" s="59"/>
      <c r="H900" s="59"/>
    </row>
    <row r="901" spans="2:8" ht="15.75" customHeight="1" x14ac:dyDescent="0.2">
      <c r="B901" s="59"/>
      <c r="D901" s="59"/>
      <c r="E901" s="59"/>
      <c r="G901" s="59"/>
      <c r="H901" s="59"/>
    </row>
    <row r="902" spans="2:8" ht="15.75" customHeight="1" x14ac:dyDescent="0.2">
      <c r="B902" s="59"/>
      <c r="D902" s="59"/>
      <c r="E902" s="59"/>
      <c r="G902" s="59"/>
      <c r="H902" s="59"/>
    </row>
    <row r="903" spans="2:8" ht="15.75" customHeight="1" x14ac:dyDescent="0.2">
      <c r="B903" s="59"/>
      <c r="D903" s="59"/>
      <c r="E903" s="59"/>
      <c r="G903" s="59"/>
      <c r="H903" s="59"/>
    </row>
    <row r="904" spans="2:8" ht="15.75" customHeight="1" x14ac:dyDescent="0.2">
      <c r="B904" s="59"/>
      <c r="D904" s="59"/>
      <c r="E904" s="59"/>
      <c r="G904" s="59"/>
      <c r="H904" s="59"/>
    </row>
    <row r="905" spans="2:8" ht="15.75" customHeight="1" x14ac:dyDescent="0.2">
      <c r="B905" s="59"/>
      <c r="D905" s="59"/>
      <c r="E905" s="59"/>
      <c r="G905" s="59"/>
      <c r="H905" s="59"/>
    </row>
    <row r="906" spans="2:8" ht="15.75" customHeight="1" x14ac:dyDescent="0.2">
      <c r="B906" s="59"/>
      <c r="D906" s="59"/>
      <c r="E906" s="59"/>
      <c r="G906" s="59"/>
      <c r="H906" s="59"/>
    </row>
    <row r="907" spans="2:8" ht="15.75" customHeight="1" x14ac:dyDescent="0.2">
      <c r="B907" s="59"/>
      <c r="D907" s="59"/>
      <c r="E907" s="59"/>
      <c r="G907" s="59"/>
      <c r="H907" s="59"/>
    </row>
    <row r="908" spans="2:8" ht="15.75" customHeight="1" x14ac:dyDescent="0.2">
      <c r="B908" s="59"/>
      <c r="D908" s="59"/>
      <c r="E908" s="59"/>
      <c r="G908" s="59"/>
      <c r="H908" s="59"/>
    </row>
    <row r="909" spans="2:8" ht="15.75" customHeight="1" x14ac:dyDescent="0.2">
      <c r="B909" s="59"/>
      <c r="D909" s="59"/>
      <c r="E909" s="59"/>
      <c r="G909" s="59"/>
      <c r="H909" s="59"/>
    </row>
    <row r="910" spans="2:8" ht="15.75" customHeight="1" x14ac:dyDescent="0.2">
      <c r="B910" s="59"/>
      <c r="D910" s="59"/>
      <c r="E910" s="59"/>
      <c r="G910" s="59"/>
      <c r="H910" s="59"/>
    </row>
    <row r="911" spans="2:8" ht="15.75" customHeight="1" x14ac:dyDescent="0.2">
      <c r="B911" s="59"/>
      <c r="D911" s="59"/>
      <c r="E911" s="59"/>
      <c r="G911" s="59"/>
      <c r="H911" s="59"/>
    </row>
    <row r="912" spans="2:8" ht="15.75" customHeight="1" x14ac:dyDescent="0.2">
      <c r="B912" s="59"/>
      <c r="D912" s="59"/>
      <c r="E912" s="59"/>
      <c r="G912" s="59"/>
      <c r="H912" s="59"/>
    </row>
    <row r="913" spans="2:8" ht="15.75" customHeight="1" x14ac:dyDescent="0.2">
      <c r="B913" s="59"/>
      <c r="D913" s="59"/>
      <c r="E913" s="59"/>
      <c r="G913" s="59"/>
      <c r="H913" s="59"/>
    </row>
    <row r="914" spans="2:8" ht="15.75" customHeight="1" x14ac:dyDescent="0.2">
      <c r="B914" s="59"/>
      <c r="D914" s="59"/>
      <c r="E914" s="59"/>
      <c r="G914" s="59"/>
      <c r="H914" s="59"/>
    </row>
    <row r="915" spans="2:8" ht="15.75" customHeight="1" x14ac:dyDescent="0.2">
      <c r="B915" s="59"/>
      <c r="D915" s="59"/>
      <c r="E915" s="59"/>
      <c r="G915" s="59"/>
      <c r="H915" s="59"/>
    </row>
    <row r="916" spans="2:8" ht="15.75" customHeight="1" x14ac:dyDescent="0.2">
      <c r="B916" s="59"/>
      <c r="D916" s="59"/>
      <c r="E916" s="59"/>
      <c r="G916" s="59"/>
      <c r="H916" s="59"/>
    </row>
    <row r="917" spans="2:8" ht="15.75" customHeight="1" x14ac:dyDescent="0.2">
      <c r="B917" s="59"/>
      <c r="D917" s="59"/>
      <c r="E917" s="59"/>
      <c r="G917" s="59"/>
      <c r="H917" s="59"/>
    </row>
    <row r="918" spans="2:8" ht="15.75" customHeight="1" x14ac:dyDescent="0.2">
      <c r="B918" s="59"/>
      <c r="D918" s="59"/>
      <c r="E918" s="59"/>
      <c r="G918" s="59"/>
      <c r="H918" s="59"/>
    </row>
    <row r="919" spans="2:8" ht="15.75" customHeight="1" x14ac:dyDescent="0.2">
      <c r="B919" s="59"/>
      <c r="D919" s="59"/>
      <c r="E919" s="59"/>
      <c r="G919" s="59"/>
      <c r="H919" s="59"/>
    </row>
    <row r="920" spans="2:8" ht="15.75" customHeight="1" x14ac:dyDescent="0.2">
      <c r="B920" s="59"/>
      <c r="D920" s="59"/>
      <c r="E920" s="59"/>
      <c r="G920" s="59"/>
      <c r="H920" s="59"/>
    </row>
    <row r="921" spans="2:8" ht="15.75" customHeight="1" x14ac:dyDescent="0.2">
      <c r="B921" s="59"/>
      <c r="D921" s="59"/>
      <c r="E921" s="59"/>
      <c r="G921" s="59"/>
      <c r="H921" s="59"/>
    </row>
    <row r="922" spans="2:8" ht="15.75" customHeight="1" x14ac:dyDescent="0.2">
      <c r="B922" s="59"/>
      <c r="D922" s="59"/>
      <c r="E922" s="59"/>
      <c r="G922" s="59"/>
      <c r="H922" s="59"/>
    </row>
    <row r="923" spans="2:8" ht="15.75" customHeight="1" x14ac:dyDescent="0.2">
      <c r="B923" s="59"/>
      <c r="D923" s="59"/>
      <c r="E923" s="59"/>
      <c r="G923" s="59"/>
      <c r="H923" s="59"/>
    </row>
    <row r="924" spans="2:8" ht="15.75" customHeight="1" x14ac:dyDescent="0.2">
      <c r="B924" s="59"/>
      <c r="D924" s="59"/>
      <c r="E924" s="59"/>
      <c r="G924" s="59"/>
      <c r="H924" s="59"/>
    </row>
    <row r="925" spans="2:8" ht="15.75" customHeight="1" x14ac:dyDescent="0.2">
      <c r="B925" s="59"/>
      <c r="D925" s="59"/>
      <c r="E925" s="59"/>
      <c r="G925" s="59"/>
      <c r="H925" s="59"/>
    </row>
    <row r="926" spans="2:8" ht="15.75" customHeight="1" x14ac:dyDescent="0.2">
      <c r="B926" s="59"/>
      <c r="D926" s="59"/>
      <c r="E926" s="59"/>
      <c r="G926" s="59"/>
      <c r="H926" s="59"/>
    </row>
    <row r="927" spans="2:8" ht="15.75" customHeight="1" x14ac:dyDescent="0.2">
      <c r="B927" s="59"/>
      <c r="D927" s="59"/>
      <c r="E927" s="59"/>
      <c r="G927" s="59"/>
      <c r="H927" s="59"/>
    </row>
    <row r="928" spans="2:8" ht="15.75" customHeight="1" x14ac:dyDescent="0.2">
      <c r="B928" s="59"/>
      <c r="D928" s="59"/>
      <c r="E928" s="59"/>
      <c r="G928" s="59"/>
      <c r="H928" s="59"/>
    </row>
    <row r="929" spans="2:8" ht="15.75" customHeight="1" x14ac:dyDescent="0.2">
      <c r="B929" s="59"/>
      <c r="D929" s="59"/>
      <c r="E929" s="59"/>
      <c r="G929" s="59"/>
      <c r="H929" s="59"/>
    </row>
    <row r="930" spans="2:8" ht="15.75" customHeight="1" x14ac:dyDescent="0.2">
      <c r="B930" s="59"/>
      <c r="D930" s="59"/>
      <c r="E930" s="59"/>
      <c r="G930" s="59"/>
      <c r="H930" s="59"/>
    </row>
    <row r="931" spans="2:8" ht="15.75" customHeight="1" x14ac:dyDescent="0.2">
      <c r="B931" s="59"/>
      <c r="D931" s="59"/>
      <c r="E931" s="59"/>
      <c r="G931" s="59"/>
      <c r="H931" s="59"/>
    </row>
    <row r="932" spans="2:8" ht="15.75" customHeight="1" x14ac:dyDescent="0.2">
      <c r="B932" s="59"/>
      <c r="D932" s="59"/>
      <c r="E932" s="59"/>
      <c r="G932" s="59"/>
      <c r="H932" s="59"/>
    </row>
    <row r="933" spans="2:8" ht="15.75" customHeight="1" x14ac:dyDescent="0.2">
      <c r="B933" s="59"/>
      <c r="D933" s="59"/>
      <c r="E933" s="59"/>
      <c r="G933" s="59"/>
      <c r="H933" s="59"/>
    </row>
    <row r="934" spans="2:8" ht="15.75" customHeight="1" x14ac:dyDescent="0.2">
      <c r="B934" s="59"/>
      <c r="D934" s="59"/>
      <c r="E934" s="59"/>
      <c r="G934" s="59"/>
      <c r="H934" s="59"/>
    </row>
    <row r="935" spans="2:8" ht="15.75" customHeight="1" x14ac:dyDescent="0.2">
      <c r="B935" s="59"/>
      <c r="D935" s="59"/>
      <c r="E935" s="59"/>
      <c r="G935" s="59"/>
      <c r="H935" s="59"/>
    </row>
    <row r="936" spans="2:8" ht="15.75" customHeight="1" x14ac:dyDescent="0.2">
      <c r="B936" s="59"/>
      <c r="D936" s="59"/>
      <c r="E936" s="59"/>
      <c r="G936" s="59"/>
      <c r="H936" s="59"/>
    </row>
    <row r="937" spans="2:8" ht="15.75" customHeight="1" x14ac:dyDescent="0.2">
      <c r="B937" s="59"/>
      <c r="D937" s="59"/>
      <c r="E937" s="59"/>
      <c r="G937" s="59"/>
      <c r="H937" s="59"/>
    </row>
    <row r="938" spans="2:8" ht="15.75" customHeight="1" x14ac:dyDescent="0.2">
      <c r="B938" s="59"/>
      <c r="D938" s="59"/>
      <c r="E938" s="59"/>
      <c r="G938" s="59"/>
      <c r="H938" s="59"/>
    </row>
    <row r="939" spans="2:8" ht="15.75" customHeight="1" x14ac:dyDescent="0.2">
      <c r="B939" s="59"/>
      <c r="D939" s="59"/>
      <c r="E939" s="59"/>
      <c r="G939" s="59"/>
      <c r="H939" s="59"/>
    </row>
    <row r="940" spans="2:8" ht="15.75" customHeight="1" x14ac:dyDescent="0.2">
      <c r="B940" s="59"/>
      <c r="D940" s="59"/>
      <c r="E940" s="59"/>
      <c r="G940" s="59"/>
      <c r="H940" s="59"/>
    </row>
    <row r="941" spans="2:8" ht="15.75" customHeight="1" x14ac:dyDescent="0.2">
      <c r="B941" s="59"/>
      <c r="D941" s="59"/>
      <c r="E941" s="59"/>
      <c r="G941" s="59"/>
      <c r="H941" s="59"/>
    </row>
    <row r="942" spans="2:8" ht="15.75" customHeight="1" x14ac:dyDescent="0.2">
      <c r="B942" s="59"/>
      <c r="D942" s="59"/>
      <c r="E942" s="59"/>
      <c r="G942" s="59"/>
      <c r="H942" s="59"/>
    </row>
    <row r="943" spans="2:8" ht="15.75" customHeight="1" x14ac:dyDescent="0.2">
      <c r="B943" s="59"/>
      <c r="D943" s="59"/>
      <c r="E943" s="59"/>
      <c r="G943" s="59"/>
      <c r="H943" s="59"/>
    </row>
    <row r="944" spans="2:8" ht="15.75" customHeight="1" x14ac:dyDescent="0.2">
      <c r="B944" s="59"/>
      <c r="D944" s="59"/>
      <c r="E944" s="59"/>
      <c r="G944" s="59"/>
      <c r="H944" s="59"/>
    </row>
    <row r="945" spans="2:8" ht="15.75" customHeight="1" x14ac:dyDescent="0.2">
      <c r="B945" s="59"/>
      <c r="D945" s="59"/>
      <c r="E945" s="59"/>
      <c r="G945" s="59"/>
      <c r="H945" s="59"/>
    </row>
    <row r="946" spans="2:8" ht="15.75" customHeight="1" x14ac:dyDescent="0.2">
      <c r="B946" s="59"/>
      <c r="D946" s="59"/>
      <c r="E946" s="59"/>
      <c r="G946" s="59"/>
      <c r="H946" s="59"/>
    </row>
    <row r="947" spans="2:8" ht="15.75" customHeight="1" x14ac:dyDescent="0.2">
      <c r="B947" s="59"/>
      <c r="D947" s="59"/>
      <c r="E947" s="59"/>
      <c r="G947" s="59"/>
      <c r="H947" s="59"/>
    </row>
    <row r="948" spans="2:8" ht="15.75" customHeight="1" x14ac:dyDescent="0.2">
      <c r="B948" s="59"/>
      <c r="D948" s="59"/>
      <c r="E948" s="59"/>
      <c r="G948" s="59"/>
      <c r="H948" s="59"/>
    </row>
    <row r="949" spans="2:8" ht="15.75" customHeight="1" x14ac:dyDescent="0.2">
      <c r="B949" s="59"/>
      <c r="D949" s="59"/>
      <c r="E949" s="59"/>
      <c r="G949" s="59"/>
      <c r="H949" s="59"/>
    </row>
    <row r="950" spans="2:8" ht="15.75" customHeight="1" x14ac:dyDescent="0.2">
      <c r="B950" s="59"/>
      <c r="D950" s="59"/>
      <c r="E950" s="59"/>
      <c r="G950" s="59"/>
      <c r="H950" s="59"/>
    </row>
    <row r="951" spans="2:8" ht="15.75" customHeight="1" x14ac:dyDescent="0.2">
      <c r="B951" s="59"/>
      <c r="D951" s="59"/>
      <c r="E951" s="59"/>
      <c r="G951" s="59"/>
      <c r="H951" s="59"/>
    </row>
    <row r="952" spans="2:8" ht="15.75" customHeight="1" x14ac:dyDescent="0.2">
      <c r="B952" s="59"/>
      <c r="D952" s="59"/>
      <c r="E952" s="59"/>
      <c r="G952" s="59"/>
      <c r="H952" s="59"/>
    </row>
    <row r="953" spans="2:8" ht="15.75" customHeight="1" x14ac:dyDescent="0.2">
      <c r="B953" s="59"/>
      <c r="D953" s="59"/>
      <c r="E953" s="59"/>
      <c r="G953" s="59"/>
      <c r="H953" s="59"/>
    </row>
    <row r="954" spans="2:8" ht="15.75" customHeight="1" x14ac:dyDescent="0.2">
      <c r="B954" s="59"/>
      <c r="D954" s="59"/>
      <c r="E954" s="59"/>
      <c r="G954" s="59"/>
      <c r="H954" s="59"/>
    </row>
    <row r="955" spans="2:8" ht="15.75" customHeight="1" x14ac:dyDescent="0.2">
      <c r="B955" s="59"/>
      <c r="D955" s="59"/>
      <c r="E955" s="59"/>
      <c r="G955" s="59"/>
      <c r="H955" s="59"/>
    </row>
    <row r="956" spans="2:8" ht="15.75" customHeight="1" x14ac:dyDescent="0.2">
      <c r="B956" s="59"/>
      <c r="D956" s="59"/>
      <c r="E956" s="59"/>
      <c r="G956" s="59"/>
      <c r="H956" s="59"/>
    </row>
    <row r="957" spans="2:8" ht="15.75" customHeight="1" x14ac:dyDescent="0.2">
      <c r="B957" s="59"/>
      <c r="D957" s="59"/>
      <c r="E957" s="59"/>
      <c r="G957" s="59"/>
      <c r="H957" s="59"/>
    </row>
    <row r="958" spans="2:8" ht="15.75" customHeight="1" x14ac:dyDescent="0.2">
      <c r="B958" s="59"/>
      <c r="D958" s="59"/>
      <c r="E958" s="59"/>
      <c r="G958" s="59"/>
      <c r="H958" s="59"/>
    </row>
    <row r="959" spans="2:8" ht="15.75" customHeight="1" x14ac:dyDescent="0.2">
      <c r="B959" s="59"/>
      <c r="D959" s="59"/>
      <c r="E959" s="59"/>
      <c r="G959" s="59"/>
      <c r="H959" s="59"/>
    </row>
    <row r="960" spans="2:8" ht="15.75" customHeight="1" x14ac:dyDescent="0.2">
      <c r="B960" s="59"/>
      <c r="D960" s="59"/>
      <c r="E960" s="59"/>
      <c r="G960" s="59"/>
      <c r="H960" s="59"/>
    </row>
    <row r="961" spans="2:8" ht="15.75" customHeight="1" x14ac:dyDescent="0.2">
      <c r="B961" s="59"/>
      <c r="D961" s="59"/>
      <c r="E961" s="59"/>
      <c r="G961" s="59"/>
      <c r="H961" s="59"/>
    </row>
    <row r="962" spans="2:8" ht="15.75" customHeight="1" x14ac:dyDescent="0.2">
      <c r="B962" s="59"/>
      <c r="D962" s="59"/>
      <c r="E962" s="59"/>
      <c r="G962" s="59"/>
      <c r="H962" s="59"/>
    </row>
    <row r="963" spans="2:8" ht="15.75" customHeight="1" x14ac:dyDescent="0.2">
      <c r="B963" s="59"/>
      <c r="D963" s="59"/>
      <c r="E963" s="59"/>
      <c r="G963" s="59"/>
      <c r="H963" s="59"/>
    </row>
    <row r="964" spans="2:8" ht="15.75" customHeight="1" x14ac:dyDescent="0.2">
      <c r="B964" s="59"/>
      <c r="D964" s="59"/>
      <c r="E964" s="59"/>
      <c r="G964" s="59"/>
      <c r="H964" s="59"/>
    </row>
    <row r="965" spans="2:8" ht="15.75" customHeight="1" x14ac:dyDescent="0.2">
      <c r="B965" s="59"/>
      <c r="D965" s="59"/>
      <c r="E965" s="59"/>
      <c r="G965" s="59"/>
      <c r="H965" s="59"/>
    </row>
    <row r="966" spans="2:8" ht="15.75" customHeight="1" x14ac:dyDescent="0.2">
      <c r="B966" s="59"/>
      <c r="D966" s="59"/>
      <c r="E966" s="59"/>
      <c r="G966" s="59"/>
      <c r="H966" s="59"/>
    </row>
    <row r="967" spans="2:8" ht="15.75" customHeight="1" x14ac:dyDescent="0.2">
      <c r="B967" s="59"/>
      <c r="D967" s="59"/>
      <c r="E967" s="59"/>
      <c r="G967" s="59"/>
      <c r="H967" s="59"/>
    </row>
    <row r="968" spans="2:8" ht="15.75" customHeight="1" x14ac:dyDescent="0.2">
      <c r="B968" s="59"/>
      <c r="D968" s="59"/>
      <c r="E968" s="59"/>
      <c r="G968" s="59"/>
      <c r="H968" s="59"/>
    </row>
    <row r="969" spans="2:8" ht="15.75" customHeight="1" x14ac:dyDescent="0.2">
      <c r="B969" s="59"/>
      <c r="D969" s="59"/>
      <c r="E969" s="59"/>
      <c r="G969" s="59"/>
      <c r="H969" s="59"/>
    </row>
    <row r="970" spans="2:8" ht="15.75" customHeight="1" x14ac:dyDescent="0.2">
      <c r="B970" s="59"/>
      <c r="D970" s="59"/>
      <c r="E970" s="59"/>
      <c r="G970" s="59"/>
      <c r="H970" s="59"/>
    </row>
    <row r="971" spans="2:8" ht="15.75" customHeight="1" x14ac:dyDescent="0.2">
      <c r="B971" s="59"/>
      <c r="D971" s="59"/>
      <c r="E971" s="59"/>
      <c r="G971" s="59"/>
      <c r="H971" s="59"/>
    </row>
    <row r="972" spans="2:8" ht="15.75" customHeight="1" x14ac:dyDescent="0.2">
      <c r="B972" s="59"/>
      <c r="D972" s="59"/>
      <c r="E972" s="59"/>
      <c r="G972" s="59"/>
      <c r="H972" s="59"/>
    </row>
    <row r="973" spans="2:8" ht="15.75" customHeight="1" x14ac:dyDescent="0.2">
      <c r="B973" s="59"/>
      <c r="D973" s="59"/>
      <c r="E973" s="59"/>
      <c r="G973" s="59"/>
      <c r="H973" s="59"/>
    </row>
    <row r="974" spans="2:8" ht="15.75" customHeight="1" x14ac:dyDescent="0.2">
      <c r="B974" s="59"/>
      <c r="D974" s="59"/>
      <c r="E974" s="59"/>
      <c r="G974" s="59"/>
      <c r="H974" s="59"/>
    </row>
    <row r="975" spans="2:8" ht="15.75" customHeight="1" x14ac:dyDescent="0.2">
      <c r="B975" s="59"/>
      <c r="D975" s="59"/>
      <c r="E975" s="59"/>
      <c r="G975" s="59"/>
      <c r="H975" s="59"/>
    </row>
    <row r="976" spans="2:8" ht="15.75" customHeight="1" x14ac:dyDescent="0.2">
      <c r="B976" s="59"/>
      <c r="D976" s="59"/>
      <c r="E976" s="59"/>
      <c r="G976" s="59"/>
      <c r="H976" s="59"/>
    </row>
    <row r="977" spans="2:8" ht="15.75" customHeight="1" x14ac:dyDescent="0.2">
      <c r="B977" s="59"/>
      <c r="D977" s="59"/>
      <c r="E977" s="59"/>
      <c r="G977" s="59"/>
      <c r="H977" s="59"/>
    </row>
    <row r="978" spans="2:8" ht="15.75" customHeight="1" x14ac:dyDescent="0.2">
      <c r="B978" s="59"/>
      <c r="D978" s="59"/>
      <c r="E978" s="59"/>
      <c r="G978" s="59"/>
      <c r="H978" s="59"/>
    </row>
    <row r="979" spans="2:8" ht="15.75" customHeight="1" x14ac:dyDescent="0.2">
      <c r="B979" s="59"/>
      <c r="D979" s="59"/>
      <c r="E979" s="59"/>
      <c r="G979" s="59"/>
      <c r="H979" s="59"/>
    </row>
    <row r="980" spans="2:8" ht="15.75" customHeight="1" x14ac:dyDescent="0.2">
      <c r="B980" s="59"/>
      <c r="D980" s="59"/>
      <c r="E980" s="59"/>
      <c r="G980" s="59"/>
      <c r="H980" s="59"/>
    </row>
    <row r="981" spans="2:8" ht="15.75" customHeight="1" x14ac:dyDescent="0.2">
      <c r="B981" s="59"/>
      <c r="D981" s="59"/>
      <c r="E981" s="59"/>
      <c r="G981" s="59"/>
      <c r="H981" s="59"/>
    </row>
    <row r="982" spans="2:8" ht="15.75" customHeight="1" x14ac:dyDescent="0.2">
      <c r="B982" s="59"/>
      <c r="D982" s="59"/>
      <c r="E982" s="59"/>
      <c r="G982" s="59"/>
      <c r="H982" s="59"/>
    </row>
    <row r="983" spans="2:8" ht="15.75" customHeight="1" x14ac:dyDescent="0.2">
      <c r="B983" s="59"/>
      <c r="D983" s="59"/>
      <c r="E983" s="59"/>
      <c r="G983" s="59"/>
      <c r="H983" s="59"/>
    </row>
    <row r="984" spans="2:8" ht="15.75" customHeight="1" x14ac:dyDescent="0.2">
      <c r="B984" s="59"/>
      <c r="D984" s="59"/>
      <c r="E984" s="59"/>
      <c r="G984" s="59"/>
      <c r="H984" s="59"/>
    </row>
    <row r="985" spans="2:8" ht="15.75" customHeight="1" x14ac:dyDescent="0.2">
      <c r="B985" s="59"/>
      <c r="D985" s="59"/>
      <c r="E985" s="59"/>
      <c r="G985" s="59"/>
      <c r="H985" s="59"/>
    </row>
    <row r="986" spans="2:8" ht="15.75" customHeight="1" x14ac:dyDescent="0.2">
      <c r="B986" s="59"/>
      <c r="D986" s="59"/>
      <c r="E986" s="59"/>
      <c r="G986" s="59"/>
      <c r="H986" s="59"/>
    </row>
    <row r="987" spans="2:8" ht="15.75" customHeight="1" x14ac:dyDescent="0.2">
      <c r="B987" s="59"/>
      <c r="D987" s="59"/>
      <c r="E987" s="59"/>
      <c r="G987" s="59"/>
      <c r="H987" s="59"/>
    </row>
    <row r="988" spans="2:8" ht="15.75" customHeight="1" x14ac:dyDescent="0.2">
      <c r="B988" s="59"/>
      <c r="D988" s="59"/>
      <c r="E988" s="59"/>
      <c r="G988" s="59"/>
      <c r="H988" s="59"/>
    </row>
    <row r="989" spans="2:8" ht="15.75" customHeight="1" x14ac:dyDescent="0.2">
      <c r="B989" s="59"/>
      <c r="D989" s="59"/>
      <c r="E989" s="59"/>
      <c r="G989" s="59"/>
      <c r="H989" s="59"/>
    </row>
    <row r="990" spans="2:8" ht="15.75" customHeight="1" x14ac:dyDescent="0.2">
      <c r="B990" s="59"/>
      <c r="D990" s="59"/>
      <c r="E990" s="59"/>
      <c r="G990" s="59"/>
      <c r="H990" s="59"/>
    </row>
    <row r="991" spans="2:8" ht="15.75" customHeight="1" x14ac:dyDescent="0.2">
      <c r="B991" s="59"/>
      <c r="D991" s="59"/>
      <c r="E991" s="59"/>
      <c r="G991" s="59"/>
      <c r="H991" s="59"/>
    </row>
    <row r="992" spans="2:8" ht="15.75" customHeight="1" x14ac:dyDescent="0.2">
      <c r="B992" s="59"/>
      <c r="D992" s="59"/>
      <c r="E992" s="59"/>
      <c r="G992" s="59"/>
      <c r="H992" s="59"/>
    </row>
    <row r="993" spans="2:8" ht="15.75" customHeight="1" x14ac:dyDescent="0.2">
      <c r="B993" s="59"/>
      <c r="D993" s="59"/>
      <c r="E993" s="59"/>
      <c r="G993" s="59"/>
      <c r="H993" s="59"/>
    </row>
    <row r="994" spans="2:8" ht="15.75" customHeight="1" x14ac:dyDescent="0.2">
      <c r="B994" s="59"/>
      <c r="D994" s="59"/>
      <c r="E994" s="59"/>
      <c r="G994" s="59"/>
      <c r="H994" s="59"/>
    </row>
    <row r="995" spans="2:8" ht="15.75" customHeight="1" x14ac:dyDescent="0.2">
      <c r="B995" s="59"/>
      <c r="D995" s="59"/>
      <c r="E995" s="59"/>
      <c r="G995" s="59"/>
      <c r="H995" s="59"/>
    </row>
    <row r="996" spans="2:8" ht="15.75" customHeight="1" x14ac:dyDescent="0.2">
      <c r="B996" s="59"/>
      <c r="D996" s="59"/>
      <c r="E996" s="59"/>
      <c r="G996" s="59"/>
      <c r="H996" s="59"/>
    </row>
    <row r="997" spans="2:8" ht="15.75" customHeight="1" x14ac:dyDescent="0.2">
      <c r="B997" s="59"/>
      <c r="D997" s="59"/>
      <c r="E997" s="59"/>
      <c r="G997" s="59"/>
      <c r="H997" s="59"/>
    </row>
    <row r="998" spans="2:8" ht="15.75" customHeight="1" x14ac:dyDescent="0.2">
      <c r="B998" s="59"/>
      <c r="D998" s="59"/>
      <c r="E998" s="59"/>
      <c r="G998" s="59"/>
      <c r="H998" s="59"/>
    </row>
    <row r="999" spans="2:8" ht="15.75" customHeight="1" x14ac:dyDescent="0.2"/>
    <row r="1000" spans="2:8" ht="15.75" customHeight="1" x14ac:dyDescent="0.2"/>
  </sheetData>
  <autoFilter ref="A1:P998" xr:uid="{00000000-0009-0000-0000-000005000000}"/>
  <dataValidations count="2">
    <dataValidation type="list" allowBlank="1" showErrorMessage="1" sqref="D2:D998" xr:uid="{00000000-0002-0000-0500-000000000000}">
      <formula1>"Autoconsumo,Comercial,Intercambio"</formula1>
    </dataValidation>
    <dataValidation type="list" allowBlank="1" showErrorMessage="1" sqref="B2:B998" xr:uid="{00000000-0002-0000-0500-000004000000}">
      <formula1>"Bien,Servicio"</formula1>
    </dataValidation>
  </dataValidations>
  <pageMargins left="0.7" right="0.7" top="0.75" bottom="0.75" header="0" footer="0"/>
  <pageSetup orientation="landscape"/>
  <legacyDrawing r:id="rId1"/>
  <extLst>
    <ext xmlns:x14="http://schemas.microsoft.com/office/spreadsheetml/2009/9/main" uri="{CCE6A557-97BC-4b89-ADB6-D9C93CAAB3DF}">
      <x14:dataValidations xmlns:xm="http://schemas.microsoft.com/office/excel/2006/main" count="3">
        <x14:dataValidation type="list" allowBlank="1" showErrorMessage="1" xr:uid="{00000000-0002-0000-0500-000001000000}">
          <x14:formula1>
            <xm:f>Referencias!$AD$5:$AD$9</xm:f>
          </x14:formula1>
          <xm:sqref>H2:H998</xm:sqref>
        </x14:dataValidation>
        <x14:dataValidation type="list" allowBlank="1" xr:uid="{00000000-0002-0000-0500-000002000000}">
          <x14:formula1>
            <xm:f>Referencias!$AB$5:$AB$12</xm:f>
          </x14:formula1>
          <xm:sqref>E2:E998</xm:sqref>
        </x14:dataValidation>
        <x14:dataValidation type="list" allowBlank="1" showErrorMessage="1" xr:uid="{00000000-0002-0000-0500-000003000000}">
          <x14:formula1>
            <xm:f>Referencias!$AF$5:$AF$26</xm:f>
          </x14:formula1>
          <xm:sqref>G2:G998</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434343"/>
    <outlinePr summaryBelow="0" summaryRight="0"/>
  </sheetPr>
  <dimension ref="A1:AL1123"/>
  <sheetViews>
    <sheetView showGridLines="0" workbookViewId="0"/>
  </sheetViews>
  <sheetFormatPr baseColWidth="10" defaultColWidth="12.5703125" defaultRowHeight="15" customHeight="1" x14ac:dyDescent="0.2"/>
  <cols>
    <col min="1" max="1" width="4.42578125" customWidth="1"/>
    <col min="2" max="2" width="31.7109375" customWidth="1"/>
    <col min="3" max="3" width="11.7109375" customWidth="1"/>
    <col min="4" max="4" width="13.7109375" customWidth="1"/>
    <col min="5" max="5" width="22.7109375" hidden="1" customWidth="1"/>
    <col min="6" max="6" width="10.42578125" hidden="1" customWidth="1"/>
    <col min="7" max="7" width="9.7109375" hidden="1" customWidth="1"/>
    <col min="8" max="8" width="5.140625" customWidth="1"/>
    <col min="9" max="9" width="23.5703125" customWidth="1"/>
    <col min="10" max="10" width="6.5703125" customWidth="1"/>
    <col min="11" max="11" width="20" customWidth="1"/>
    <col min="12" max="12" width="5.42578125" customWidth="1"/>
    <col min="13" max="13" width="17.42578125" customWidth="1"/>
    <col min="14" max="14" width="5.42578125" customWidth="1"/>
    <col min="15" max="15" width="3.7109375" customWidth="1"/>
    <col min="16" max="16" width="21.28515625" customWidth="1"/>
    <col min="17" max="17" width="5.5703125" customWidth="1"/>
    <col min="18" max="18" width="21.5703125" customWidth="1"/>
    <col min="19" max="19" width="5.42578125" customWidth="1"/>
    <col min="20" max="20" width="21" customWidth="1"/>
    <col min="21" max="21" width="5.42578125" customWidth="1"/>
    <col min="22" max="22" width="18.85546875" customWidth="1"/>
    <col min="23" max="23" width="5.42578125" customWidth="1"/>
    <col min="24" max="24" width="25.7109375" customWidth="1"/>
    <col min="25" max="25" width="5.85546875" customWidth="1"/>
    <col min="26" max="26" width="20.28515625" customWidth="1"/>
    <col min="27" max="27" width="5.85546875" customWidth="1"/>
    <col min="28" max="28" width="19" customWidth="1"/>
    <col min="29" max="29" width="4.7109375" customWidth="1"/>
    <col min="30" max="30" width="19" customWidth="1"/>
    <col min="31" max="31" width="4.5703125" customWidth="1"/>
    <col min="32" max="32" width="22.5703125" customWidth="1"/>
    <col min="33" max="33" width="4.85546875" customWidth="1"/>
    <col min="34" max="34" width="17.42578125" customWidth="1"/>
    <col min="35" max="35" width="4.28515625" customWidth="1"/>
    <col min="36" max="36" width="13.5703125" customWidth="1"/>
    <col min="37" max="37" width="4.28515625" customWidth="1"/>
    <col min="38" max="38" width="16.7109375" customWidth="1"/>
  </cols>
  <sheetData>
    <row r="1" spans="1:38" ht="35.25" customHeight="1" x14ac:dyDescent="0.4">
      <c r="A1" s="187" t="s">
        <v>1105</v>
      </c>
      <c r="B1" s="188"/>
      <c r="C1" s="189"/>
      <c r="D1" s="189"/>
      <c r="E1" s="50" t="e">
        <f>#REF!</f>
        <v>#REF!</v>
      </c>
      <c r="F1" s="190"/>
      <c r="G1" s="190"/>
      <c r="H1" s="190"/>
      <c r="I1" s="190"/>
      <c r="J1" s="190"/>
      <c r="K1" s="190"/>
      <c r="L1" s="190"/>
      <c r="M1" s="190"/>
      <c r="N1" s="190"/>
      <c r="O1" s="190"/>
      <c r="P1" s="190"/>
    </row>
    <row r="2" spans="1:38" ht="10.5" customHeight="1" x14ac:dyDescent="0.2">
      <c r="A2" s="50"/>
      <c r="B2" s="46"/>
      <c r="C2" s="50"/>
      <c r="D2" s="50"/>
      <c r="E2" s="71"/>
      <c r="F2" s="71"/>
      <c r="G2" s="60"/>
      <c r="H2" s="50"/>
      <c r="I2" s="50"/>
      <c r="J2" s="50"/>
      <c r="K2" s="48"/>
      <c r="M2" s="48"/>
    </row>
    <row r="3" spans="1:38" ht="15.75" customHeight="1" x14ac:dyDescent="0.2">
      <c r="A3" s="50"/>
      <c r="B3" s="46"/>
      <c r="C3" s="50"/>
      <c r="D3" s="50"/>
      <c r="E3" s="71"/>
      <c r="F3" s="71"/>
      <c r="G3" s="60"/>
      <c r="H3" s="50"/>
      <c r="I3" s="50"/>
      <c r="J3" s="50"/>
      <c r="K3" s="48"/>
      <c r="M3" s="48"/>
    </row>
    <row r="4" spans="1:38" ht="15.75" customHeight="1" x14ac:dyDescent="0.2">
      <c r="B4" s="191" t="s">
        <v>1106</v>
      </c>
      <c r="C4" s="192" t="s">
        <v>1107</v>
      </c>
      <c r="D4" s="191" t="s">
        <v>1108</v>
      </c>
      <c r="E4" s="193" t="s">
        <v>1109</v>
      </c>
      <c r="F4" s="193" t="s">
        <v>1110</v>
      </c>
      <c r="G4" s="193" t="s">
        <v>1111</v>
      </c>
      <c r="H4" s="194"/>
      <c r="I4" s="195" t="s">
        <v>44</v>
      </c>
      <c r="J4" s="194"/>
      <c r="K4" s="42" t="s">
        <v>1082</v>
      </c>
      <c r="M4" s="42" t="s">
        <v>1083</v>
      </c>
      <c r="P4" s="196" t="s">
        <v>105</v>
      </c>
      <c r="R4" s="197" t="s">
        <v>1112</v>
      </c>
      <c r="T4" s="197" t="s">
        <v>98</v>
      </c>
      <c r="V4" s="197" t="s">
        <v>1113</v>
      </c>
      <c r="X4" s="198" t="s">
        <v>1114</v>
      </c>
      <c r="Z4" s="199" t="s">
        <v>106</v>
      </c>
      <c r="AB4" s="183" t="s">
        <v>1097</v>
      </c>
      <c r="AC4" s="200"/>
      <c r="AD4" s="183" t="s">
        <v>1100</v>
      </c>
      <c r="AF4" s="183" t="s">
        <v>1099</v>
      </c>
      <c r="AH4" s="73" t="s">
        <v>803</v>
      </c>
      <c r="AJ4" s="73" t="s">
        <v>801</v>
      </c>
      <c r="AL4" s="201" t="s">
        <v>1088</v>
      </c>
    </row>
    <row r="5" spans="1:38" ht="15.75" customHeight="1" x14ac:dyDescent="0.25">
      <c r="B5" s="202" t="s">
        <v>1115</v>
      </c>
      <c r="C5" s="202" t="s">
        <v>1116</v>
      </c>
      <c r="D5" s="202" t="s">
        <v>1117</v>
      </c>
      <c r="E5" s="71" t="e">
        <f ca="1">ARRAY_CONSTRAIN(ARRAYFORMULA([1]Actor!B2:B1123), 1, 1)</f>
        <v>#NAME?</v>
      </c>
      <c r="F5" s="71" t="str">
        <f ca="1">IFERROR(__xludf.DUMMYFUNCTION("unique(filter($C$5:$C1123,$B$5:$B1123=E5))"),"#N/A")</f>
        <v>#N/A</v>
      </c>
      <c r="G5" s="203" t="str">
        <f ca="1">IFERROR(__xludf.DUMMYFUNCTION("unique(filter($D$5:$D1123,$B$5:$B1123=E5))"),"#N/A")</f>
        <v>#N/A</v>
      </c>
      <c r="H5" s="50"/>
      <c r="I5" s="204" t="s">
        <v>1118</v>
      </c>
      <c r="J5" s="50"/>
      <c r="K5" s="205" t="s">
        <v>1119</v>
      </c>
      <c r="M5" s="205" t="s">
        <v>1120</v>
      </c>
      <c r="P5" s="206" t="s">
        <v>275</v>
      </c>
      <c r="R5" s="206" t="s">
        <v>169</v>
      </c>
      <c r="T5" s="207" t="s">
        <v>257</v>
      </c>
      <c r="V5" s="208" t="s">
        <v>262</v>
      </c>
      <c r="X5" s="209" t="s">
        <v>1121</v>
      </c>
      <c r="Z5" s="209" t="s">
        <v>1122</v>
      </c>
      <c r="AB5" s="208" t="s">
        <v>1123</v>
      </c>
      <c r="AC5" s="46"/>
      <c r="AD5" s="209" t="s">
        <v>1124</v>
      </c>
      <c r="AF5" s="209" t="s">
        <v>1125</v>
      </c>
      <c r="AH5" s="209" t="s">
        <v>1126</v>
      </c>
      <c r="AJ5" s="209" t="s">
        <v>1127</v>
      </c>
      <c r="AL5" s="209" t="s">
        <v>1128</v>
      </c>
    </row>
    <row r="6" spans="1:38" ht="15.75" customHeight="1" x14ac:dyDescent="0.25">
      <c r="B6" s="202" t="s">
        <v>1129</v>
      </c>
      <c r="C6" s="202" t="s">
        <v>1130</v>
      </c>
      <c r="D6" s="202" t="s">
        <v>1131</v>
      </c>
      <c r="E6" s="71"/>
      <c r="F6" s="71" t="str">
        <f ca="1">IFERROR(__xludf.DUMMYFUNCTION("unique(filter($C$5:$C1123,$B$5:$B1123=E6))"),"")</f>
        <v/>
      </c>
      <c r="G6" s="203" t="str">
        <f ca="1">IFERROR(__xludf.DUMMYFUNCTION("unique(filter($D$5:$D1123,$B$5:$B1123=E6))"),"")</f>
        <v/>
      </c>
      <c r="H6" s="50"/>
      <c r="I6" s="204" t="s">
        <v>1132</v>
      </c>
      <c r="J6" s="50"/>
      <c r="K6" s="205" t="s">
        <v>1133</v>
      </c>
      <c r="M6" s="205" t="s">
        <v>1134</v>
      </c>
      <c r="P6" s="206" t="s">
        <v>146</v>
      </c>
      <c r="R6" s="206" t="s">
        <v>158</v>
      </c>
      <c r="T6" s="206" t="s">
        <v>1135</v>
      </c>
      <c r="V6" s="208" t="s">
        <v>1136</v>
      </c>
      <c r="X6" s="209" t="s">
        <v>1137</v>
      </c>
      <c r="Z6" s="209" t="s">
        <v>131</v>
      </c>
      <c r="AB6" s="208" t="s">
        <v>1138</v>
      </c>
      <c r="AC6" s="46"/>
      <c r="AD6" s="209" t="s">
        <v>1139</v>
      </c>
      <c r="AF6" s="209" t="s">
        <v>1140</v>
      </c>
      <c r="AH6" s="209" t="s">
        <v>1141</v>
      </c>
      <c r="AJ6" s="209" t="s">
        <v>1142</v>
      </c>
      <c r="AL6" s="209" t="s">
        <v>1143</v>
      </c>
    </row>
    <row r="7" spans="1:38" ht="15.75" customHeight="1" x14ac:dyDescent="0.25">
      <c r="B7" s="202" t="s">
        <v>1144</v>
      </c>
      <c r="C7" s="202" t="s">
        <v>1145</v>
      </c>
      <c r="D7" s="202" t="s">
        <v>1146</v>
      </c>
      <c r="E7" s="71"/>
      <c r="F7" s="71" t="str">
        <f ca="1">IFERROR(__xludf.DUMMYFUNCTION("unique(filter($C$5:$C1123,$B$5:$B1123=E7))"),"")</f>
        <v/>
      </c>
      <c r="G7" s="203" t="str">
        <f ca="1">IFERROR(__xludf.DUMMYFUNCTION("unique(filter($D$5:$D1123,$B$5:$B1123=E7))"),"")</f>
        <v/>
      </c>
      <c r="H7" s="50"/>
      <c r="I7" s="204" t="s">
        <v>1147</v>
      </c>
      <c r="J7" s="50"/>
      <c r="K7" s="205" t="s">
        <v>1148</v>
      </c>
      <c r="M7" s="205" t="s">
        <v>1149</v>
      </c>
      <c r="P7" s="206" t="s">
        <v>1150</v>
      </c>
      <c r="R7" s="206" t="s">
        <v>234</v>
      </c>
      <c r="T7" s="206" t="s">
        <v>1151</v>
      </c>
      <c r="V7" s="208" t="s">
        <v>1152</v>
      </c>
      <c r="X7" s="209" t="s">
        <v>1153</v>
      </c>
      <c r="Z7" s="209" t="s">
        <v>147</v>
      </c>
      <c r="AB7" s="208" t="s">
        <v>1154</v>
      </c>
      <c r="AC7" s="46"/>
      <c r="AD7" s="209" t="s">
        <v>1155</v>
      </c>
      <c r="AF7" s="209" t="s">
        <v>1156</v>
      </c>
      <c r="AH7" s="209" t="s">
        <v>1157</v>
      </c>
      <c r="AJ7" s="209" t="s">
        <v>1158</v>
      </c>
      <c r="AL7" s="209" t="s">
        <v>1159</v>
      </c>
    </row>
    <row r="8" spans="1:38" ht="15.75" customHeight="1" x14ac:dyDescent="0.25">
      <c r="B8" s="202" t="s">
        <v>1160</v>
      </c>
      <c r="C8" s="202" t="s">
        <v>1161</v>
      </c>
      <c r="D8" s="202" t="s">
        <v>1162</v>
      </c>
      <c r="E8" s="71"/>
      <c r="F8" s="71" t="str">
        <f ca="1">IFERROR(__xludf.DUMMYFUNCTION("unique(filter($C$5:$C1123,$B$5:$B1123=E8))"),"")</f>
        <v/>
      </c>
      <c r="G8" s="203" t="str">
        <f ca="1">IFERROR(__xludf.DUMMYFUNCTION("unique(filter($D$5:$D1123,$B$5:$B1123=E8))"),"")</f>
        <v/>
      </c>
      <c r="H8" s="50"/>
      <c r="I8" s="204" t="s">
        <v>1163</v>
      </c>
      <c r="J8" s="50"/>
      <c r="K8" s="205" t="s">
        <v>1164</v>
      </c>
      <c r="M8" s="205" t="s">
        <v>1165</v>
      </c>
      <c r="P8" s="206" t="s">
        <v>130</v>
      </c>
      <c r="R8" s="210" t="s">
        <v>127</v>
      </c>
      <c r="T8" s="206" t="s">
        <v>1166</v>
      </c>
      <c r="V8" s="208" t="s">
        <v>1167</v>
      </c>
      <c r="X8" s="209" t="s">
        <v>1168</v>
      </c>
      <c r="Z8" s="209" t="s">
        <v>1169</v>
      </c>
      <c r="AB8" s="208" t="s">
        <v>1170</v>
      </c>
      <c r="AC8" s="46"/>
      <c r="AD8" s="209" t="s">
        <v>1171</v>
      </c>
      <c r="AF8" s="209" t="s">
        <v>1172</v>
      </c>
      <c r="AH8" s="209" t="s">
        <v>1173</v>
      </c>
      <c r="AJ8" s="209" t="s">
        <v>1174</v>
      </c>
      <c r="AL8" s="209" t="s">
        <v>1175</v>
      </c>
    </row>
    <row r="9" spans="1:38" ht="15.75" customHeight="1" x14ac:dyDescent="0.25">
      <c r="B9" s="202" t="s">
        <v>1176</v>
      </c>
      <c r="C9" s="202" t="s">
        <v>1177</v>
      </c>
      <c r="D9" s="202" t="s">
        <v>1178</v>
      </c>
      <c r="E9" s="71"/>
      <c r="F9" s="71" t="str">
        <f ca="1">IFERROR(__xludf.DUMMYFUNCTION("unique(filter($C$5:$C1123,$B$5:$B1123=E9))"),"")</f>
        <v/>
      </c>
      <c r="G9" s="203" t="str">
        <f ca="1">IFERROR(__xludf.DUMMYFUNCTION("unique(filter($D$5:$D1123,$B$5:$B1123=E9))"),"")</f>
        <v/>
      </c>
      <c r="H9" s="50"/>
      <c r="I9" s="204" t="s">
        <v>1179</v>
      </c>
      <c r="J9" s="50"/>
      <c r="K9" s="205" t="s">
        <v>1180</v>
      </c>
      <c r="M9" s="205" t="s">
        <v>1181</v>
      </c>
      <c r="P9" s="206" t="s">
        <v>269</v>
      </c>
      <c r="R9" s="211" t="s">
        <v>182</v>
      </c>
      <c r="T9" s="206" t="s">
        <v>166</v>
      </c>
      <c r="V9" s="208" t="s">
        <v>148</v>
      </c>
      <c r="X9" s="209" t="s">
        <v>1182</v>
      </c>
      <c r="Z9" s="209" t="s">
        <v>1183</v>
      </c>
      <c r="AB9" s="208" t="s">
        <v>1184</v>
      </c>
      <c r="AC9" s="46"/>
      <c r="AD9" s="209" t="s">
        <v>1185</v>
      </c>
      <c r="AF9" s="209" t="s">
        <v>1186</v>
      </c>
      <c r="AH9" s="209" t="s">
        <v>1187</v>
      </c>
      <c r="AJ9" s="209" t="s">
        <v>1188</v>
      </c>
      <c r="AL9" s="209" t="s">
        <v>1189</v>
      </c>
    </row>
    <row r="10" spans="1:38" ht="15.75" customHeight="1" x14ac:dyDescent="0.2">
      <c r="B10" s="202" t="s">
        <v>1190</v>
      </c>
      <c r="C10" s="202" t="s">
        <v>1191</v>
      </c>
      <c r="D10" s="202" t="s">
        <v>1192</v>
      </c>
      <c r="E10" s="71"/>
      <c r="F10" s="71" t="str">
        <f ca="1">IFERROR(__xludf.DUMMYFUNCTION("unique(filter($C$5:$C1123,$B$5:$B1123=E10))"),"")</f>
        <v/>
      </c>
      <c r="G10" s="203" t="str">
        <f ca="1">IFERROR(__xludf.DUMMYFUNCTION("unique(filter($D$5:$D1123,$B$5:$B1123=E10))"),"")</f>
        <v/>
      </c>
      <c r="H10" s="50"/>
      <c r="I10" s="208" t="s">
        <v>63</v>
      </c>
      <c r="J10" s="50"/>
      <c r="K10" s="205" t="s">
        <v>1193</v>
      </c>
      <c r="M10" s="205" t="s">
        <v>1194</v>
      </c>
      <c r="P10" s="206" t="s">
        <v>1195</v>
      </c>
      <c r="R10" s="212" t="s">
        <v>144</v>
      </c>
      <c r="T10" s="206" t="s">
        <v>1196</v>
      </c>
      <c r="V10" s="208" t="s">
        <v>1197</v>
      </c>
      <c r="X10" s="209" t="s">
        <v>1198</v>
      </c>
      <c r="Z10" s="209" t="s">
        <v>1199</v>
      </c>
      <c r="AB10" s="208" t="s">
        <v>1200</v>
      </c>
      <c r="AF10" s="209" t="s">
        <v>1201</v>
      </c>
      <c r="AH10" s="209" t="s">
        <v>1202</v>
      </c>
      <c r="AJ10" s="209" t="s">
        <v>1043</v>
      </c>
      <c r="AL10" s="208" t="s">
        <v>1203</v>
      </c>
    </row>
    <row r="11" spans="1:38" ht="15.75" customHeight="1" x14ac:dyDescent="0.25">
      <c r="B11" s="202" t="s">
        <v>1204</v>
      </c>
      <c r="C11" s="202" t="s">
        <v>1205</v>
      </c>
      <c r="D11" s="202" t="s">
        <v>1206</v>
      </c>
      <c r="E11" s="213"/>
      <c r="F11" s="71" t="str">
        <f ca="1">IFERROR(__xludf.DUMMYFUNCTION("unique(filter($C$5:$C1123,$B$5:$B1123=E11))"),"")</f>
        <v/>
      </c>
      <c r="G11" s="203" t="str">
        <f ca="1">IFERROR(__xludf.DUMMYFUNCTION("unique(filter($D$5:$D1123,$B$5:$B1123=E11))"),"")</f>
        <v/>
      </c>
      <c r="H11" s="185"/>
      <c r="I11" s="204" t="s">
        <v>1207</v>
      </c>
      <c r="J11" s="185"/>
      <c r="K11" s="205" t="s">
        <v>1208</v>
      </c>
      <c r="M11" s="205" t="s">
        <v>1209</v>
      </c>
      <c r="P11" s="206" t="s">
        <v>1210</v>
      </c>
      <c r="R11" s="212" t="s">
        <v>1211</v>
      </c>
      <c r="T11" s="206" t="s">
        <v>124</v>
      </c>
      <c r="V11" s="208" t="s">
        <v>1212</v>
      </c>
      <c r="X11" s="209" t="s">
        <v>1213</v>
      </c>
      <c r="Z11" s="209" t="s">
        <v>1214</v>
      </c>
      <c r="AB11" s="208" t="s">
        <v>1215</v>
      </c>
      <c r="AF11" s="209" t="s">
        <v>1216</v>
      </c>
      <c r="AH11" s="209" t="s">
        <v>1217</v>
      </c>
      <c r="AJ11" s="209" t="s">
        <v>826</v>
      </c>
    </row>
    <row r="12" spans="1:38" ht="15.75" customHeight="1" x14ac:dyDescent="0.25">
      <c r="B12" s="202" t="s">
        <v>1218</v>
      </c>
      <c r="C12" s="202" t="s">
        <v>1219</v>
      </c>
      <c r="D12" s="202" t="s">
        <v>1220</v>
      </c>
      <c r="E12" s="71"/>
      <c r="F12" s="71" t="str">
        <f ca="1">IFERROR(__xludf.DUMMYFUNCTION("unique(filter($C$5:$C1123,$B$5:$B1123=E12))"),"")</f>
        <v/>
      </c>
      <c r="G12" s="203" t="str">
        <f ca="1">IFERROR(__xludf.DUMMYFUNCTION("unique(filter($D$5:$D1123,$B$5:$B1123=E12))"),"")</f>
        <v/>
      </c>
      <c r="H12" s="50"/>
      <c r="I12" s="204" t="s">
        <v>1221</v>
      </c>
      <c r="J12" s="50"/>
      <c r="K12" s="205" t="s">
        <v>1222</v>
      </c>
      <c r="M12" s="205" t="s">
        <v>1223</v>
      </c>
      <c r="P12" s="206" t="s">
        <v>185</v>
      </c>
      <c r="R12" s="210" t="s">
        <v>574</v>
      </c>
      <c r="T12" s="206" t="s">
        <v>1224</v>
      </c>
      <c r="V12" s="214" t="s">
        <v>172</v>
      </c>
      <c r="X12" s="209" t="s">
        <v>1225</v>
      </c>
      <c r="Z12" s="209" t="s">
        <v>1226</v>
      </c>
      <c r="AB12" s="208" t="s">
        <v>1227</v>
      </c>
      <c r="AF12" s="209" t="s">
        <v>1228</v>
      </c>
      <c r="AJ12" s="209" t="s">
        <v>843</v>
      </c>
    </row>
    <row r="13" spans="1:38" ht="15.75" customHeight="1" x14ac:dyDescent="0.2">
      <c r="B13" s="202" t="s">
        <v>1229</v>
      </c>
      <c r="C13" s="202" t="s">
        <v>1230</v>
      </c>
      <c r="D13" s="202" t="s">
        <v>1231</v>
      </c>
      <c r="E13" s="71"/>
      <c r="F13" s="71" t="str">
        <f ca="1">IFERROR(__xludf.DUMMYFUNCTION("unique(filter($C$5:$C1123,$B$5:$B1123=E13))"),"")</f>
        <v/>
      </c>
      <c r="G13" s="203" t="str">
        <f ca="1">IFERROR(__xludf.DUMMYFUNCTION("unique(filter($D$5:$D1123,$B$5:$B1123=E13))"),"")</f>
        <v/>
      </c>
      <c r="H13" s="50"/>
      <c r="I13" s="215" t="s">
        <v>1232</v>
      </c>
      <c r="J13" s="50"/>
      <c r="K13" s="205" t="s">
        <v>1233</v>
      </c>
      <c r="M13" s="205" t="s">
        <v>1234</v>
      </c>
      <c r="P13" s="206" t="s">
        <v>490</v>
      </c>
      <c r="R13" s="210" t="s">
        <v>1235</v>
      </c>
      <c r="T13" s="206" t="s">
        <v>1236</v>
      </c>
      <c r="V13" s="214" t="s">
        <v>161</v>
      </c>
      <c r="X13" s="209" t="s">
        <v>1237</v>
      </c>
      <c r="Z13" s="209" t="s">
        <v>1238</v>
      </c>
      <c r="AF13" s="209" t="s">
        <v>1239</v>
      </c>
      <c r="AJ13" s="209" t="s">
        <v>956</v>
      </c>
    </row>
    <row r="14" spans="1:38" ht="15.75" customHeight="1" x14ac:dyDescent="0.2">
      <c r="B14" s="202" t="s">
        <v>1240</v>
      </c>
      <c r="C14" s="202" t="s">
        <v>1241</v>
      </c>
      <c r="D14" s="202" t="s">
        <v>1242</v>
      </c>
      <c r="E14" s="216"/>
      <c r="F14" s="71" t="str">
        <f ca="1">IFERROR(__xludf.DUMMYFUNCTION("unique(filter($C$5:$C1123,$B$5:$B1123=E14))"),"")</f>
        <v/>
      </c>
      <c r="G14" s="203" t="str">
        <f ca="1">IFERROR(__xludf.DUMMYFUNCTION("unique(filter($D$5:$D1123,$B$5:$B1123=E14))"),"")</f>
        <v/>
      </c>
      <c r="H14" s="96"/>
      <c r="I14" s="96"/>
      <c r="J14" s="96"/>
      <c r="K14" s="205" t="s">
        <v>1243</v>
      </c>
      <c r="M14" s="205" t="s">
        <v>1244</v>
      </c>
      <c r="P14" s="206" t="s">
        <v>1245</v>
      </c>
      <c r="R14" s="210" t="s">
        <v>1246</v>
      </c>
      <c r="T14" s="206" t="s">
        <v>1247</v>
      </c>
      <c r="V14" s="214" t="s">
        <v>132</v>
      </c>
      <c r="X14" s="209" t="s">
        <v>1248</v>
      </c>
      <c r="Z14" s="209" t="s">
        <v>1249</v>
      </c>
      <c r="AF14" s="209" t="s">
        <v>1250</v>
      </c>
      <c r="AJ14" s="209" t="s">
        <v>1251</v>
      </c>
    </row>
    <row r="15" spans="1:38" ht="15.75" customHeight="1" x14ac:dyDescent="0.2">
      <c r="B15" s="202" t="s">
        <v>1252</v>
      </c>
      <c r="C15" s="202"/>
      <c r="D15" s="202" t="s">
        <v>1253</v>
      </c>
      <c r="E15" s="71"/>
      <c r="F15" s="71" t="str">
        <f ca="1">IFERROR(__xludf.DUMMYFUNCTION("unique(filter($C$5:$C1123,$B$5:$B1123=E15))"),"")</f>
        <v/>
      </c>
      <c r="G15" s="203" t="str">
        <f ca="1">IFERROR(__xludf.DUMMYFUNCTION("unique(filter($D$5:$D1123,$B$5:$B1123=E15))"),"")</f>
        <v/>
      </c>
      <c r="H15" s="50"/>
      <c r="I15" s="50"/>
      <c r="J15" s="50"/>
      <c r="K15" s="205" t="s">
        <v>1254</v>
      </c>
      <c r="M15" s="205" t="s">
        <v>1255</v>
      </c>
      <c r="P15" s="206" t="s">
        <v>1256</v>
      </c>
      <c r="R15" s="211" t="s">
        <v>1257</v>
      </c>
      <c r="T15" s="206" t="s">
        <v>1258</v>
      </c>
      <c r="X15" s="209" t="s">
        <v>1259</v>
      </c>
      <c r="Z15" s="209" t="s">
        <v>1260</v>
      </c>
      <c r="AF15" s="209" t="s">
        <v>1261</v>
      </c>
      <c r="AJ15" s="209" t="s">
        <v>816</v>
      </c>
    </row>
    <row r="16" spans="1:38" ht="15.75" customHeight="1" x14ac:dyDescent="0.2">
      <c r="B16" s="202" t="s">
        <v>1262</v>
      </c>
      <c r="C16" s="202"/>
      <c r="D16" s="202" t="s">
        <v>1263</v>
      </c>
      <c r="E16" s="71"/>
      <c r="F16" s="71" t="str">
        <f ca="1">IFERROR(__xludf.DUMMYFUNCTION("unique(filter($C$5:$C1123,$B$5:$B1123=E16))"),"")</f>
        <v/>
      </c>
      <c r="G16" s="203" t="str">
        <f ca="1">IFERROR(__xludf.DUMMYFUNCTION("unique(filter($D$5:$D1123,$B$5:$B1123=E16))"),"")</f>
        <v/>
      </c>
      <c r="K16" s="205" t="s">
        <v>1264</v>
      </c>
      <c r="M16" s="205" t="s">
        <v>1265</v>
      </c>
      <c r="P16" s="206" t="s">
        <v>1266</v>
      </c>
      <c r="R16" s="211" t="s">
        <v>183</v>
      </c>
      <c r="T16" s="206" t="s">
        <v>1267</v>
      </c>
      <c r="X16" s="209" t="s">
        <v>1268</v>
      </c>
      <c r="Z16" s="209" t="s">
        <v>1269</v>
      </c>
      <c r="AF16" s="209" t="s">
        <v>778</v>
      </c>
    </row>
    <row r="17" spans="2:38" ht="15.75" customHeight="1" x14ac:dyDescent="0.2">
      <c r="B17" s="202" t="s">
        <v>1270</v>
      </c>
      <c r="C17" s="202"/>
      <c r="D17" s="202" t="s">
        <v>1271</v>
      </c>
      <c r="E17" s="216"/>
      <c r="F17" s="71" t="str">
        <f ca="1">IFERROR(__xludf.DUMMYFUNCTION("unique(filter($C$5:$C1123,$B$5:$B1123=E17))"),"")</f>
        <v/>
      </c>
      <c r="G17" s="203" t="str">
        <f ca="1">IFERROR(__xludf.DUMMYFUNCTION("unique(filter($D$5:$D1123,$B$5:$B1123=E17))"),"")</f>
        <v/>
      </c>
      <c r="H17" s="217"/>
      <c r="I17" s="217"/>
      <c r="J17" s="217"/>
      <c r="K17" s="205" t="s">
        <v>1272</v>
      </c>
      <c r="M17" s="205" t="s">
        <v>1273</v>
      </c>
      <c r="P17" s="206" t="s">
        <v>160</v>
      </c>
      <c r="R17" s="206" t="s">
        <v>711</v>
      </c>
      <c r="T17" s="206" t="s">
        <v>1274</v>
      </c>
      <c r="X17" s="209" t="s">
        <v>1275</v>
      </c>
      <c r="Z17" s="209" t="s">
        <v>582</v>
      </c>
      <c r="AF17" s="209" t="s">
        <v>1276</v>
      </c>
      <c r="AL17" s="96"/>
    </row>
    <row r="18" spans="2:38" ht="15.75" customHeight="1" x14ac:dyDescent="0.2">
      <c r="B18" s="202" t="s">
        <v>1277</v>
      </c>
      <c r="C18" s="202"/>
      <c r="D18" s="202" t="s">
        <v>1278</v>
      </c>
      <c r="E18" s="71"/>
      <c r="F18" s="71" t="str">
        <f ca="1">IFERROR(__xludf.DUMMYFUNCTION("unique(filter($C$5:$C1123,$B$5:$B1123=E18))"),"")</f>
        <v/>
      </c>
      <c r="G18" s="203" t="str">
        <f ca="1">IFERROR(__xludf.DUMMYFUNCTION("unique(filter($D$5:$D1123,$B$5:$B1123=E18))"),"")</f>
        <v/>
      </c>
      <c r="H18" s="50"/>
      <c r="I18" s="50"/>
      <c r="J18" s="50"/>
      <c r="K18" s="205" t="s">
        <v>1279</v>
      </c>
      <c r="M18" s="205" t="s">
        <v>1280</v>
      </c>
      <c r="P18" s="206" t="s">
        <v>1281</v>
      </c>
      <c r="R18" s="46"/>
      <c r="T18" s="206" t="s">
        <v>1282</v>
      </c>
      <c r="X18" s="209" t="s">
        <v>1283</v>
      </c>
      <c r="Z18" s="209" t="s">
        <v>270</v>
      </c>
      <c r="AF18" s="209" t="s">
        <v>1284</v>
      </c>
      <c r="AL18" s="96"/>
    </row>
    <row r="19" spans="2:38" ht="15.75" customHeight="1" x14ac:dyDescent="0.2">
      <c r="B19" s="202" t="s">
        <v>1285</v>
      </c>
      <c r="C19" s="202" t="s">
        <v>1286</v>
      </c>
      <c r="D19" s="202" t="s">
        <v>1287</v>
      </c>
      <c r="E19" s="71"/>
      <c r="F19" s="71" t="str">
        <f ca="1">IFERROR(__xludf.DUMMYFUNCTION("unique(filter($C$5:$C1123,$B$5:$B1123=E19))"),"")</f>
        <v/>
      </c>
      <c r="G19" s="203" t="str">
        <f ca="1">IFERROR(__xludf.DUMMYFUNCTION("unique(filter($D$5:$D1123,$B$5:$B1123=E19))"),"")</f>
        <v/>
      </c>
      <c r="H19" s="50"/>
      <c r="I19" s="50"/>
      <c r="J19" s="50"/>
      <c r="K19" s="205" t="s">
        <v>1288</v>
      </c>
      <c r="M19" s="205" t="s">
        <v>1289</v>
      </c>
      <c r="P19" s="206" t="s">
        <v>1290</v>
      </c>
      <c r="R19" s="46"/>
      <c r="T19" s="206" t="s">
        <v>627</v>
      </c>
      <c r="X19" s="209" t="s">
        <v>1291</v>
      </c>
      <c r="AF19" s="209" t="s">
        <v>1257</v>
      </c>
    </row>
    <row r="20" spans="2:38" ht="15.75" customHeight="1" x14ac:dyDescent="0.2">
      <c r="B20" s="202" t="s">
        <v>1292</v>
      </c>
      <c r="C20" s="202"/>
      <c r="D20" s="202" t="s">
        <v>1293</v>
      </c>
      <c r="E20" s="71"/>
      <c r="F20" s="71" t="str">
        <f ca="1">IFERROR(__xludf.DUMMYFUNCTION("unique(filter($C$5:$C1123,$B$5:$B1123=E20))"),"")</f>
        <v/>
      </c>
      <c r="G20" s="203" t="str">
        <f ca="1">IFERROR(__xludf.DUMMYFUNCTION("unique(filter($D$5:$D1123,$B$5:$B1123=E20))"),"")</f>
        <v/>
      </c>
      <c r="H20" s="50"/>
      <c r="I20" s="50"/>
      <c r="J20" s="50"/>
      <c r="K20" s="205" t="s">
        <v>66</v>
      </c>
      <c r="M20" s="205" t="s">
        <v>1294</v>
      </c>
      <c r="P20" s="206" t="s">
        <v>1295</v>
      </c>
      <c r="R20" s="50"/>
      <c r="X20" s="209" t="s">
        <v>1296</v>
      </c>
      <c r="AF20" s="209" t="s">
        <v>1297</v>
      </c>
      <c r="AL20" s="96"/>
    </row>
    <row r="21" spans="2:38" ht="15.75" customHeight="1" x14ac:dyDescent="0.2">
      <c r="B21" s="202" t="s">
        <v>1298</v>
      </c>
      <c r="C21" s="202"/>
      <c r="D21" s="202" t="s">
        <v>1299</v>
      </c>
      <c r="E21" s="71"/>
      <c r="F21" s="71" t="str">
        <f ca="1">IFERROR(__xludf.DUMMYFUNCTION("unique(filter($C$5:$C1123,$B$5:$B1123=E21))"),"")</f>
        <v/>
      </c>
      <c r="G21" s="203" t="str">
        <f ca="1">IFERROR(__xludf.DUMMYFUNCTION("unique(filter($D$5:$D1123,$B$5:$B1123=E21))"),"")</f>
        <v/>
      </c>
      <c r="H21" s="50"/>
      <c r="I21" s="50"/>
      <c r="J21" s="50"/>
      <c r="K21" s="205" t="s">
        <v>1300</v>
      </c>
      <c r="M21" s="205" t="s">
        <v>1301</v>
      </c>
      <c r="P21" s="206" t="s">
        <v>171</v>
      </c>
      <c r="R21" s="50"/>
      <c r="X21" s="209" t="s">
        <v>1302</v>
      </c>
      <c r="AF21" s="209" t="s">
        <v>1303</v>
      </c>
      <c r="AL21" s="96"/>
    </row>
    <row r="22" spans="2:38" ht="15.75" customHeight="1" x14ac:dyDescent="0.2">
      <c r="B22" s="202" t="s">
        <v>1304</v>
      </c>
      <c r="C22" s="202" t="s">
        <v>1305</v>
      </c>
      <c r="D22" s="202" t="s">
        <v>1306</v>
      </c>
      <c r="E22" s="71"/>
      <c r="F22" s="71" t="str">
        <f ca="1">IFERROR(__xludf.DUMMYFUNCTION("unique(filter($C$5:$C1123,$B$5:$B1123=E22))"),"")</f>
        <v/>
      </c>
      <c r="G22" s="203" t="str">
        <f ca="1">IFERROR(__xludf.DUMMYFUNCTION("unique(filter($D$5:$D1123,$B$5:$B1123=E22))"),"")</f>
        <v/>
      </c>
      <c r="H22" s="50"/>
      <c r="I22" s="50"/>
      <c r="J22" s="50"/>
      <c r="K22" s="205" t="s">
        <v>1307</v>
      </c>
      <c r="M22" s="205" t="s">
        <v>1308</v>
      </c>
      <c r="P22" s="206" t="s">
        <v>1309</v>
      </c>
      <c r="R22" s="46"/>
      <c r="X22" s="209" t="s">
        <v>1310</v>
      </c>
      <c r="AF22" s="209" t="s">
        <v>1311</v>
      </c>
      <c r="AL22" s="96"/>
    </row>
    <row r="23" spans="2:38" ht="15.75" customHeight="1" x14ac:dyDescent="0.2">
      <c r="B23" s="202" t="s">
        <v>1312</v>
      </c>
      <c r="C23" s="202"/>
      <c r="D23" s="202" t="s">
        <v>1313</v>
      </c>
      <c r="E23" s="71"/>
      <c r="F23" s="71" t="str">
        <f ca="1">IFERROR(__xludf.DUMMYFUNCTION("unique(filter($C$5:$C1123,$B$5:$B1123=E23))"),"")</f>
        <v/>
      </c>
      <c r="G23" s="203" t="str">
        <f ca="1">IFERROR(__xludf.DUMMYFUNCTION("unique(filter($D$5:$D1123,$B$5:$B1123=E23))"),"")</f>
        <v/>
      </c>
      <c r="H23" s="50"/>
      <c r="I23" s="50"/>
      <c r="J23" s="50"/>
      <c r="K23" s="205" t="s">
        <v>1314</v>
      </c>
      <c r="M23" s="205" t="s">
        <v>1315</v>
      </c>
      <c r="P23" s="206" t="s">
        <v>1316</v>
      </c>
      <c r="R23" s="50"/>
      <c r="X23" s="209" t="s">
        <v>1317</v>
      </c>
      <c r="AF23" s="209" t="s">
        <v>1318</v>
      </c>
      <c r="AL23" s="96"/>
    </row>
    <row r="24" spans="2:38" ht="15.75" customHeight="1" x14ac:dyDescent="0.2">
      <c r="B24" s="202" t="s">
        <v>1319</v>
      </c>
      <c r="C24" s="202" t="s">
        <v>1320</v>
      </c>
      <c r="D24" s="202" t="s">
        <v>1321</v>
      </c>
      <c r="E24" s="71"/>
      <c r="F24" s="71" t="str">
        <f ca="1">IFERROR(__xludf.DUMMYFUNCTION("unique(filter($C$5:$C1123,$B$5:$B1123=E24))"),"")</f>
        <v/>
      </c>
      <c r="G24" s="203" t="str">
        <f ca="1">IFERROR(__xludf.DUMMYFUNCTION("unique(filter($D$5:$D1123,$B$5:$B1123=E24))"),"")</f>
        <v/>
      </c>
      <c r="H24" s="50"/>
      <c r="I24" s="50"/>
      <c r="J24" s="50"/>
      <c r="K24" s="205" t="s">
        <v>1322</v>
      </c>
      <c r="M24" s="205" t="s">
        <v>1323</v>
      </c>
      <c r="P24" s="206" t="s">
        <v>261</v>
      </c>
      <c r="X24" s="209" t="s">
        <v>1324</v>
      </c>
      <c r="AF24" s="209" t="s">
        <v>1246</v>
      </c>
      <c r="AL24" s="96"/>
    </row>
    <row r="25" spans="2:38" ht="15.75" customHeight="1" x14ac:dyDescent="0.2">
      <c r="B25" s="202" t="s">
        <v>1325</v>
      </c>
      <c r="C25" s="202" t="s">
        <v>1326</v>
      </c>
      <c r="D25" s="202" t="s">
        <v>1327</v>
      </c>
      <c r="E25" s="71"/>
      <c r="F25" s="71" t="str">
        <f ca="1">IFERROR(__xludf.DUMMYFUNCTION("unique(filter($C$5:$C1123,$B$5:$B1123=E25))"),"")</f>
        <v/>
      </c>
      <c r="G25" s="203" t="str">
        <f ca="1">IFERROR(__xludf.DUMMYFUNCTION("unique(filter($D$5:$D1123,$B$5:$B1123=E25))"),"")</f>
        <v/>
      </c>
      <c r="H25" s="50"/>
      <c r="I25" s="50"/>
      <c r="J25" s="50"/>
      <c r="K25" s="205" t="s">
        <v>1328</v>
      </c>
      <c r="M25" s="205" t="s">
        <v>1329</v>
      </c>
      <c r="P25" s="206" t="s">
        <v>1330</v>
      </c>
      <c r="X25" s="209" t="s">
        <v>1331</v>
      </c>
      <c r="AF25" s="209" t="s">
        <v>1332</v>
      </c>
      <c r="AL25" s="96"/>
    </row>
    <row r="26" spans="2:38" ht="15.75" customHeight="1" x14ac:dyDescent="0.2">
      <c r="B26" s="202" t="s">
        <v>1333</v>
      </c>
      <c r="C26" s="202" t="s">
        <v>1334</v>
      </c>
      <c r="D26" s="202" t="s">
        <v>1335</v>
      </c>
      <c r="E26" s="71"/>
      <c r="F26" s="71" t="str">
        <f ca="1">IFERROR(__xludf.DUMMYFUNCTION("unique(filter($C$5:$C1123,$B$5:$B1123=E26))"),"")</f>
        <v/>
      </c>
      <c r="G26" s="203" t="str">
        <f ca="1">IFERROR(__xludf.DUMMYFUNCTION("unique(filter($D$5:$D1123,$B$5:$B1123=E26))"),"")</f>
        <v/>
      </c>
      <c r="K26" s="205" t="s">
        <v>1336</v>
      </c>
      <c r="M26" s="205" t="s">
        <v>1337</v>
      </c>
      <c r="P26" s="206" t="s">
        <v>1338</v>
      </c>
      <c r="X26" s="209" t="s">
        <v>1339</v>
      </c>
      <c r="AF26" s="209" t="s">
        <v>627</v>
      </c>
      <c r="AL26" s="59"/>
    </row>
    <row r="27" spans="2:38" ht="15.75" customHeight="1" x14ac:dyDescent="0.2">
      <c r="B27" s="202" t="s">
        <v>1340</v>
      </c>
      <c r="C27" s="202" t="s">
        <v>1341</v>
      </c>
      <c r="D27" s="202" t="s">
        <v>1342</v>
      </c>
      <c r="E27" s="71"/>
      <c r="F27" s="71" t="str">
        <f ca="1">IFERROR(__xludf.DUMMYFUNCTION("unique(filter($C$5:$C1123,$B$5:$B1123=E27))"),"")</f>
        <v/>
      </c>
      <c r="G27" s="203" t="str">
        <f ca="1">IFERROR(__xludf.DUMMYFUNCTION("unique(filter($D$5:$D1123,$B$5:$B1123=E27))"),"")</f>
        <v/>
      </c>
      <c r="K27" s="205" t="s">
        <v>1343</v>
      </c>
      <c r="M27" s="205" t="s">
        <v>1344</v>
      </c>
      <c r="P27" s="206" t="s">
        <v>1345</v>
      </c>
      <c r="X27" s="209" t="s">
        <v>1346</v>
      </c>
      <c r="AL27" s="96"/>
    </row>
    <row r="28" spans="2:38" ht="15.75" customHeight="1" x14ac:dyDescent="0.2">
      <c r="B28" s="202" t="s">
        <v>1347</v>
      </c>
      <c r="C28" s="202" t="s">
        <v>1348</v>
      </c>
      <c r="D28" s="202" t="s">
        <v>1349</v>
      </c>
      <c r="E28" s="71"/>
      <c r="F28" s="71" t="str">
        <f ca="1">IFERROR(__xludf.DUMMYFUNCTION("unique(filter($C$5:$C1123,$B$5:$B1123=E28))"),"")</f>
        <v/>
      </c>
      <c r="G28" s="203" t="str">
        <f ca="1">IFERROR(__xludf.DUMMYFUNCTION("unique(filter($D$5:$D1123,$B$5:$B1123=E28))"),"")</f>
        <v/>
      </c>
      <c r="K28" s="205" t="s">
        <v>1350</v>
      </c>
      <c r="M28" s="205" t="s">
        <v>1351</v>
      </c>
      <c r="P28" s="206" t="s">
        <v>1352</v>
      </c>
      <c r="X28" s="209" t="s">
        <v>1353</v>
      </c>
      <c r="AL28" s="59"/>
    </row>
    <row r="29" spans="2:38" ht="15.75" customHeight="1" x14ac:dyDescent="0.2">
      <c r="B29" s="202" t="s">
        <v>1354</v>
      </c>
      <c r="C29" s="202" t="s">
        <v>1355</v>
      </c>
      <c r="D29" s="202" t="s">
        <v>1356</v>
      </c>
      <c r="E29" s="71"/>
      <c r="F29" s="71" t="str">
        <f ca="1">IFERROR(__xludf.DUMMYFUNCTION("unique(filter($C$5:$C1123,$B$5:$B1123=E29))"),"")</f>
        <v/>
      </c>
      <c r="G29" s="203" t="str">
        <f ca="1">IFERROR(__xludf.DUMMYFUNCTION("unique(filter($D$5:$D1123,$B$5:$B1123=E29))"),"")</f>
        <v/>
      </c>
      <c r="K29" s="205" t="s">
        <v>1357</v>
      </c>
      <c r="M29" s="205" t="s">
        <v>1358</v>
      </c>
      <c r="P29" s="206" t="s">
        <v>1359</v>
      </c>
      <c r="X29" s="209" t="s">
        <v>1360</v>
      </c>
      <c r="AL29" s="59"/>
    </row>
    <row r="30" spans="2:38" ht="15.75" customHeight="1" x14ac:dyDescent="0.2">
      <c r="B30" s="202" t="s">
        <v>1361</v>
      </c>
      <c r="C30" s="202" t="s">
        <v>1362</v>
      </c>
      <c r="D30" s="202" t="s">
        <v>1363</v>
      </c>
      <c r="E30" s="71"/>
      <c r="F30" s="71" t="str">
        <f ca="1">IFERROR(__xludf.DUMMYFUNCTION("unique(filter($C$5:$C1123,$B$5:$B1123=E30))"),"")</f>
        <v/>
      </c>
      <c r="G30" s="203" t="str">
        <f ca="1">IFERROR(__xludf.DUMMYFUNCTION("unique(filter($D$5:$D1123,$B$5:$B1123=E30))"),"")</f>
        <v/>
      </c>
      <c r="K30" s="205" t="s">
        <v>1364</v>
      </c>
      <c r="M30" s="205" t="s">
        <v>1365</v>
      </c>
      <c r="P30" s="206" t="s">
        <v>1366</v>
      </c>
      <c r="X30" s="209" t="s">
        <v>1367</v>
      </c>
      <c r="AL30" s="59"/>
    </row>
    <row r="31" spans="2:38" ht="15.75" customHeight="1" x14ac:dyDescent="0.2">
      <c r="B31" s="202" t="s">
        <v>1368</v>
      </c>
      <c r="C31" s="202"/>
      <c r="D31" s="202" t="s">
        <v>1369</v>
      </c>
      <c r="E31" s="71"/>
      <c r="F31" s="71" t="str">
        <f ca="1">IFERROR(__xludf.DUMMYFUNCTION("unique(filter($C$5:$C1123,$B$5:$B1123=E31))"),"")</f>
        <v/>
      </c>
      <c r="G31" s="203" t="str">
        <f ca="1">IFERROR(__xludf.DUMMYFUNCTION("unique(filter($D$5:$D1123,$B$5:$B1123=E31))"),"")</f>
        <v/>
      </c>
      <c r="K31" s="205" t="s">
        <v>1370</v>
      </c>
      <c r="M31" s="205" t="s">
        <v>1371</v>
      </c>
      <c r="P31" s="206" t="s">
        <v>1372</v>
      </c>
      <c r="X31" s="209" t="s">
        <v>1373</v>
      </c>
      <c r="AL31" s="59"/>
    </row>
    <row r="32" spans="2:38" ht="15.75" customHeight="1" x14ac:dyDescent="0.2">
      <c r="B32" s="202" t="s">
        <v>1374</v>
      </c>
      <c r="C32" s="202" t="s">
        <v>1375</v>
      </c>
      <c r="D32" s="202" t="s">
        <v>1376</v>
      </c>
      <c r="E32" s="71"/>
      <c r="F32" s="71" t="str">
        <f ca="1">IFERROR(__xludf.DUMMYFUNCTION("unique(filter($C$5:$C1123,$B$5:$B1123=E32))"),"")</f>
        <v/>
      </c>
      <c r="G32" s="203" t="str">
        <f ca="1">IFERROR(__xludf.DUMMYFUNCTION("unique(filter($D$5:$D1123,$B$5:$B1123=E32))"),"")</f>
        <v/>
      </c>
      <c r="K32" s="205" t="s">
        <v>1377</v>
      </c>
      <c r="M32" s="205" t="s">
        <v>1378</v>
      </c>
      <c r="P32" s="206" t="s">
        <v>1379</v>
      </c>
      <c r="X32" s="209" t="s">
        <v>1380</v>
      </c>
      <c r="AL32" s="59"/>
    </row>
    <row r="33" spans="2:24" ht="15.75" customHeight="1" x14ac:dyDescent="0.2">
      <c r="B33" s="202" t="s">
        <v>1381</v>
      </c>
      <c r="C33" s="202" t="s">
        <v>1382</v>
      </c>
      <c r="D33" s="202" t="s">
        <v>1383</v>
      </c>
      <c r="E33" s="71"/>
      <c r="F33" s="71" t="str">
        <f ca="1">IFERROR(__xludf.DUMMYFUNCTION("unique(filter($C$5:$C1123,$B$5:$B1123=E33))"),"")</f>
        <v/>
      </c>
      <c r="G33" s="203" t="str">
        <f ca="1">IFERROR(__xludf.DUMMYFUNCTION("unique(filter($D$5:$D1123,$B$5:$B1123=E33))"),"")</f>
        <v/>
      </c>
      <c r="K33" s="205" t="s">
        <v>1384</v>
      </c>
      <c r="M33" s="205" t="s">
        <v>1385</v>
      </c>
      <c r="P33" s="206" t="s">
        <v>1386</v>
      </c>
      <c r="X33" s="209" t="s">
        <v>1387</v>
      </c>
    </row>
    <row r="34" spans="2:24" ht="15.75" customHeight="1" x14ac:dyDescent="0.2">
      <c r="B34" s="202" t="s">
        <v>1388</v>
      </c>
      <c r="C34" s="202" t="s">
        <v>1389</v>
      </c>
      <c r="D34" s="202" t="s">
        <v>1390</v>
      </c>
      <c r="E34" s="71"/>
      <c r="F34" s="71" t="str">
        <f ca="1">IFERROR(__xludf.DUMMYFUNCTION("unique(filter($C$5:$C1123,$B$5:$B1123=E34))"),"")</f>
        <v/>
      </c>
      <c r="G34" s="203" t="str">
        <f ca="1">IFERROR(__xludf.DUMMYFUNCTION("unique(filter($D$5:$D1123,$B$5:$B1123=E34))"),"")</f>
        <v/>
      </c>
      <c r="K34" s="205" t="s">
        <v>1391</v>
      </c>
      <c r="M34" s="205" t="s">
        <v>1392</v>
      </c>
      <c r="P34" s="206" t="s">
        <v>1393</v>
      </c>
      <c r="X34" s="209" t="s">
        <v>1394</v>
      </c>
    </row>
    <row r="35" spans="2:24" ht="15.75" customHeight="1" x14ac:dyDescent="0.2">
      <c r="B35" s="202" t="s">
        <v>1395</v>
      </c>
      <c r="C35" s="202"/>
      <c r="D35" s="202" t="s">
        <v>1396</v>
      </c>
      <c r="E35" s="71"/>
      <c r="F35" s="71" t="str">
        <f ca="1">IFERROR(__xludf.DUMMYFUNCTION("unique(filter($C$5:$C1123,$B$5:$B1123=E35))"),"")</f>
        <v/>
      </c>
      <c r="G35" s="203" t="str">
        <f ca="1">IFERROR(__xludf.DUMMYFUNCTION("unique(filter($D$5:$D1123,$B$5:$B1123=E35))"),"")</f>
        <v/>
      </c>
      <c r="K35" s="205" t="s">
        <v>1397</v>
      </c>
      <c r="M35" s="205" t="s">
        <v>1398</v>
      </c>
      <c r="P35" s="206" t="s">
        <v>1399</v>
      </c>
      <c r="X35" s="209" t="s">
        <v>1400</v>
      </c>
    </row>
    <row r="36" spans="2:24" ht="15.75" customHeight="1" x14ac:dyDescent="0.2">
      <c r="B36" s="202" t="s">
        <v>1401</v>
      </c>
      <c r="C36" s="202" t="s">
        <v>1402</v>
      </c>
      <c r="D36" s="202" t="s">
        <v>1403</v>
      </c>
      <c r="E36" s="71"/>
      <c r="F36" s="71" t="str">
        <f ca="1">IFERROR(__xludf.DUMMYFUNCTION("unique(filter($C$5:$C1123,$B$5:$B1123=E36))"),"")</f>
        <v/>
      </c>
      <c r="G36" s="203" t="str">
        <f ca="1">IFERROR(__xludf.DUMMYFUNCTION("unique(filter($D$5:$D1123,$B$5:$B1123=E36))"),"")</f>
        <v/>
      </c>
      <c r="K36" s="205" t="s">
        <v>1404</v>
      </c>
      <c r="M36" s="205" t="s">
        <v>1405</v>
      </c>
      <c r="P36" s="206" t="s">
        <v>1406</v>
      </c>
      <c r="X36" s="209" t="s">
        <v>1407</v>
      </c>
    </row>
    <row r="37" spans="2:24" ht="15.75" customHeight="1" x14ac:dyDescent="0.2">
      <c r="B37" s="202" t="s">
        <v>1408</v>
      </c>
      <c r="C37" s="202"/>
      <c r="D37" s="202" t="s">
        <v>1409</v>
      </c>
      <c r="E37" s="71"/>
      <c r="F37" s="71" t="str">
        <f ca="1">IFERROR(__xludf.DUMMYFUNCTION("unique(filter($C$5:$C1123,$B$5:$B1123=E37))"),"")</f>
        <v/>
      </c>
      <c r="G37" s="203" t="str">
        <f ca="1">IFERROR(__xludf.DUMMYFUNCTION("unique(filter($D$5:$D1123,$B$5:$B1123=E37))"),"")</f>
        <v/>
      </c>
      <c r="K37" s="205" t="s">
        <v>1410</v>
      </c>
      <c r="M37" s="205" t="s">
        <v>1411</v>
      </c>
      <c r="P37" s="206" t="s">
        <v>1386</v>
      </c>
      <c r="X37" s="209" t="s">
        <v>1412</v>
      </c>
    </row>
    <row r="38" spans="2:24" ht="15.75" customHeight="1" x14ac:dyDescent="0.2">
      <c r="B38" s="202" t="s">
        <v>1413</v>
      </c>
      <c r="C38" s="202" t="s">
        <v>1414</v>
      </c>
      <c r="D38" s="202" t="s">
        <v>1415</v>
      </c>
      <c r="E38" s="71"/>
      <c r="F38" s="71" t="str">
        <f ca="1">IFERROR(__xludf.DUMMYFUNCTION("unique(filter($C$5:$C1123,$B$5:$B1123=E38))"),"")</f>
        <v/>
      </c>
      <c r="G38" s="203" t="str">
        <f ca="1">IFERROR(__xludf.DUMMYFUNCTION("unique(filter($D$5:$D1123,$B$5:$B1123=E38))"),"")</f>
        <v/>
      </c>
      <c r="K38" s="48"/>
      <c r="M38" s="205" t="s">
        <v>1416</v>
      </c>
      <c r="P38" s="206" t="s">
        <v>1417</v>
      </c>
      <c r="X38" s="209" t="s">
        <v>1418</v>
      </c>
    </row>
    <row r="39" spans="2:24" ht="15.75" customHeight="1" x14ac:dyDescent="0.2">
      <c r="B39" s="202" t="s">
        <v>1419</v>
      </c>
      <c r="C39" s="202"/>
      <c r="D39" s="202" t="s">
        <v>1420</v>
      </c>
      <c r="E39" s="71"/>
      <c r="F39" s="71" t="str">
        <f ca="1">IFERROR(__xludf.DUMMYFUNCTION("unique(filter($C$5:$C1123,$B$5:$B1123=E39))"),"")</f>
        <v/>
      </c>
      <c r="G39" s="203" t="str">
        <f ca="1">IFERROR(__xludf.DUMMYFUNCTION("unique(filter($D$5:$D1123,$B$5:$B1123=E39))"),"")</f>
        <v/>
      </c>
      <c r="K39" s="48"/>
      <c r="M39" s="205" t="s">
        <v>1421</v>
      </c>
      <c r="P39" s="206" t="s">
        <v>1422</v>
      </c>
      <c r="X39" s="209" t="s">
        <v>1423</v>
      </c>
    </row>
    <row r="40" spans="2:24" ht="15.75" customHeight="1" x14ac:dyDescent="0.2">
      <c r="B40" s="202" t="s">
        <v>1424</v>
      </c>
      <c r="C40" s="202"/>
      <c r="D40" s="202" t="s">
        <v>1425</v>
      </c>
      <c r="E40" s="71"/>
      <c r="F40" s="71" t="str">
        <f ca="1">IFERROR(__xludf.DUMMYFUNCTION("unique(filter($C$5:$C1123,$B$5:$B1123=E40))"),"")</f>
        <v/>
      </c>
      <c r="G40" s="203" t="str">
        <f ca="1">IFERROR(__xludf.DUMMYFUNCTION("unique(filter($D$5:$D1123,$B$5:$B1123=E40))"),"")</f>
        <v/>
      </c>
      <c r="K40" s="48"/>
      <c r="M40" s="205" t="s">
        <v>1426</v>
      </c>
      <c r="P40" s="206" t="s">
        <v>1427</v>
      </c>
      <c r="X40" s="209" t="s">
        <v>1428</v>
      </c>
    </row>
    <row r="41" spans="2:24" ht="15.75" customHeight="1" x14ac:dyDescent="0.2">
      <c r="B41" s="202" t="s">
        <v>1429</v>
      </c>
      <c r="C41" s="202"/>
      <c r="D41" s="202" t="s">
        <v>1430</v>
      </c>
      <c r="E41" s="71"/>
      <c r="F41" s="71" t="str">
        <f ca="1">IFERROR(__xludf.DUMMYFUNCTION("unique(filter($C$5:$C1123,$B$5:$B1123=E41))"),"")</f>
        <v/>
      </c>
      <c r="G41" s="203" t="str">
        <f ca="1">IFERROR(__xludf.DUMMYFUNCTION("unique(filter($D$5:$D1123,$B$5:$B1123=E41))"),"")</f>
        <v/>
      </c>
      <c r="K41" s="48"/>
      <c r="M41" s="205" t="s">
        <v>1431</v>
      </c>
      <c r="P41" s="206" t="s">
        <v>1432</v>
      </c>
      <c r="X41" s="209" t="s">
        <v>1433</v>
      </c>
    </row>
    <row r="42" spans="2:24" ht="15.75" customHeight="1" x14ac:dyDescent="0.2">
      <c r="B42" s="202" t="s">
        <v>1434</v>
      </c>
      <c r="C42" s="202"/>
      <c r="D42" s="202" t="s">
        <v>1435</v>
      </c>
      <c r="E42" s="71"/>
      <c r="F42" s="71" t="str">
        <f ca="1">IFERROR(__xludf.DUMMYFUNCTION("unique(filter($C$5:$C1123,$B$5:$B1123=E42))"),"")</f>
        <v/>
      </c>
      <c r="G42" s="203" t="str">
        <f ca="1">IFERROR(__xludf.DUMMYFUNCTION("unique(filter($D$5:$D1123,$B$5:$B1123=E42))"),"")</f>
        <v/>
      </c>
      <c r="K42" s="48"/>
      <c r="M42" s="205" t="s">
        <v>1436</v>
      </c>
      <c r="P42" s="206" t="s">
        <v>1437</v>
      </c>
      <c r="X42" s="209" t="s">
        <v>1438</v>
      </c>
    </row>
    <row r="43" spans="2:24" ht="15.75" customHeight="1" x14ac:dyDescent="0.2">
      <c r="B43" s="202" t="s">
        <v>1439</v>
      </c>
      <c r="C43" s="202" t="s">
        <v>1440</v>
      </c>
      <c r="D43" s="202" t="s">
        <v>1441</v>
      </c>
      <c r="E43" s="71"/>
      <c r="F43" s="71" t="str">
        <f ca="1">IFERROR(__xludf.DUMMYFUNCTION("unique(filter($C$5:$C1123,$B$5:$B1123=E43))"),"")</f>
        <v/>
      </c>
      <c r="G43" s="203" t="str">
        <f ca="1">IFERROR(__xludf.DUMMYFUNCTION("unique(filter($D$5:$D1123,$B$5:$B1123=E43))"),"")</f>
        <v/>
      </c>
      <c r="K43" s="48"/>
      <c r="M43" s="205" t="s">
        <v>1442</v>
      </c>
      <c r="P43" s="206" t="s">
        <v>769</v>
      </c>
      <c r="X43" s="209" t="s">
        <v>1443</v>
      </c>
    </row>
    <row r="44" spans="2:24" ht="15.75" customHeight="1" x14ac:dyDescent="0.2">
      <c r="B44" s="202" t="s">
        <v>1444</v>
      </c>
      <c r="C44" s="202"/>
      <c r="D44" s="202" t="s">
        <v>1445</v>
      </c>
      <c r="E44" s="71"/>
      <c r="F44" s="71" t="str">
        <f ca="1">IFERROR(__xludf.DUMMYFUNCTION("unique(filter($C$5:$C1123,$B$5:$B1123=E44))"),"")</f>
        <v/>
      </c>
      <c r="G44" s="203" t="str">
        <f ca="1">IFERROR(__xludf.DUMMYFUNCTION("unique(filter($D$5:$D1123,$B$5:$B1123=E44))"),"")</f>
        <v/>
      </c>
      <c r="K44" s="48"/>
      <c r="M44" s="205" t="s">
        <v>1446</v>
      </c>
      <c r="P44" s="206" t="s">
        <v>1447</v>
      </c>
      <c r="X44" s="209" t="s">
        <v>1448</v>
      </c>
    </row>
    <row r="45" spans="2:24" ht="15.75" customHeight="1" x14ac:dyDescent="0.2">
      <c r="B45" s="202" t="s">
        <v>1449</v>
      </c>
      <c r="C45" s="202"/>
      <c r="D45" s="202" t="s">
        <v>1450</v>
      </c>
      <c r="E45" s="71"/>
      <c r="F45" s="71" t="str">
        <f ca="1">IFERROR(__xludf.DUMMYFUNCTION("unique(filter($C$5:$C1123,$B$5:$B1123=E45))"),"")</f>
        <v/>
      </c>
      <c r="G45" s="203" t="str">
        <f ca="1">IFERROR(__xludf.DUMMYFUNCTION("unique(filter($D$5:$D1123,$B$5:$B1123=E45))"),"")</f>
        <v/>
      </c>
      <c r="K45" s="48"/>
      <c r="M45" s="205" t="s">
        <v>1451</v>
      </c>
      <c r="P45" s="206" t="s">
        <v>1452</v>
      </c>
      <c r="X45" s="209" t="s">
        <v>1453</v>
      </c>
    </row>
    <row r="46" spans="2:24" ht="15.75" customHeight="1" x14ac:dyDescent="0.2">
      <c r="B46" s="202" t="s">
        <v>1454</v>
      </c>
      <c r="C46" s="202"/>
      <c r="D46" s="202" t="s">
        <v>1455</v>
      </c>
      <c r="E46" s="71"/>
      <c r="F46" s="71" t="str">
        <f ca="1">IFERROR(__xludf.DUMMYFUNCTION("unique(filter($C$5:$C1123,$B$5:$B1123=E46))"),"")</f>
        <v/>
      </c>
      <c r="G46" s="203" t="str">
        <f ca="1">IFERROR(__xludf.DUMMYFUNCTION("unique(filter($D$5:$D1123,$B$5:$B1123=E46))"),"")</f>
        <v/>
      </c>
      <c r="K46" s="48"/>
      <c r="M46" s="205" t="s">
        <v>1456</v>
      </c>
      <c r="P46" s="206" t="s">
        <v>1457</v>
      </c>
      <c r="X46" s="209" t="s">
        <v>1458</v>
      </c>
    </row>
    <row r="47" spans="2:24" ht="15.75" customHeight="1" x14ac:dyDescent="0.2">
      <c r="B47" s="202" t="s">
        <v>1459</v>
      </c>
      <c r="C47" s="202" t="s">
        <v>1460</v>
      </c>
      <c r="D47" s="202" t="s">
        <v>1461</v>
      </c>
      <c r="E47" s="71"/>
      <c r="F47" s="71" t="str">
        <f ca="1">IFERROR(__xludf.DUMMYFUNCTION("unique(filter($C$5:$C1123,$B$5:$B1123=E47))"),"")</f>
        <v/>
      </c>
      <c r="G47" s="203" t="str">
        <f ca="1">IFERROR(__xludf.DUMMYFUNCTION("unique(filter($D$5:$D1123,$B$5:$B1123=E47))"),"")</f>
        <v/>
      </c>
      <c r="K47" s="48"/>
      <c r="M47" s="205" t="s">
        <v>1462</v>
      </c>
      <c r="P47" s="206" t="s">
        <v>1463</v>
      </c>
      <c r="X47" s="209" t="s">
        <v>1464</v>
      </c>
    </row>
    <row r="48" spans="2:24" ht="15.75" customHeight="1" x14ac:dyDescent="0.2">
      <c r="B48" s="202" t="s">
        <v>1465</v>
      </c>
      <c r="C48" s="202" t="s">
        <v>1466</v>
      </c>
      <c r="D48" s="202" t="s">
        <v>1467</v>
      </c>
      <c r="E48" s="71"/>
      <c r="F48" s="71" t="str">
        <f ca="1">IFERROR(__xludf.DUMMYFUNCTION("unique(filter($C$5:$C1123,$B$5:$B1123=E48))"),"")</f>
        <v/>
      </c>
      <c r="G48" s="203" t="str">
        <f ca="1">IFERROR(__xludf.DUMMYFUNCTION("unique(filter($D$5:$D1123,$B$5:$B1123=E48))"),"")</f>
        <v/>
      </c>
      <c r="K48" s="48"/>
      <c r="M48" s="205" t="s">
        <v>1468</v>
      </c>
      <c r="P48" s="206" t="s">
        <v>1469</v>
      </c>
      <c r="X48" s="209" t="s">
        <v>1470</v>
      </c>
    </row>
    <row r="49" spans="2:24" ht="15.75" customHeight="1" x14ac:dyDescent="0.2">
      <c r="B49" s="202" t="s">
        <v>1471</v>
      </c>
      <c r="C49" s="202" t="s">
        <v>1472</v>
      </c>
      <c r="D49" s="202" t="s">
        <v>1473</v>
      </c>
      <c r="E49" s="71"/>
      <c r="F49" s="71" t="str">
        <f ca="1">IFERROR(__xludf.DUMMYFUNCTION("unique(filter($C$5:$C1123,$B$5:$B1123=E49))"),"")</f>
        <v/>
      </c>
      <c r="G49" s="203" t="str">
        <f ca="1">IFERROR(__xludf.DUMMYFUNCTION("unique(filter($D$5:$D1123,$B$5:$B1123=E49))"),"")</f>
        <v/>
      </c>
      <c r="K49" s="48"/>
      <c r="M49" s="205" t="s">
        <v>1474</v>
      </c>
      <c r="P49" s="206" t="s">
        <v>1475</v>
      </c>
      <c r="X49" s="209" t="s">
        <v>1476</v>
      </c>
    </row>
    <row r="50" spans="2:24" ht="15.75" customHeight="1" x14ac:dyDescent="0.2">
      <c r="B50" s="202" t="s">
        <v>1477</v>
      </c>
      <c r="C50" s="202" t="s">
        <v>1478</v>
      </c>
      <c r="D50" s="202" t="s">
        <v>1479</v>
      </c>
      <c r="E50" s="71"/>
      <c r="F50" s="71" t="str">
        <f ca="1">IFERROR(__xludf.DUMMYFUNCTION("unique(filter($C$5:$C1123,$B$5:$B1123=E50))"),"")</f>
        <v/>
      </c>
      <c r="G50" s="203" t="str">
        <f ca="1">IFERROR(__xludf.DUMMYFUNCTION("unique(filter($D$5:$D1123,$B$5:$B1123=E50))"),"")</f>
        <v/>
      </c>
      <c r="K50" s="48"/>
      <c r="M50" s="205" t="s">
        <v>1480</v>
      </c>
      <c r="P50" s="206" t="s">
        <v>1481</v>
      </c>
      <c r="X50" s="209" t="s">
        <v>1482</v>
      </c>
    </row>
    <row r="51" spans="2:24" ht="15.75" customHeight="1" x14ac:dyDescent="0.2">
      <c r="B51" s="202" t="s">
        <v>1483</v>
      </c>
      <c r="C51" s="202" t="s">
        <v>1484</v>
      </c>
      <c r="D51" s="202" t="s">
        <v>1485</v>
      </c>
      <c r="E51" s="71"/>
      <c r="F51" s="71" t="str">
        <f ca="1">IFERROR(__xludf.DUMMYFUNCTION("unique(filter($C$5:$C1123,$B$5:$B1123=E51))"),"")</f>
        <v/>
      </c>
      <c r="G51" s="203" t="str">
        <f ca="1">IFERROR(__xludf.DUMMYFUNCTION("unique(filter($D$5:$D1123,$B$5:$B1123=E51))"),"")</f>
        <v/>
      </c>
      <c r="K51" s="48"/>
      <c r="M51" s="205" t="s">
        <v>1486</v>
      </c>
      <c r="P51" s="206" t="s">
        <v>1487</v>
      </c>
      <c r="X51" s="209" t="s">
        <v>1488</v>
      </c>
    </row>
    <row r="52" spans="2:24" ht="15.75" customHeight="1" x14ac:dyDescent="0.2">
      <c r="B52" s="202" t="s">
        <v>1489</v>
      </c>
      <c r="C52" s="202"/>
      <c r="D52" s="202" t="s">
        <v>1490</v>
      </c>
      <c r="E52" s="71"/>
      <c r="F52" s="71" t="str">
        <f ca="1">IFERROR(__xludf.DUMMYFUNCTION("unique(filter($C$5:$C1123,$B$5:$B1123=E52))"),"")</f>
        <v/>
      </c>
      <c r="G52" s="203" t="str">
        <f ca="1">IFERROR(__xludf.DUMMYFUNCTION("unique(filter($D$5:$D1123,$B$5:$B1123=E52))"),"")</f>
        <v/>
      </c>
      <c r="K52" s="48"/>
      <c r="M52" s="205" t="s">
        <v>1491</v>
      </c>
      <c r="P52" s="206" t="s">
        <v>1492</v>
      </c>
      <c r="X52" s="209" t="s">
        <v>1493</v>
      </c>
    </row>
    <row r="53" spans="2:24" ht="15.75" customHeight="1" x14ac:dyDescent="0.2">
      <c r="B53" s="202" t="s">
        <v>1494</v>
      </c>
      <c r="C53" s="202" t="s">
        <v>1495</v>
      </c>
      <c r="D53" s="202" t="s">
        <v>1496</v>
      </c>
      <c r="E53" s="71"/>
      <c r="F53" s="71" t="str">
        <f ca="1">IFERROR(__xludf.DUMMYFUNCTION("unique(filter($C$5:$C1123,$B$5:$B1123=E53))"),"")</f>
        <v/>
      </c>
      <c r="G53" s="203" t="str">
        <f ca="1">IFERROR(__xludf.DUMMYFUNCTION("unique(filter($D$5:$D1123,$B$5:$B1123=E53))"),"")</f>
        <v/>
      </c>
      <c r="K53" s="48"/>
      <c r="M53" s="205" t="s">
        <v>1497</v>
      </c>
      <c r="P53" s="206" t="s">
        <v>1498</v>
      </c>
      <c r="X53" s="209" t="s">
        <v>1499</v>
      </c>
    </row>
    <row r="54" spans="2:24" ht="15.75" customHeight="1" x14ac:dyDescent="0.2">
      <c r="B54" s="202" t="s">
        <v>1500</v>
      </c>
      <c r="C54" s="202" t="s">
        <v>1501</v>
      </c>
      <c r="D54" s="202" t="s">
        <v>1502</v>
      </c>
      <c r="E54" s="71"/>
      <c r="F54" s="71" t="str">
        <f ca="1">IFERROR(__xludf.DUMMYFUNCTION("unique(filter($C$5:$C1123,$B$5:$B1123=E54))"),"")</f>
        <v/>
      </c>
      <c r="G54" s="203" t="str">
        <f ca="1">IFERROR(__xludf.DUMMYFUNCTION("unique(filter($D$5:$D1123,$B$5:$B1123=E54))"),"")</f>
        <v/>
      </c>
      <c r="K54" s="48"/>
      <c r="M54" s="205" t="s">
        <v>1503</v>
      </c>
      <c r="P54" s="206" t="s">
        <v>1504</v>
      </c>
      <c r="X54" s="209" t="s">
        <v>1505</v>
      </c>
    </row>
    <row r="55" spans="2:24" ht="15.75" customHeight="1" x14ac:dyDescent="0.2">
      <c r="B55" s="202" t="s">
        <v>1506</v>
      </c>
      <c r="C55" s="202" t="s">
        <v>1507</v>
      </c>
      <c r="D55" s="202" t="s">
        <v>1508</v>
      </c>
      <c r="E55" s="71"/>
      <c r="F55" s="71" t="str">
        <f ca="1">IFERROR(__xludf.DUMMYFUNCTION("unique(filter($C$5:$C1123,$B$5:$B1123=E55))"),"")</f>
        <v/>
      </c>
      <c r="G55" s="203" t="str">
        <f ca="1">IFERROR(__xludf.DUMMYFUNCTION("unique(filter($D$5:$D1123,$B$5:$B1123=E55))"),"")</f>
        <v/>
      </c>
      <c r="K55" s="48"/>
      <c r="M55" s="205" t="s">
        <v>1509</v>
      </c>
      <c r="P55" s="206" t="s">
        <v>1510</v>
      </c>
      <c r="X55" s="209" t="s">
        <v>1511</v>
      </c>
    </row>
    <row r="56" spans="2:24" ht="15.75" customHeight="1" x14ac:dyDescent="0.2">
      <c r="B56" s="202" t="s">
        <v>1512</v>
      </c>
      <c r="C56" s="202" t="s">
        <v>1513</v>
      </c>
      <c r="D56" s="202" t="s">
        <v>1514</v>
      </c>
      <c r="E56" s="71"/>
      <c r="F56" s="71" t="str">
        <f ca="1">IFERROR(__xludf.DUMMYFUNCTION("unique(filter($C$5:$C1123,$B$5:$B1123=E56))"),"")</f>
        <v/>
      </c>
      <c r="G56" s="203" t="str">
        <f ca="1">IFERROR(__xludf.DUMMYFUNCTION("unique(filter($D$5:$D1123,$B$5:$B1123=E56))"),"")</f>
        <v/>
      </c>
      <c r="K56" s="48"/>
      <c r="M56" s="205" t="s">
        <v>1515</v>
      </c>
      <c r="P56" s="206" t="s">
        <v>1516</v>
      </c>
      <c r="X56" s="209" t="s">
        <v>1517</v>
      </c>
    </row>
    <row r="57" spans="2:24" ht="15.75" customHeight="1" x14ac:dyDescent="0.2">
      <c r="B57" s="202" t="s">
        <v>1518</v>
      </c>
      <c r="C57" s="202" t="s">
        <v>1519</v>
      </c>
      <c r="D57" s="202" t="s">
        <v>1520</v>
      </c>
      <c r="E57" s="71"/>
      <c r="F57" s="71" t="str">
        <f ca="1">IFERROR(__xludf.DUMMYFUNCTION("unique(filter($C$5:$C1123,$B$5:$B1123=E57))"),"")</f>
        <v/>
      </c>
      <c r="G57" s="203" t="str">
        <f ca="1">IFERROR(__xludf.DUMMYFUNCTION("unique(filter($D$5:$D1123,$B$5:$B1123=E57))"),"")</f>
        <v/>
      </c>
      <c r="K57" s="48"/>
      <c r="M57" s="205" t="s">
        <v>1521</v>
      </c>
      <c r="P57" s="206" t="s">
        <v>1522</v>
      </c>
      <c r="X57" s="209" t="s">
        <v>1523</v>
      </c>
    </row>
    <row r="58" spans="2:24" ht="15.75" customHeight="1" x14ac:dyDescent="0.2">
      <c r="B58" s="202" t="s">
        <v>1524</v>
      </c>
      <c r="C58" s="202" t="s">
        <v>1525</v>
      </c>
      <c r="D58" s="202" t="s">
        <v>1526</v>
      </c>
      <c r="E58" s="71"/>
      <c r="F58" s="71" t="str">
        <f ca="1">IFERROR(__xludf.DUMMYFUNCTION("unique(filter($C$5:$C1123,$B$5:$B1123=E58))"),"")</f>
        <v/>
      </c>
      <c r="G58" s="203" t="str">
        <f ca="1">IFERROR(__xludf.DUMMYFUNCTION("unique(filter($D$5:$D1123,$B$5:$B1123=E58))"),"")</f>
        <v/>
      </c>
      <c r="K58" s="48"/>
      <c r="M58" s="205" t="s">
        <v>1527</v>
      </c>
      <c r="P58" s="206" t="s">
        <v>1528</v>
      </c>
      <c r="X58" s="209" t="s">
        <v>1529</v>
      </c>
    </row>
    <row r="59" spans="2:24" ht="15.75" customHeight="1" x14ac:dyDescent="0.2">
      <c r="B59" s="202" t="s">
        <v>1530</v>
      </c>
      <c r="C59" s="202" t="s">
        <v>1531</v>
      </c>
      <c r="D59" s="202" t="s">
        <v>1532</v>
      </c>
      <c r="E59" s="71"/>
      <c r="F59" s="71" t="str">
        <f ca="1">IFERROR(__xludf.DUMMYFUNCTION("unique(filter($C$5:$C1123,$B$5:$B1123=E59))"),"")</f>
        <v/>
      </c>
      <c r="G59" s="203" t="str">
        <f ca="1">IFERROR(__xludf.DUMMYFUNCTION("unique(filter($D$5:$D1123,$B$5:$B1123=E59))"),"")</f>
        <v/>
      </c>
      <c r="K59" s="48"/>
      <c r="M59" s="205" t="s">
        <v>1533</v>
      </c>
      <c r="P59" s="206" t="s">
        <v>1534</v>
      </c>
      <c r="X59" s="209" t="s">
        <v>1535</v>
      </c>
    </row>
    <row r="60" spans="2:24" ht="15.75" customHeight="1" x14ac:dyDescent="0.2">
      <c r="B60" s="202" t="s">
        <v>1536</v>
      </c>
      <c r="C60" s="202" t="s">
        <v>1537</v>
      </c>
      <c r="D60" s="202" t="s">
        <v>1538</v>
      </c>
      <c r="E60" s="71"/>
      <c r="F60" s="71" t="str">
        <f ca="1">IFERROR(__xludf.DUMMYFUNCTION("unique(filter($C$5:$C1123,$B$5:$B1123=E60))"),"")</f>
        <v/>
      </c>
      <c r="G60" s="203" t="str">
        <f ca="1">IFERROR(__xludf.DUMMYFUNCTION("unique(filter($D$5:$D1123,$B$5:$B1123=E60))"),"")</f>
        <v/>
      </c>
      <c r="K60" s="48"/>
      <c r="M60" s="205" t="s">
        <v>1539</v>
      </c>
      <c r="P60" s="206" t="s">
        <v>1540</v>
      </c>
      <c r="X60" s="209" t="s">
        <v>1541</v>
      </c>
    </row>
    <row r="61" spans="2:24" ht="15.75" customHeight="1" x14ac:dyDescent="0.2">
      <c r="B61" s="202" t="s">
        <v>1542</v>
      </c>
      <c r="C61" s="202" t="s">
        <v>1543</v>
      </c>
      <c r="D61" s="202" t="s">
        <v>1544</v>
      </c>
      <c r="E61" s="71"/>
      <c r="F61" s="71" t="str">
        <f ca="1">IFERROR(__xludf.DUMMYFUNCTION("unique(filter($C$5:$C1123,$B$5:$B1123=E61))"),"")</f>
        <v/>
      </c>
      <c r="G61" s="203" t="str">
        <f ca="1">IFERROR(__xludf.DUMMYFUNCTION("unique(filter($D$5:$D1123,$B$5:$B1123=E61))"),"")</f>
        <v/>
      </c>
      <c r="K61" s="48"/>
      <c r="M61" s="205" t="s">
        <v>1545</v>
      </c>
      <c r="P61" s="206" t="s">
        <v>1546</v>
      </c>
      <c r="X61" s="209" t="s">
        <v>1547</v>
      </c>
    </row>
    <row r="62" spans="2:24" ht="15.75" customHeight="1" x14ac:dyDescent="0.2">
      <c r="B62" s="202" t="s">
        <v>1548</v>
      </c>
      <c r="C62" s="202" t="s">
        <v>1549</v>
      </c>
      <c r="D62" s="202" t="s">
        <v>1550</v>
      </c>
      <c r="E62" s="71"/>
      <c r="F62" s="71" t="str">
        <f ca="1">IFERROR(__xludf.DUMMYFUNCTION("unique(filter($C$5:$C1123,$B$5:$B1123=E62))"),"")</f>
        <v/>
      </c>
      <c r="G62" s="203" t="str">
        <f ca="1">IFERROR(__xludf.DUMMYFUNCTION("unique(filter($D$5:$D1123,$B$5:$B1123=E62))"),"")</f>
        <v/>
      </c>
      <c r="K62" s="48"/>
      <c r="M62" s="205" t="s">
        <v>1551</v>
      </c>
      <c r="P62" s="206" t="s">
        <v>1552</v>
      </c>
      <c r="X62" s="209" t="s">
        <v>1553</v>
      </c>
    </row>
    <row r="63" spans="2:24" ht="15.75" customHeight="1" x14ac:dyDescent="0.2">
      <c r="B63" s="202" t="s">
        <v>1554</v>
      </c>
      <c r="C63" s="202" t="s">
        <v>1555</v>
      </c>
      <c r="D63" s="202" t="s">
        <v>1556</v>
      </c>
      <c r="E63" s="71"/>
      <c r="F63" s="71" t="str">
        <f ca="1">IFERROR(__xludf.DUMMYFUNCTION("unique(filter($C$5:$C1123,$B$5:$B1123=E63))"),"")</f>
        <v/>
      </c>
      <c r="G63" s="203" t="str">
        <f ca="1">IFERROR(__xludf.DUMMYFUNCTION("unique(filter($D$5:$D1123,$B$5:$B1123=E63))"),"")</f>
        <v/>
      </c>
      <c r="K63" s="48"/>
      <c r="M63" s="205" t="s">
        <v>1557</v>
      </c>
      <c r="P63" s="206" t="s">
        <v>1558</v>
      </c>
      <c r="X63" s="209" t="s">
        <v>1559</v>
      </c>
    </row>
    <row r="64" spans="2:24" ht="15.75" customHeight="1" x14ac:dyDescent="0.2">
      <c r="B64" s="202" t="s">
        <v>1560</v>
      </c>
      <c r="C64" s="202" t="s">
        <v>1561</v>
      </c>
      <c r="D64" s="202" t="s">
        <v>1562</v>
      </c>
      <c r="E64" s="71"/>
      <c r="F64" s="71" t="str">
        <f ca="1">IFERROR(__xludf.DUMMYFUNCTION("unique(filter($C$5:$C1123,$B$5:$B1123=E64))"),"")</f>
        <v/>
      </c>
      <c r="G64" s="203" t="str">
        <f ca="1">IFERROR(__xludf.DUMMYFUNCTION("unique(filter($D$5:$D1123,$B$5:$B1123=E64))"),"")</f>
        <v/>
      </c>
      <c r="K64" s="48"/>
      <c r="M64" s="205" t="s">
        <v>1563</v>
      </c>
      <c r="P64" s="206" t="s">
        <v>1564</v>
      </c>
      <c r="X64" s="209" t="s">
        <v>1565</v>
      </c>
    </row>
    <row r="65" spans="2:24" ht="15.75" customHeight="1" x14ac:dyDescent="0.2">
      <c r="B65" s="202" t="s">
        <v>1566</v>
      </c>
      <c r="C65" s="202" t="s">
        <v>1567</v>
      </c>
      <c r="D65" s="202" t="s">
        <v>1568</v>
      </c>
      <c r="E65" s="71"/>
      <c r="F65" s="71" t="str">
        <f ca="1">IFERROR(__xludf.DUMMYFUNCTION("unique(filter($C$5:$C1123,$B$5:$B1123=E65))"),"")</f>
        <v/>
      </c>
      <c r="G65" s="203" t="str">
        <f ca="1">IFERROR(__xludf.DUMMYFUNCTION("unique(filter($D$5:$D1123,$B$5:$B1123=E65))"),"")</f>
        <v/>
      </c>
      <c r="K65" s="48"/>
      <c r="M65" s="205" t="s">
        <v>1569</v>
      </c>
      <c r="P65" s="206" t="s">
        <v>1570</v>
      </c>
      <c r="X65" s="209" t="s">
        <v>1571</v>
      </c>
    </row>
    <row r="66" spans="2:24" ht="15.75" customHeight="1" x14ac:dyDescent="0.2">
      <c r="B66" s="202" t="s">
        <v>1572</v>
      </c>
      <c r="C66" s="202" t="s">
        <v>1573</v>
      </c>
      <c r="D66" s="202" t="s">
        <v>1574</v>
      </c>
      <c r="E66" s="71"/>
      <c r="F66" s="71" t="str">
        <f ca="1">IFERROR(__xludf.DUMMYFUNCTION("unique(filter($C$5:$C1123,$B$5:$B1123=E66))"),"")</f>
        <v/>
      </c>
      <c r="G66" s="203" t="str">
        <f ca="1">IFERROR(__xludf.DUMMYFUNCTION("unique(filter($D$5:$D1123,$B$5:$B1123=E66))"),"")</f>
        <v/>
      </c>
      <c r="K66" s="48"/>
      <c r="M66" s="205" t="s">
        <v>1575</v>
      </c>
      <c r="P66" s="206" t="s">
        <v>1576</v>
      </c>
      <c r="X66" s="209" t="s">
        <v>1577</v>
      </c>
    </row>
    <row r="67" spans="2:24" ht="15.75" customHeight="1" x14ac:dyDescent="0.2">
      <c r="B67" s="202" t="s">
        <v>1578</v>
      </c>
      <c r="C67" s="202" t="s">
        <v>1579</v>
      </c>
      <c r="D67" s="202" t="s">
        <v>1580</v>
      </c>
      <c r="E67" s="71"/>
      <c r="F67" s="71" t="str">
        <f ca="1">IFERROR(__xludf.DUMMYFUNCTION("unique(filter($C$5:$C1123,$B$5:$B1123=E67))"),"")</f>
        <v/>
      </c>
      <c r="G67" s="203" t="str">
        <f ca="1">IFERROR(__xludf.DUMMYFUNCTION("unique(filter($D$5:$D1123,$B$5:$B1123=E67))"),"")</f>
        <v/>
      </c>
      <c r="K67" s="48"/>
      <c r="M67" s="205" t="s">
        <v>1581</v>
      </c>
      <c r="P67" s="206" t="s">
        <v>1582</v>
      </c>
      <c r="X67" s="209" t="s">
        <v>1583</v>
      </c>
    </row>
    <row r="68" spans="2:24" ht="15.75" customHeight="1" x14ac:dyDescent="0.2">
      <c r="B68" s="202" t="s">
        <v>1584</v>
      </c>
      <c r="C68" s="202" t="s">
        <v>1585</v>
      </c>
      <c r="D68" s="202" t="s">
        <v>1586</v>
      </c>
      <c r="E68" s="71"/>
      <c r="F68" s="71" t="str">
        <f ca="1">IFERROR(__xludf.DUMMYFUNCTION("unique(filter($C$5:$C1123,$B$5:$B1123=E68))"),"")</f>
        <v/>
      </c>
      <c r="G68" s="203" t="str">
        <f ca="1">IFERROR(__xludf.DUMMYFUNCTION("unique(filter($D$5:$D1123,$B$5:$B1123=E68))"),"")</f>
        <v/>
      </c>
      <c r="K68" s="48"/>
      <c r="M68" s="205" t="s">
        <v>1587</v>
      </c>
      <c r="P68" s="206" t="s">
        <v>1588</v>
      </c>
      <c r="X68" s="209" t="s">
        <v>1589</v>
      </c>
    </row>
    <row r="69" spans="2:24" ht="15.75" customHeight="1" x14ac:dyDescent="0.2">
      <c r="B69" s="202" t="s">
        <v>1590</v>
      </c>
      <c r="C69" s="202"/>
      <c r="D69" s="202" t="s">
        <v>1591</v>
      </c>
      <c r="E69" s="71"/>
      <c r="F69" s="71" t="str">
        <f ca="1">IFERROR(__xludf.DUMMYFUNCTION("unique(filter($C$5:$C1123,$B$5:$B1123=E69))"),"")</f>
        <v/>
      </c>
      <c r="G69" s="203" t="str">
        <f ca="1">IFERROR(__xludf.DUMMYFUNCTION("unique(filter($D$5:$D1123,$B$5:$B1123=E69))"),"")</f>
        <v/>
      </c>
      <c r="K69" s="48"/>
      <c r="M69" s="205" t="s">
        <v>1592</v>
      </c>
      <c r="P69" s="206" t="s">
        <v>1593</v>
      </c>
      <c r="X69" s="209" t="s">
        <v>1594</v>
      </c>
    </row>
    <row r="70" spans="2:24" ht="15.75" customHeight="1" x14ac:dyDescent="0.2">
      <c r="B70" s="202" t="s">
        <v>1595</v>
      </c>
      <c r="C70" s="202" t="s">
        <v>1596</v>
      </c>
      <c r="D70" s="202" t="s">
        <v>1597</v>
      </c>
      <c r="E70" s="71"/>
      <c r="F70" s="71" t="str">
        <f ca="1">IFERROR(__xludf.DUMMYFUNCTION("unique(filter($C$5:$C1123,$B$5:$B1123=E70))"),"")</f>
        <v/>
      </c>
      <c r="G70" s="203" t="str">
        <f ca="1">IFERROR(__xludf.DUMMYFUNCTION("unique(filter($D$5:$D1123,$B$5:$B1123=E70))"),"")</f>
        <v/>
      </c>
      <c r="K70" s="48"/>
      <c r="M70" s="205" t="s">
        <v>1598</v>
      </c>
      <c r="P70" s="206" t="s">
        <v>1599</v>
      </c>
      <c r="X70" s="209" t="s">
        <v>1600</v>
      </c>
    </row>
    <row r="71" spans="2:24" ht="15.75" customHeight="1" x14ac:dyDescent="0.2">
      <c r="B71" s="202" t="s">
        <v>1601</v>
      </c>
      <c r="C71" s="202" t="s">
        <v>1602</v>
      </c>
      <c r="D71" s="202" t="s">
        <v>1603</v>
      </c>
      <c r="E71" s="71"/>
      <c r="F71" s="71" t="str">
        <f ca="1">IFERROR(__xludf.DUMMYFUNCTION("unique(filter($C$5:$C1123,$B$5:$B1123=E71))"),"")</f>
        <v/>
      </c>
      <c r="G71" s="203" t="str">
        <f ca="1">IFERROR(__xludf.DUMMYFUNCTION("unique(filter($D$5:$D1123,$B$5:$B1123=E71))"),"")</f>
        <v/>
      </c>
      <c r="K71" s="48"/>
      <c r="M71" s="205" t="s">
        <v>1604</v>
      </c>
      <c r="P71" s="206" t="s">
        <v>1605</v>
      </c>
      <c r="X71" s="209" t="s">
        <v>1606</v>
      </c>
    </row>
    <row r="72" spans="2:24" ht="15.75" customHeight="1" x14ac:dyDescent="0.2">
      <c r="B72" s="202" t="s">
        <v>1607</v>
      </c>
      <c r="C72" s="202" t="s">
        <v>1608</v>
      </c>
      <c r="D72" s="202" t="s">
        <v>1609</v>
      </c>
      <c r="E72" s="71"/>
      <c r="F72" s="71" t="str">
        <f ca="1">IFERROR(__xludf.DUMMYFUNCTION("unique(filter($C$5:$C1123,$B$5:$B1123=E72))"),"")</f>
        <v/>
      </c>
      <c r="G72" s="203" t="str">
        <f ca="1">IFERROR(__xludf.DUMMYFUNCTION("unique(filter($D$5:$D1123,$B$5:$B1123=E72))"),"")</f>
        <v/>
      </c>
      <c r="K72" s="48"/>
      <c r="M72" s="205" t="s">
        <v>1610</v>
      </c>
      <c r="P72" s="206" t="s">
        <v>1611</v>
      </c>
      <c r="X72" s="209" t="s">
        <v>1612</v>
      </c>
    </row>
    <row r="73" spans="2:24" ht="15.75" customHeight="1" x14ac:dyDescent="0.2">
      <c r="B73" s="202" t="s">
        <v>1613</v>
      </c>
      <c r="C73" s="202" t="s">
        <v>1614</v>
      </c>
      <c r="D73" s="202" t="s">
        <v>1615</v>
      </c>
      <c r="E73" s="71"/>
      <c r="F73" s="71" t="str">
        <f ca="1">IFERROR(__xludf.DUMMYFUNCTION("unique(filter($C$5:$C1123,$B$5:$B1123=E73))"),"")</f>
        <v/>
      </c>
      <c r="G73" s="203" t="str">
        <f ca="1">IFERROR(__xludf.DUMMYFUNCTION("unique(filter($D$5:$D1123,$B$5:$B1123=E73))"),"")</f>
        <v/>
      </c>
      <c r="K73" s="48"/>
      <c r="M73" s="205" t="s">
        <v>1616</v>
      </c>
      <c r="P73" s="206" t="s">
        <v>1617</v>
      </c>
      <c r="X73" s="209" t="s">
        <v>1618</v>
      </c>
    </row>
    <row r="74" spans="2:24" ht="15.75" customHeight="1" x14ac:dyDescent="0.2">
      <c r="B74" s="202" t="s">
        <v>1619</v>
      </c>
      <c r="C74" s="202" t="s">
        <v>1620</v>
      </c>
      <c r="D74" s="202" t="s">
        <v>1621</v>
      </c>
      <c r="E74" s="71"/>
      <c r="F74" s="71" t="str">
        <f ca="1">IFERROR(__xludf.DUMMYFUNCTION("unique(filter($C$5:$C1123,$B$5:$B1123=E74))"),"")</f>
        <v/>
      </c>
      <c r="G74" s="203" t="str">
        <f ca="1">IFERROR(__xludf.DUMMYFUNCTION("unique(filter($D$5:$D1123,$B$5:$B1123=E74))"),"")</f>
        <v/>
      </c>
      <c r="K74" s="48"/>
      <c r="M74" s="205" t="s">
        <v>1622</v>
      </c>
      <c r="P74" s="206" t="s">
        <v>1623</v>
      </c>
      <c r="X74" s="209" t="s">
        <v>1624</v>
      </c>
    </row>
    <row r="75" spans="2:24" ht="15.75" customHeight="1" x14ac:dyDescent="0.2">
      <c r="B75" s="202" t="s">
        <v>1625</v>
      </c>
      <c r="C75" s="202" t="s">
        <v>1626</v>
      </c>
      <c r="D75" s="202" t="s">
        <v>1627</v>
      </c>
      <c r="E75" s="71"/>
      <c r="F75" s="71" t="str">
        <f ca="1">IFERROR(__xludf.DUMMYFUNCTION("unique(filter($C$5:$C1123,$B$5:$B1123=E75))"),"")</f>
        <v/>
      </c>
      <c r="G75" s="203" t="str">
        <f ca="1">IFERROR(__xludf.DUMMYFUNCTION("unique(filter($D$5:$D1123,$B$5:$B1123=E75))"),"")</f>
        <v/>
      </c>
      <c r="K75" s="48"/>
      <c r="M75" s="205" t="s">
        <v>1628</v>
      </c>
      <c r="X75" s="209" t="s">
        <v>1629</v>
      </c>
    </row>
    <row r="76" spans="2:24" ht="15.75" customHeight="1" x14ac:dyDescent="0.2">
      <c r="B76" s="202" t="s">
        <v>1630</v>
      </c>
      <c r="C76" s="202" t="s">
        <v>1631</v>
      </c>
      <c r="D76" s="202" t="s">
        <v>1632</v>
      </c>
      <c r="E76" s="71"/>
      <c r="F76" s="71" t="str">
        <f ca="1">IFERROR(__xludf.DUMMYFUNCTION("unique(filter($C$5:$C1123,$B$5:$B1123=E76))"),"")</f>
        <v/>
      </c>
      <c r="G76" s="203" t="str">
        <f ca="1">IFERROR(__xludf.DUMMYFUNCTION("unique(filter($D$5:$D1123,$B$5:$B1123=E76))"),"")</f>
        <v/>
      </c>
      <c r="K76" s="48"/>
      <c r="M76" s="205" t="s">
        <v>1633</v>
      </c>
      <c r="X76" s="209" t="s">
        <v>1634</v>
      </c>
    </row>
    <row r="77" spans="2:24" ht="15.75" customHeight="1" x14ac:dyDescent="0.2">
      <c r="B77" s="202" t="s">
        <v>1635</v>
      </c>
      <c r="C77" s="202" t="s">
        <v>1636</v>
      </c>
      <c r="D77" s="202" t="s">
        <v>1637</v>
      </c>
      <c r="E77" s="71"/>
      <c r="F77" s="71" t="str">
        <f ca="1">IFERROR(__xludf.DUMMYFUNCTION("unique(filter($C$5:$C1123,$B$5:$B1123=E77))"),"")</f>
        <v/>
      </c>
      <c r="G77" s="203" t="str">
        <f ca="1">IFERROR(__xludf.DUMMYFUNCTION("unique(filter($D$5:$D1123,$B$5:$B1123=E77))"),"")</f>
        <v/>
      </c>
      <c r="K77" s="48"/>
      <c r="M77" s="205" t="s">
        <v>1638</v>
      </c>
      <c r="X77" s="209" t="s">
        <v>1639</v>
      </c>
    </row>
    <row r="78" spans="2:24" ht="15.75" customHeight="1" x14ac:dyDescent="0.2">
      <c r="B78" s="202" t="s">
        <v>1640</v>
      </c>
      <c r="C78" s="202" t="s">
        <v>1641</v>
      </c>
      <c r="D78" s="202" t="s">
        <v>1642</v>
      </c>
      <c r="E78" s="71"/>
      <c r="F78" s="71" t="str">
        <f ca="1">IFERROR(__xludf.DUMMYFUNCTION("unique(filter($C$5:$C1123,$B$5:$B1123=E78))"),"")</f>
        <v/>
      </c>
      <c r="G78" s="203" t="str">
        <f ca="1">IFERROR(__xludf.DUMMYFUNCTION("unique(filter($D$5:$D1123,$B$5:$B1123=E78))"),"")</f>
        <v/>
      </c>
      <c r="K78" s="48"/>
      <c r="M78" s="205" t="s">
        <v>1643</v>
      </c>
      <c r="X78" s="209" t="s">
        <v>1644</v>
      </c>
    </row>
    <row r="79" spans="2:24" ht="15.75" customHeight="1" x14ac:dyDescent="0.2">
      <c r="B79" s="202" t="s">
        <v>1645</v>
      </c>
      <c r="C79" s="202" t="s">
        <v>1646</v>
      </c>
      <c r="D79" s="202" t="s">
        <v>1647</v>
      </c>
      <c r="E79" s="71"/>
      <c r="F79" s="71" t="str">
        <f ca="1">IFERROR(__xludf.DUMMYFUNCTION("unique(filter($C$5:$C1123,$B$5:$B1123=E79))"),"")</f>
        <v/>
      </c>
      <c r="G79" s="203" t="str">
        <f ca="1">IFERROR(__xludf.DUMMYFUNCTION("unique(filter($D$5:$D1123,$B$5:$B1123=E79))"),"")</f>
        <v/>
      </c>
      <c r="K79" s="48"/>
      <c r="M79" s="205" t="s">
        <v>1648</v>
      </c>
      <c r="X79" s="209" t="s">
        <v>1649</v>
      </c>
    </row>
    <row r="80" spans="2:24" ht="15.75" customHeight="1" x14ac:dyDescent="0.2">
      <c r="B80" s="202" t="s">
        <v>1650</v>
      </c>
      <c r="C80" s="202" t="s">
        <v>1651</v>
      </c>
      <c r="D80" s="202" t="s">
        <v>1652</v>
      </c>
      <c r="E80" s="71"/>
      <c r="F80" s="71" t="str">
        <f ca="1">IFERROR(__xludf.DUMMYFUNCTION("unique(filter($C$5:$C1123,$B$5:$B1123=E80))"),"")</f>
        <v/>
      </c>
      <c r="G80" s="203" t="str">
        <f ca="1">IFERROR(__xludf.DUMMYFUNCTION("unique(filter($D$5:$D1123,$B$5:$B1123=E80))"),"")</f>
        <v/>
      </c>
      <c r="K80" s="48"/>
      <c r="M80" s="205" t="s">
        <v>1653</v>
      </c>
      <c r="X80" s="209" t="s">
        <v>1654</v>
      </c>
    </row>
    <row r="81" spans="2:24" ht="15.75" customHeight="1" x14ac:dyDescent="0.2">
      <c r="B81" s="202" t="s">
        <v>1655</v>
      </c>
      <c r="C81" s="202" t="s">
        <v>1656</v>
      </c>
      <c r="D81" s="202" t="s">
        <v>1657</v>
      </c>
      <c r="E81" s="71"/>
      <c r="F81" s="71" t="str">
        <f ca="1">IFERROR(__xludf.DUMMYFUNCTION("unique(filter($C$5:$C1123,$B$5:$B1123=E81))"),"")</f>
        <v/>
      </c>
      <c r="G81" s="203" t="str">
        <f ca="1">IFERROR(__xludf.DUMMYFUNCTION("unique(filter($D$5:$D1123,$B$5:$B1123=E81))"),"")</f>
        <v/>
      </c>
      <c r="K81" s="48"/>
      <c r="M81" s="205" t="s">
        <v>1658</v>
      </c>
      <c r="X81" s="209" t="s">
        <v>1659</v>
      </c>
    </row>
    <row r="82" spans="2:24" ht="15.75" customHeight="1" x14ac:dyDescent="0.2">
      <c r="B82" s="202" t="s">
        <v>1660</v>
      </c>
      <c r="C82" s="202" t="s">
        <v>1661</v>
      </c>
      <c r="D82" s="202" t="s">
        <v>1662</v>
      </c>
      <c r="E82" s="71"/>
      <c r="F82" s="71" t="str">
        <f ca="1">IFERROR(__xludf.DUMMYFUNCTION("unique(filter($C$5:$C1123,$B$5:$B1123=E82))"),"")</f>
        <v/>
      </c>
      <c r="G82" s="203" t="str">
        <f ca="1">IFERROR(__xludf.DUMMYFUNCTION("unique(filter($D$5:$D1123,$B$5:$B1123=E82))"),"")</f>
        <v/>
      </c>
      <c r="K82" s="48"/>
      <c r="M82" s="205" t="s">
        <v>1663</v>
      </c>
      <c r="X82" s="209" t="s">
        <v>1664</v>
      </c>
    </row>
    <row r="83" spans="2:24" ht="15.75" customHeight="1" x14ac:dyDescent="0.2">
      <c r="B83" s="202" t="s">
        <v>1665</v>
      </c>
      <c r="C83" s="202" t="s">
        <v>1666</v>
      </c>
      <c r="D83" s="202" t="s">
        <v>1667</v>
      </c>
      <c r="E83" s="71"/>
      <c r="F83" s="71" t="str">
        <f ca="1">IFERROR(__xludf.DUMMYFUNCTION("unique(filter($C$5:$C1123,$B$5:$B1123=E83))"),"")</f>
        <v/>
      </c>
      <c r="G83" s="203" t="str">
        <f ca="1">IFERROR(__xludf.DUMMYFUNCTION("unique(filter($D$5:$D1123,$B$5:$B1123=E83))"),"")</f>
        <v/>
      </c>
      <c r="K83" s="48"/>
      <c r="M83" s="205" t="s">
        <v>1668</v>
      </c>
      <c r="X83" s="209" t="s">
        <v>1669</v>
      </c>
    </row>
    <row r="84" spans="2:24" ht="15.75" customHeight="1" x14ac:dyDescent="0.2">
      <c r="B84" s="202" t="s">
        <v>1670</v>
      </c>
      <c r="C84" s="202" t="s">
        <v>1671</v>
      </c>
      <c r="D84" s="202" t="s">
        <v>1672</v>
      </c>
      <c r="E84" s="71"/>
      <c r="F84" s="71" t="str">
        <f ca="1">IFERROR(__xludf.DUMMYFUNCTION("unique(filter($C$5:$C1123,$B$5:$B1123=E84))"),"")</f>
        <v/>
      </c>
      <c r="G84" s="203" t="str">
        <f ca="1">IFERROR(__xludf.DUMMYFUNCTION("unique(filter($D$5:$D1123,$B$5:$B1123=E84))"),"")</f>
        <v/>
      </c>
      <c r="K84" s="48"/>
      <c r="M84" s="205" t="s">
        <v>1673</v>
      </c>
      <c r="X84" s="209" t="s">
        <v>1674</v>
      </c>
    </row>
    <row r="85" spans="2:24" ht="15.75" customHeight="1" x14ac:dyDescent="0.2">
      <c r="B85" s="202" t="s">
        <v>1675</v>
      </c>
      <c r="C85" s="202" t="s">
        <v>1676</v>
      </c>
      <c r="D85" s="202" t="s">
        <v>1677</v>
      </c>
      <c r="E85" s="71"/>
      <c r="F85" s="71" t="str">
        <f ca="1">IFERROR(__xludf.DUMMYFUNCTION("unique(filter($C$5:$C1123,$B$5:$B1123=E85))"),"")</f>
        <v/>
      </c>
      <c r="G85" s="203" t="str">
        <f ca="1">IFERROR(__xludf.DUMMYFUNCTION("unique(filter($D$5:$D1123,$B$5:$B1123=E85))"),"")</f>
        <v/>
      </c>
      <c r="K85" s="48"/>
      <c r="M85" s="205" t="s">
        <v>1678</v>
      </c>
      <c r="X85" s="209" t="s">
        <v>1679</v>
      </c>
    </row>
    <row r="86" spans="2:24" ht="15.75" customHeight="1" x14ac:dyDescent="0.2">
      <c r="B86" s="202" t="s">
        <v>1680</v>
      </c>
      <c r="C86" s="202" t="s">
        <v>1681</v>
      </c>
      <c r="D86" s="202" t="s">
        <v>1682</v>
      </c>
      <c r="E86" s="71"/>
      <c r="F86" s="71" t="str">
        <f ca="1">IFERROR(__xludf.DUMMYFUNCTION("unique(filter($C$5:$C1123,$B$5:$B1123=E86))"),"")</f>
        <v/>
      </c>
      <c r="G86" s="203" t="str">
        <f ca="1">IFERROR(__xludf.DUMMYFUNCTION("unique(filter($D$5:$D1123,$B$5:$B1123=E86))"),"")</f>
        <v/>
      </c>
      <c r="K86" s="48"/>
      <c r="M86" s="205" t="s">
        <v>1683</v>
      </c>
      <c r="X86" s="209" t="s">
        <v>1684</v>
      </c>
    </row>
    <row r="87" spans="2:24" ht="15.75" customHeight="1" x14ac:dyDescent="0.2">
      <c r="B87" s="202" t="s">
        <v>1685</v>
      </c>
      <c r="C87" s="202" t="s">
        <v>1686</v>
      </c>
      <c r="D87" s="202" t="s">
        <v>1687</v>
      </c>
      <c r="E87" s="71"/>
      <c r="F87" s="71" t="str">
        <f ca="1">IFERROR(__xludf.DUMMYFUNCTION("unique(filter($C$5:$C1123,$B$5:$B1123=E87))"),"")</f>
        <v/>
      </c>
      <c r="G87" s="203" t="str">
        <f ca="1">IFERROR(__xludf.DUMMYFUNCTION("unique(filter($D$5:$D1123,$B$5:$B1123=E87))"),"")</f>
        <v/>
      </c>
      <c r="K87" s="48"/>
      <c r="M87" s="205" t="s">
        <v>1688</v>
      </c>
      <c r="X87" s="209" t="s">
        <v>1689</v>
      </c>
    </row>
    <row r="88" spans="2:24" ht="15.75" customHeight="1" x14ac:dyDescent="0.2">
      <c r="B88" s="202" t="s">
        <v>1690</v>
      </c>
      <c r="C88" s="202" t="s">
        <v>1691</v>
      </c>
      <c r="D88" s="202" t="s">
        <v>1692</v>
      </c>
      <c r="E88" s="71"/>
      <c r="F88" s="71" t="str">
        <f ca="1">IFERROR(__xludf.DUMMYFUNCTION("unique(filter($C$5:$C1123,$B$5:$B1123=E88))"),"")</f>
        <v/>
      </c>
      <c r="G88" s="203" t="str">
        <f ca="1">IFERROR(__xludf.DUMMYFUNCTION("unique(filter($D$5:$D1123,$B$5:$B1123=E88))"),"")</f>
        <v/>
      </c>
      <c r="K88" s="48"/>
      <c r="M88" s="205" t="s">
        <v>1693</v>
      </c>
      <c r="X88" s="209" t="s">
        <v>1694</v>
      </c>
    </row>
    <row r="89" spans="2:24" ht="15.75" customHeight="1" x14ac:dyDescent="0.2">
      <c r="B89" s="202" t="s">
        <v>1695</v>
      </c>
      <c r="C89" s="202" t="s">
        <v>1696</v>
      </c>
      <c r="D89" s="202" t="s">
        <v>1697</v>
      </c>
      <c r="E89" s="71"/>
      <c r="F89" s="71" t="str">
        <f ca="1">IFERROR(__xludf.DUMMYFUNCTION("unique(filter($C$5:$C1123,$B$5:$B1123=E89))"),"")</f>
        <v/>
      </c>
      <c r="G89" s="203" t="str">
        <f ca="1">IFERROR(__xludf.DUMMYFUNCTION("unique(filter($D$5:$D1123,$B$5:$B1123=E89))"),"")</f>
        <v/>
      </c>
      <c r="K89" s="48"/>
      <c r="M89" s="205" t="s">
        <v>1698</v>
      </c>
      <c r="X89" s="209" t="s">
        <v>1699</v>
      </c>
    </row>
    <row r="90" spans="2:24" ht="15.75" customHeight="1" x14ac:dyDescent="0.2">
      <c r="B90" s="202" t="s">
        <v>1560</v>
      </c>
      <c r="C90" s="202" t="s">
        <v>1700</v>
      </c>
      <c r="D90" s="202" t="s">
        <v>1701</v>
      </c>
      <c r="E90" s="71"/>
      <c r="F90" s="71" t="str">
        <f ca="1">IFERROR(__xludf.DUMMYFUNCTION("unique(filter($C$5:$C1123,$B$5:$B1123=E90))"),"")</f>
        <v/>
      </c>
      <c r="G90" s="203" t="str">
        <f ca="1">IFERROR(__xludf.DUMMYFUNCTION("unique(filter($D$5:$D1123,$B$5:$B1123=E90))"),"")</f>
        <v/>
      </c>
      <c r="K90" s="48"/>
      <c r="M90" s="205" t="s">
        <v>1702</v>
      </c>
      <c r="X90" s="209" t="s">
        <v>1703</v>
      </c>
    </row>
    <row r="91" spans="2:24" ht="15.75" customHeight="1" x14ac:dyDescent="0.2">
      <c r="B91" s="202" t="s">
        <v>1704</v>
      </c>
      <c r="C91" s="202" t="s">
        <v>1705</v>
      </c>
      <c r="D91" s="202" t="s">
        <v>1706</v>
      </c>
      <c r="E91" s="71"/>
      <c r="F91" s="71" t="str">
        <f ca="1">IFERROR(__xludf.DUMMYFUNCTION("unique(filter($C$5:$C1123,$B$5:$B1123=E91))"),"")</f>
        <v/>
      </c>
      <c r="G91" s="203" t="str">
        <f ca="1">IFERROR(__xludf.DUMMYFUNCTION("unique(filter($D$5:$D1123,$B$5:$B1123=E91))"),"")</f>
        <v/>
      </c>
      <c r="K91" s="48"/>
      <c r="M91" s="205" t="s">
        <v>1707</v>
      </c>
      <c r="X91" s="209" t="s">
        <v>1708</v>
      </c>
    </row>
    <row r="92" spans="2:24" ht="15.75" customHeight="1" x14ac:dyDescent="0.2">
      <c r="B92" s="202" t="s">
        <v>1709</v>
      </c>
      <c r="C92" s="202" t="s">
        <v>1710</v>
      </c>
      <c r="D92" s="202" t="s">
        <v>1711</v>
      </c>
      <c r="E92" s="71"/>
      <c r="F92" s="71" t="str">
        <f ca="1">IFERROR(__xludf.DUMMYFUNCTION("unique(filter($C$5:$C1123,$B$5:$B1123=E92))"),"")</f>
        <v/>
      </c>
      <c r="G92" s="203" t="str">
        <f ca="1">IFERROR(__xludf.DUMMYFUNCTION("unique(filter($D$5:$D1123,$B$5:$B1123=E92))"),"")</f>
        <v/>
      </c>
      <c r="K92" s="48"/>
      <c r="M92" s="205" t="s">
        <v>1712</v>
      </c>
      <c r="X92" s="209" t="s">
        <v>1713</v>
      </c>
    </row>
    <row r="93" spans="2:24" ht="15.75" customHeight="1" x14ac:dyDescent="0.2">
      <c r="B93" s="202" t="s">
        <v>1714</v>
      </c>
      <c r="C93" s="202" t="s">
        <v>1715</v>
      </c>
      <c r="D93" s="202" t="s">
        <v>1716</v>
      </c>
      <c r="E93" s="71"/>
      <c r="F93" s="71" t="str">
        <f ca="1">IFERROR(__xludf.DUMMYFUNCTION("unique(filter($C$5:$C1123,$B$5:$B1123=E93))"),"")</f>
        <v/>
      </c>
      <c r="G93" s="203" t="str">
        <f ca="1">IFERROR(__xludf.DUMMYFUNCTION("unique(filter($D$5:$D1123,$B$5:$B1123=E93))"),"")</f>
        <v/>
      </c>
      <c r="K93" s="48"/>
      <c r="M93" s="205" t="s">
        <v>1717</v>
      </c>
      <c r="X93" s="209" t="s">
        <v>1718</v>
      </c>
    </row>
    <row r="94" spans="2:24" ht="15.75" customHeight="1" x14ac:dyDescent="0.2">
      <c r="B94" s="202" t="s">
        <v>1719</v>
      </c>
      <c r="C94" s="202" t="s">
        <v>1720</v>
      </c>
      <c r="D94" s="202" t="s">
        <v>1721</v>
      </c>
      <c r="E94" s="71"/>
      <c r="F94" s="71" t="str">
        <f ca="1">IFERROR(__xludf.DUMMYFUNCTION("unique(filter($C$5:$C1123,$B$5:$B1123=E94))"),"")</f>
        <v/>
      </c>
      <c r="G94" s="203" t="str">
        <f ca="1">IFERROR(__xludf.DUMMYFUNCTION("unique(filter($D$5:$D1123,$B$5:$B1123=E94))"),"")</f>
        <v/>
      </c>
      <c r="K94" s="48"/>
      <c r="M94" s="205" t="s">
        <v>1722</v>
      </c>
      <c r="X94" s="209" t="s">
        <v>1723</v>
      </c>
    </row>
    <row r="95" spans="2:24" ht="15.75" customHeight="1" x14ac:dyDescent="0.2">
      <c r="B95" s="202" t="s">
        <v>1724</v>
      </c>
      <c r="C95" s="202" t="s">
        <v>1725</v>
      </c>
      <c r="D95" s="202" t="s">
        <v>1726</v>
      </c>
      <c r="E95" s="71"/>
      <c r="F95" s="71" t="str">
        <f ca="1">IFERROR(__xludf.DUMMYFUNCTION("unique(filter($C$5:$C1123,$B$5:$B1123=E95))"),"")</f>
        <v/>
      </c>
      <c r="G95" s="203" t="str">
        <f ca="1">IFERROR(__xludf.DUMMYFUNCTION("unique(filter($D$5:$D1123,$B$5:$B1123=E95))"),"")</f>
        <v/>
      </c>
      <c r="K95" s="48"/>
      <c r="M95" s="205" t="s">
        <v>1727</v>
      </c>
      <c r="X95" s="209" t="s">
        <v>1728</v>
      </c>
    </row>
    <row r="96" spans="2:24" ht="15.75" customHeight="1" x14ac:dyDescent="0.2">
      <c r="B96" s="202" t="s">
        <v>1729</v>
      </c>
      <c r="C96" s="202" t="s">
        <v>1730</v>
      </c>
      <c r="D96" s="202" t="s">
        <v>1731</v>
      </c>
      <c r="E96" s="71"/>
      <c r="F96" s="71" t="str">
        <f ca="1">IFERROR(__xludf.DUMMYFUNCTION("unique(filter($C$5:$C1123,$B$5:$B1123=E96))"),"")</f>
        <v/>
      </c>
      <c r="G96" s="203" t="str">
        <f ca="1">IFERROR(__xludf.DUMMYFUNCTION("unique(filter($D$5:$D1123,$B$5:$B1123=E96))"),"")</f>
        <v/>
      </c>
      <c r="K96" s="48"/>
      <c r="M96" s="205" t="s">
        <v>1732</v>
      </c>
      <c r="X96" s="209" t="s">
        <v>1733</v>
      </c>
    </row>
    <row r="97" spans="2:24" ht="15.75" customHeight="1" x14ac:dyDescent="0.2">
      <c r="B97" s="202" t="s">
        <v>1734</v>
      </c>
      <c r="C97" s="202" t="s">
        <v>1735</v>
      </c>
      <c r="D97" s="202" t="s">
        <v>1736</v>
      </c>
      <c r="E97" s="71"/>
      <c r="F97" s="71" t="str">
        <f ca="1">IFERROR(__xludf.DUMMYFUNCTION("unique(filter($C$5:$C1123,$B$5:$B1123=E97))"),"")</f>
        <v/>
      </c>
      <c r="G97" s="203" t="str">
        <f ca="1">IFERROR(__xludf.DUMMYFUNCTION("unique(filter($D$5:$D1123,$B$5:$B1123=E97))"),"")</f>
        <v/>
      </c>
      <c r="K97" s="48"/>
      <c r="M97" s="205" t="s">
        <v>1737</v>
      </c>
      <c r="X97" s="209" t="s">
        <v>1738</v>
      </c>
    </row>
    <row r="98" spans="2:24" ht="15.75" customHeight="1" x14ac:dyDescent="0.2">
      <c r="B98" s="202" t="s">
        <v>1739</v>
      </c>
      <c r="C98" s="202" t="s">
        <v>1740</v>
      </c>
      <c r="D98" s="202" t="s">
        <v>1741</v>
      </c>
      <c r="E98" s="71"/>
      <c r="F98" s="71" t="str">
        <f ca="1">IFERROR(__xludf.DUMMYFUNCTION("unique(filter($C$5:$C1123,$B$5:$B1123=E98))"),"")</f>
        <v/>
      </c>
      <c r="G98" s="203" t="str">
        <f ca="1">IFERROR(__xludf.DUMMYFUNCTION("unique(filter($D$5:$D1123,$B$5:$B1123=E98))"),"")</f>
        <v/>
      </c>
      <c r="K98" s="48"/>
      <c r="M98" s="205" t="s">
        <v>1742</v>
      </c>
    </row>
    <row r="99" spans="2:24" ht="15.75" customHeight="1" x14ac:dyDescent="0.2">
      <c r="B99" s="202" t="s">
        <v>1743</v>
      </c>
      <c r="C99" s="202" t="s">
        <v>1744</v>
      </c>
      <c r="D99" s="202" t="s">
        <v>1745</v>
      </c>
      <c r="E99" s="71"/>
      <c r="F99" s="71" t="str">
        <f ca="1">IFERROR(__xludf.DUMMYFUNCTION("unique(filter($C$5:$C1123,$B$5:$B1123=E99))"),"")</f>
        <v/>
      </c>
      <c r="G99" s="203" t="str">
        <f ca="1">IFERROR(__xludf.DUMMYFUNCTION("unique(filter($D$5:$D1123,$B$5:$B1123=E99))"),"")</f>
        <v/>
      </c>
      <c r="K99" s="48"/>
      <c r="M99" s="205" t="s">
        <v>1746</v>
      </c>
    </row>
    <row r="100" spans="2:24" ht="15.75" customHeight="1" x14ac:dyDescent="0.2">
      <c r="B100" s="202" t="s">
        <v>1747</v>
      </c>
      <c r="C100" s="202"/>
      <c r="D100" s="202" t="s">
        <v>1748</v>
      </c>
      <c r="E100" s="71"/>
      <c r="F100" s="71" t="str">
        <f ca="1">IFERROR(__xludf.DUMMYFUNCTION("unique(filter($C$5:$C1123,$B$5:$B1123=E100))"),"")</f>
        <v/>
      </c>
      <c r="G100" s="203" t="str">
        <f ca="1">IFERROR(__xludf.DUMMYFUNCTION("unique(filter($D$5:$D1123,$B$5:$B1123=E100))"),"")</f>
        <v/>
      </c>
      <c r="K100" s="48"/>
      <c r="M100" s="205" t="s">
        <v>1749</v>
      </c>
    </row>
    <row r="101" spans="2:24" ht="15.75" customHeight="1" x14ac:dyDescent="0.2">
      <c r="B101" s="202" t="s">
        <v>1750</v>
      </c>
      <c r="C101" s="202"/>
      <c r="D101" s="202" t="s">
        <v>1751</v>
      </c>
      <c r="E101" s="71"/>
      <c r="F101" s="71" t="str">
        <f ca="1">IFERROR(__xludf.DUMMYFUNCTION("unique(filter($C$5:$C1123,$B$5:$B1123=E101))"),"")</f>
        <v/>
      </c>
      <c r="G101" s="203" t="str">
        <f ca="1">IFERROR(__xludf.DUMMYFUNCTION("unique(filter($D$5:$D1123,$B$5:$B1123=E101))"),"")</f>
        <v/>
      </c>
      <c r="K101" s="48"/>
      <c r="M101" s="205" t="s">
        <v>1752</v>
      </c>
    </row>
    <row r="102" spans="2:24" ht="15.75" customHeight="1" x14ac:dyDescent="0.2">
      <c r="B102" s="202" t="s">
        <v>1753</v>
      </c>
      <c r="C102" s="202"/>
      <c r="D102" s="202" t="s">
        <v>1754</v>
      </c>
      <c r="E102" s="71"/>
      <c r="F102" s="71" t="str">
        <f ca="1">IFERROR(__xludf.DUMMYFUNCTION("unique(filter($C$5:$C1123,$B$5:$B1123=E102))"),"")</f>
        <v/>
      </c>
      <c r="G102" s="203" t="str">
        <f ca="1">IFERROR(__xludf.DUMMYFUNCTION("unique(filter($D$5:$D1123,$B$5:$B1123=E102))"),"")</f>
        <v/>
      </c>
      <c r="K102" s="48"/>
      <c r="M102" s="205" t="s">
        <v>1755</v>
      </c>
    </row>
    <row r="103" spans="2:24" ht="15.75" customHeight="1" x14ac:dyDescent="0.2">
      <c r="B103" s="202" t="s">
        <v>1756</v>
      </c>
      <c r="C103" s="202" t="s">
        <v>1757</v>
      </c>
      <c r="D103" s="202" t="s">
        <v>1758</v>
      </c>
      <c r="E103" s="71"/>
      <c r="F103" s="71" t="str">
        <f ca="1">IFERROR(__xludf.DUMMYFUNCTION("unique(filter($C$5:$C1123,$B$5:$B1123=E103))"),"")</f>
        <v/>
      </c>
      <c r="G103" s="203" t="str">
        <f ca="1">IFERROR(__xludf.DUMMYFUNCTION("unique(filter($D$5:$D1123,$B$5:$B1123=E103))"),"")</f>
        <v/>
      </c>
      <c r="K103" s="48"/>
      <c r="M103" s="205" t="s">
        <v>1759</v>
      </c>
    </row>
    <row r="104" spans="2:24" ht="15.75" customHeight="1" x14ac:dyDescent="0.2">
      <c r="B104" s="202" t="s">
        <v>1760</v>
      </c>
      <c r="C104" s="202" t="s">
        <v>1761</v>
      </c>
      <c r="D104" s="202" t="s">
        <v>1762</v>
      </c>
      <c r="E104" s="71"/>
      <c r="F104" s="71" t="str">
        <f ca="1">IFERROR(__xludf.DUMMYFUNCTION("unique(filter($C$5:$C1123,$B$5:$B1123=E104))"),"")</f>
        <v/>
      </c>
      <c r="G104" s="203" t="str">
        <f ca="1">IFERROR(__xludf.DUMMYFUNCTION("unique(filter($D$5:$D1123,$B$5:$B1123=E104))"),"")</f>
        <v/>
      </c>
      <c r="K104" s="48"/>
      <c r="M104" s="205" t="s">
        <v>1763</v>
      </c>
    </row>
    <row r="105" spans="2:24" ht="15.75" customHeight="1" x14ac:dyDescent="0.2">
      <c r="B105" s="202" t="s">
        <v>1764</v>
      </c>
      <c r="C105" s="202" t="s">
        <v>1765</v>
      </c>
      <c r="D105" s="202" t="s">
        <v>1766</v>
      </c>
      <c r="E105" s="71"/>
      <c r="F105" s="71" t="str">
        <f ca="1">IFERROR(__xludf.DUMMYFUNCTION("unique(filter($C$5:$C1123,$B$5:$B1123=E105))"),"")</f>
        <v/>
      </c>
      <c r="G105" s="203" t="str">
        <f ca="1">IFERROR(__xludf.DUMMYFUNCTION("unique(filter($D$5:$D1123,$B$5:$B1123=E105))"),"")</f>
        <v/>
      </c>
      <c r="K105" s="48"/>
      <c r="M105" s="205" t="s">
        <v>1767</v>
      </c>
    </row>
    <row r="106" spans="2:24" ht="15.75" customHeight="1" x14ac:dyDescent="0.2">
      <c r="B106" s="202" t="s">
        <v>1768</v>
      </c>
      <c r="C106" s="202" t="s">
        <v>1769</v>
      </c>
      <c r="D106" s="202" t="s">
        <v>1770</v>
      </c>
      <c r="E106" s="71"/>
      <c r="F106" s="71" t="str">
        <f ca="1">IFERROR(__xludf.DUMMYFUNCTION("unique(filter($C$5:$C1123,$B$5:$B1123=E106))"),"")</f>
        <v/>
      </c>
      <c r="G106" s="203" t="str">
        <f ca="1">IFERROR(__xludf.DUMMYFUNCTION("unique(filter($D$5:$D1123,$B$5:$B1123=E106))"),"")</f>
        <v/>
      </c>
      <c r="K106" s="48"/>
      <c r="M106" s="205" t="s">
        <v>1771</v>
      </c>
    </row>
    <row r="107" spans="2:24" ht="15.75" customHeight="1" x14ac:dyDescent="0.2">
      <c r="B107" s="202" t="s">
        <v>1772</v>
      </c>
      <c r="C107" s="202" t="s">
        <v>1773</v>
      </c>
      <c r="D107" s="202" t="s">
        <v>1774</v>
      </c>
      <c r="E107" s="71"/>
      <c r="F107" s="71" t="str">
        <f ca="1">IFERROR(__xludf.DUMMYFUNCTION("unique(filter($C$5:$C1123,$B$5:$B1123=E107))"),"")</f>
        <v/>
      </c>
      <c r="G107" s="203" t="str">
        <f ca="1">IFERROR(__xludf.DUMMYFUNCTION("unique(filter($D$5:$D1123,$B$5:$B1123=E107))"),"")</f>
        <v/>
      </c>
      <c r="K107" s="48"/>
      <c r="M107" s="205" t="s">
        <v>1775</v>
      </c>
    </row>
    <row r="108" spans="2:24" ht="15.75" customHeight="1" x14ac:dyDescent="0.2">
      <c r="B108" s="202" t="s">
        <v>1776</v>
      </c>
      <c r="C108" s="202" t="s">
        <v>1777</v>
      </c>
      <c r="D108" s="202" t="s">
        <v>1778</v>
      </c>
      <c r="E108" s="71"/>
      <c r="F108" s="71" t="str">
        <f ca="1">IFERROR(__xludf.DUMMYFUNCTION("unique(filter($C$5:$C1123,$B$5:$B1123=E108))"),"")</f>
        <v/>
      </c>
      <c r="G108" s="203" t="str">
        <f ca="1">IFERROR(__xludf.DUMMYFUNCTION("unique(filter($D$5:$D1123,$B$5:$B1123=E108))"),"")</f>
        <v/>
      </c>
      <c r="K108" s="48"/>
      <c r="M108" s="205" t="s">
        <v>1779</v>
      </c>
    </row>
    <row r="109" spans="2:24" ht="15.75" customHeight="1" x14ac:dyDescent="0.2">
      <c r="B109" s="202" t="s">
        <v>1780</v>
      </c>
      <c r="C109" s="202" t="s">
        <v>1781</v>
      </c>
      <c r="D109" s="202" t="s">
        <v>1782</v>
      </c>
      <c r="E109" s="71"/>
      <c r="F109" s="71" t="str">
        <f ca="1">IFERROR(__xludf.DUMMYFUNCTION("unique(filter($C$5:$C1123,$B$5:$B1123=E109))"),"")</f>
        <v/>
      </c>
      <c r="G109" s="203" t="str">
        <f ca="1">IFERROR(__xludf.DUMMYFUNCTION("unique(filter($D$5:$D1123,$B$5:$B1123=E109))"),"")</f>
        <v/>
      </c>
      <c r="K109" s="48"/>
      <c r="M109" s="205" t="s">
        <v>1783</v>
      </c>
    </row>
    <row r="110" spans="2:24" ht="15.75" customHeight="1" x14ac:dyDescent="0.2">
      <c r="B110" s="202" t="s">
        <v>1784</v>
      </c>
      <c r="C110" s="202" t="s">
        <v>1785</v>
      </c>
      <c r="D110" s="202" t="s">
        <v>1786</v>
      </c>
      <c r="E110" s="71"/>
      <c r="F110" s="71" t="str">
        <f ca="1">IFERROR(__xludf.DUMMYFUNCTION("unique(filter($C$5:$C1123,$B$5:$B1123=E110))"),"")</f>
        <v/>
      </c>
      <c r="G110" s="203" t="str">
        <f ca="1">IFERROR(__xludf.DUMMYFUNCTION("unique(filter($D$5:$D1123,$B$5:$B1123=E110))"),"")</f>
        <v/>
      </c>
      <c r="K110" s="48"/>
      <c r="M110" s="205" t="s">
        <v>1787</v>
      </c>
    </row>
    <row r="111" spans="2:24" ht="15.75" customHeight="1" x14ac:dyDescent="0.2">
      <c r="B111" s="202" t="s">
        <v>1788</v>
      </c>
      <c r="C111" s="202" t="s">
        <v>1789</v>
      </c>
      <c r="D111" s="202" t="s">
        <v>1790</v>
      </c>
      <c r="E111" s="71"/>
      <c r="F111" s="71" t="str">
        <f ca="1">IFERROR(__xludf.DUMMYFUNCTION("unique(filter($C$5:$C1123,$B$5:$B1123=E111))"),"")</f>
        <v/>
      </c>
      <c r="G111" s="203" t="str">
        <f ca="1">IFERROR(__xludf.DUMMYFUNCTION("unique(filter($D$5:$D1123,$B$5:$B1123=E111))"),"")</f>
        <v/>
      </c>
      <c r="K111" s="48"/>
      <c r="M111" s="205" t="s">
        <v>1791</v>
      </c>
    </row>
    <row r="112" spans="2:24" ht="15.75" customHeight="1" x14ac:dyDescent="0.2">
      <c r="B112" s="202" t="s">
        <v>1792</v>
      </c>
      <c r="C112" s="202" t="s">
        <v>1793</v>
      </c>
      <c r="D112" s="202" t="s">
        <v>1794</v>
      </c>
      <c r="E112" s="71"/>
      <c r="F112" s="71" t="str">
        <f ca="1">IFERROR(__xludf.DUMMYFUNCTION("unique(filter($C$5:$C1123,$B$5:$B1123=E112))"),"")</f>
        <v/>
      </c>
      <c r="G112" s="203" t="str">
        <f ca="1">IFERROR(__xludf.DUMMYFUNCTION("unique(filter($D$5:$D1123,$B$5:$B1123=E112))"),"")</f>
        <v/>
      </c>
      <c r="K112" s="48"/>
      <c r="M112" s="205" t="s">
        <v>1795</v>
      </c>
    </row>
    <row r="113" spans="2:13" ht="15.75" customHeight="1" x14ac:dyDescent="0.2">
      <c r="B113" s="202" t="s">
        <v>1796</v>
      </c>
      <c r="C113" s="202" t="s">
        <v>1797</v>
      </c>
      <c r="D113" s="202" t="s">
        <v>1798</v>
      </c>
      <c r="E113" s="71"/>
      <c r="F113" s="71" t="str">
        <f ca="1">IFERROR(__xludf.DUMMYFUNCTION("unique(filter($C$5:$C1123,$B$5:$B1123=E113))"),"")</f>
        <v/>
      </c>
      <c r="G113" s="203" t="str">
        <f ca="1">IFERROR(__xludf.DUMMYFUNCTION("unique(filter($D$5:$D1123,$B$5:$B1123=E113))"),"")</f>
        <v/>
      </c>
      <c r="K113" s="48"/>
      <c r="M113" s="205" t="s">
        <v>1799</v>
      </c>
    </row>
    <row r="114" spans="2:13" ht="15.75" customHeight="1" x14ac:dyDescent="0.2">
      <c r="B114" s="202" t="s">
        <v>1800</v>
      </c>
      <c r="C114" s="202" t="s">
        <v>1801</v>
      </c>
      <c r="D114" s="202" t="s">
        <v>1802</v>
      </c>
      <c r="E114" s="71"/>
      <c r="F114" s="71" t="str">
        <f ca="1">IFERROR(__xludf.DUMMYFUNCTION("unique(filter($C$5:$C1123,$B$5:$B1123=E114))"),"")</f>
        <v/>
      </c>
      <c r="G114" s="203" t="str">
        <f ca="1">IFERROR(__xludf.DUMMYFUNCTION("unique(filter($D$5:$D1123,$B$5:$B1123=E114))"),"")</f>
        <v/>
      </c>
      <c r="K114" s="48"/>
      <c r="M114" s="205" t="s">
        <v>1803</v>
      </c>
    </row>
    <row r="115" spans="2:13" ht="15.75" customHeight="1" x14ac:dyDescent="0.2">
      <c r="B115" s="202" t="s">
        <v>1804</v>
      </c>
      <c r="C115" s="202" t="s">
        <v>1805</v>
      </c>
      <c r="D115" s="202" t="s">
        <v>1806</v>
      </c>
      <c r="E115" s="71"/>
      <c r="F115" s="71" t="str">
        <f ca="1">IFERROR(__xludf.DUMMYFUNCTION("unique(filter($C$5:$C1123,$B$5:$B1123=E115))"),"")</f>
        <v/>
      </c>
      <c r="G115" s="203" t="str">
        <f ca="1">IFERROR(__xludf.DUMMYFUNCTION("unique(filter($D$5:$D1123,$B$5:$B1123=E115))"),"")</f>
        <v/>
      </c>
      <c r="K115" s="48"/>
      <c r="M115" s="205" t="s">
        <v>1807</v>
      </c>
    </row>
    <row r="116" spans="2:13" ht="15.75" customHeight="1" x14ac:dyDescent="0.2">
      <c r="B116" s="202" t="s">
        <v>1808</v>
      </c>
      <c r="C116" s="202" t="s">
        <v>1809</v>
      </c>
      <c r="D116" s="202" t="s">
        <v>1810</v>
      </c>
      <c r="E116" s="71"/>
      <c r="F116" s="71" t="str">
        <f ca="1">IFERROR(__xludf.DUMMYFUNCTION("unique(filter($C$5:$C1123,$B$5:$B1123=E116))"),"")</f>
        <v/>
      </c>
      <c r="G116" s="203" t="str">
        <f ca="1">IFERROR(__xludf.DUMMYFUNCTION("unique(filter($D$5:$D1123,$B$5:$B1123=E116))"),"")</f>
        <v/>
      </c>
      <c r="K116" s="48"/>
      <c r="M116" s="205" t="s">
        <v>1811</v>
      </c>
    </row>
    <row r="117" spans="2:13" ht="15.75" customHeight="1" x14ac:dyDescent="0.2">
      <c r="B117" s="202" t="s">
        <v>1812</v>
      </c>
      <c r="C117" s="202" t="s">
        <v>1813</v>
      </c>
      <c r="D117" s="202" t="s">
        <v>1814</v>
      </c>
      <c r="E117" s="71"/>
      <c r="F117" s="71" t="str">
        <f ca="1">IFERROR(__xludf.DUMMYFUNCTION("unique(filter($C$5:$C1123,$B$5:$B1123=E117))"),"")</f>
        <v/>
      </c>
      <c r="G117" s="203" t="str">
        <f ca="1">IFERROR(__xludf.DUMMYFUNCTION("unique(filter($D$5:$D1123,$B$5:$B1123=E117))"),"")</f>
        <v/>
      </c>
      <c r="K117" s="48"/>
      <c r="M117" s="205" t="s">
        <v>1815</v>
      </c>
    </row>
    <row r="118" spans="2:13" ht="15.75" customHeight="1" x14ac:dyDescent="0.2">
      <c r="B118" s="202" t="s">
        <v>1816</v>
      </c>
      <c r="C118" s="202" t="s">
        <v>1817</v>
      </c>
      <c r="D118" s="202" t="s">
        <v>1818</v>
      </c>
      <c r="E118" s="71"/>
      <c r="F118" s="71" t="str">
        <f ca="1">IFERROR(__xludf.DUMMYFUNCTION("unique(filter($C$5:$C1123,$B$5:$B1123=E118))"),"")</f>
        <v/>
      </c>
      <c r="G118" s="203" t="str">
        <f ca="1">IFERROR(__xludf.DUMMYFUNCTION("unique(filter($D$5:$D1123,$B$5:$B1123=E118))"),"")</f>
        <v/>
      </c>
      <c r="K118" s="48"/>
      <c r="M118" s="205" t="s">
        <v>1819</v>
      </c>
    </row>
    <row r="119" spans="2:13" ht="15.75" customHeight="1" x14ac:dyDescent="0.2">
      <c r="B119" s="202" t="s">
        <v>1820</v>
      </c>
      <c r="C119" s="202" t="s">
        <v>1821</v>
      </c>
      <c r="D119" s="202" t="s">
        <v>1822</v>
      </c>
      <c r="E119" s="71"/>
      <c r="F119" s="71" t="str">
        <f ca="1">IFERROR(__xludf.DUMMYFUNCTION("unique(filter($C$5:$C1123,$B$5:$B1123=E119))"),"")</f>
        <v/>
      </c>
      <c r="G119" s="203" t="str">
        <f ca="1">IFERROR(__xludf.DUMMYFUNCTION("unique(filter($D$5:$D1123,$B$5:$B1123=E119))"),"")</f>
        <v/>
      </c>
      <c r="K119" s="48"/>
      <c r="M119" s="205" t="s">
        <v>1823</v>
      </c>
    </row>
    <row r="120" spans="2:13" ht="15.75" customHeight="1" x14ac:dyDescent="0.2">
      <c r="B120" s="202" t="s">
        <v>1824</v>
      </c>
      <c r="C120" s="202" t="s">
        <v>1825</v>
      </c>
      <c r="D120" s="202" t="s">
        <v>1826</v>
      </c>
      <c r="E120" s="71"/>
      <c r="F120" s="71" t="str">
        <f ca="1">IFERROR(__xludf.DUMMYFUNCTION("unique(filter($C$5:$C1123,$B$5:$B1123=E120))"),"")</f>
        <v/>
      </c>
      <c r="G120" s="203" t="str">
        <f ca="1">IFERROR(__xludf.DUMMYFUNCTION("unique(filter($D$5:$D1123,$B$5:$B1123=E120))"),"")</f>
        <v/>
      </c>
      <c r="K120" s="48"/>
      <c r="M120" s="205" t="s">
        <v>1827</v>
      </c>
    </row>
    <row r="121" spans="2:13" ht="15.75" customHeight="1" x14ac:dyDescent="0.2">
      <c r="B121" s="202" t="s">
        <v>1828</v>
      </c>
      <c r="C121" s="202" t="s">
        <v>1829</v>
      </c>
      <c r="D121" s="202" t="s">
        <v>1830</v>
      </c>
      <c r="E121" s="71"/>
      <c r="F121" s="71" t="str">
        <f ca="1">IFERROR(__xludf.DUMMYFUNCTION("unique(filter($C$5:$C1123,$B$5:$B1123=E121))"),"")</f>
        <v/>
      </c>
      <c r="G121" s="203" t="str">
        <f ca="1">IFERROR(__xludf.DUMMYFUNCTION("unique(filter($D$5:$D1123,$B$5:$B1123=E121))"),"")</f>
        <v/>
      </c>
      <c r="K121" s="48"/>
      <c r="M121" s="205" t="s">
        <v>1831</v>
      </c>
    </row>
    <row r="122" spans="2:13" ht="15.75" customHeight="1" x14ac:dyDescent="0.2">
      <c r="B122" s="202" t="s">
        <v>1832</v>
      </c>
      <c r="C122" s="202" t="s">
        <v>1833</v>
      </c>
      <c r="D122" s="202" t="s">
        <v>1834</v>
      </c>
      <c r="E122" s="71"/>
      <c r="F122" s="71" t="str">
        <f ca="1">IFERROR(__xludf.DUMMYFUNCTION("unique(filter($C$5:$C1123,$B$5:$B1123=E122))"),"")</f>
        <v/>
      </c>
      <c r="G122" s="203" t="str">
        <f ca="1">IFERROR(__xludf.DUMMYFUNCTION("unique(filter($D$5:$D1123,$B$5:$B1123=E122))"),"")</f>
        <v/>
      </c>
      <c r="K122" s="48"/>
      <c r="M122" s="205" t="s">
        <v>1835</v>
      </c>
    </row>
    <row r="123" spans="2:13" ht="15.75" customHeight="1" x14ac:dyDescent="0.2">
      <c r="B123" s="202" t="s">
        <v>1836</v>
      </c>
      <c r="C123" s="202" t="s">
        <v>1837</v>
      </c>
      <c r="D123" s="202" t="s">
        <v>1838</v>
      </c>
      <c r="E123" s="71"/>
      <c r="F123" s="71" t="str">
        <f ca="1">IFERROR(__xludf.DUMMYFUNCTION("unique(filter($C$5:$C1123,$B$5:$B1123=E123))"),"")</f>
        <v/>
      </c>
      <c r="G123" s="203" t="str">
        <f ca="1">IFERROR(__xludf.DUMMYFUNCTION("unique(filter($D$5:$D1123,$B$5:$B1123=E123))"),"")</f>
        <v/>
      </c>
      <c r="K123" s="48"/>
      <c r="M123" s="205" t="s">
        <v>1839</v>
      </c>
    </row>
    <row r="124" spans="2:13" ht="15.75" customHeight="1" x14ac:dyDescent="0.2">
      <c r="B124" s="202" t="s">
        <v>1840</v>
      </c>
      <c r="C124" s="202" t="s">
        <v>1841</v>
      </c>
      <c r="D124" s="202" t="s">
        <v>1842</v>
      </c>
      <c r="E124" s="71"/>
      <c r="F124" s="71" t="str">
        <f ca="1">IFERROR(__xludf.DUMMYFUNCTION("unique(filter($C$5:$C1123,$B$5:$B1123=E124))"),"")</f>
        <v/>
      </c>
      <c r="G124" s="203" t="str">
        <f ca="1">IFERROR(__xludf.DUMMYFUNCTION("unique(filter($D$5:$D1123,$B$5:$B1123=E124))"),"")</f>
        <v/>
      </c>
      <c r="K124" s="48"/>
      <c r="M124" s="205" t="s">
        <v>1843</v>
      </c>
    </row>
    <row r="125" spans="2:13" ht="15.75" customHeight="1" x14ac:dyDescent="0.2">
      <c r="B125" s="202" t="s">
        <v>1844</v>
      </c>
      <c r="C125" s="202" t="s">
        <v>1845</v>
      </c>
      <c r="D125" s="202" t="s">
        <v>1846</v>
      </c>
      <c r="E125" s="71"/>
      <c r="F125" s="71" t="str">
        <f ca="1">IFERROR(__xludf.DUMMYFUNCTION("unique(filter($C$5:$C1123,$B$5:$B1123=E125))"),"")</f>
        <v/>
      </c>
      <c r="G125" s="203" t="str">
        <f ca="1">IFERROR(__xludf.DUMMYFUNCTION("unique(filter($D$5:$D1123,$B$5:$B1123=E125))"),"")</f>
        <v/>
      </c>
      <c r="K125" s="48"/>
      <c r="M125" s="205" t="s">
        <v>1847</v>
      </c>
    </row>
    <row r="126" spans="2:13" ht="15.75" customHeight="1" x14ac:dyDescent="0.2">
      <c r="B126" s="202" t="s">
        <v>1848</v>
      </c>
      <c r="C126" s="202" t="s">
        <v>1849</v>
      </c>
      <c r="D126" s="202" t="s">
        <v>1850</v>
      </c>
      <c r="E126" s="71"/>
      <c r="F126" s="71" t="str">
        <f ca="1">IFERROR(__xludf.DUMMYFUNCTION("unique(filter($C$5:$C1123,$B$5:$B1123=E126))"),"")</f>
        <v/>
      </c>
      <c r="G126" s="203" t="str">
        <f ca="1">IFERROR(__xludf.DUMMYFUNCTION("unique(filter($D$5:$D1123,$B$5:$B1123=E126))"),"")</f>
        <v/>
      </c>
      <c r="K126" s="48"/>
      <c r="M126" s="205" t="s">
        <v>1851</v>
      </c>
    </row>
    <row r="127" spans="2:13" ht="15.75" customHeight="1" x14ac:dyDescent="0.2">
      <c r="B127" s="202" t="s">
        <v>1852</v>
      </c>
      <c r="C127" s="202" t="s">
        <v>1853</v>
      </c>
      <c r="D127" s="202" t="s">
        <v>1854</v>
      </c>
      <c r="E127" s="71"/>
      <c r="F127" s="71" t="str">
        <f ca="1">IFERROR(__xludf.DUMMYFUNCTION("unique(filter($C$5:$C1123,$B$5:$B1123=E127))"),"")</f>
        <v/>
      </c>
      <c r="G127" s="203" t="str">
        <f ca="1">IFERROR(__xludf.DUMMYFUNCTION("unique(filter($D$5:$D1123,$B$5:$B1123=E127))"),"")</f>
        <v/>
      </c>
      <c r="K127" s="48"/>
      <c r="M127" s="205" t="s">
        <v>1855</v>
      </c>
    </row>
    <row r="128" spans="2:13" ht="15.75" customHeight="1" x14ac:dyDescent="0.2">
      <c r="B128" s="202" t="s">
        <v>1856</v>
      </c>
      <c r="C128" s="202" t="s">
        <v>1857</v>
      </c>
      <c r="D128" s="202" t="s">
        <v>1858</v>
      </c>
      <c r="E128" s="71"/>
      <c r="F128" s="71" t="str">
        <f ca="1">IFERROR(__xludf.DUMMYFUNCTION("unique(filter($C$5:$C1123,$B$5:$B1123=E128))"),"")</f>
        <v/>
      </c>
      <c r="G128" s="203" t="str">
        <f ca="1">IFERROR(__xludf.DUMMYFUNCTION("unique(filter($D$5:$D1123,$B$5:$B1123=E128))"),"")</f>
        <v/>
      </c>
      <c r="K128" s="48"/>
      <c r="M128" s="205" t="s">
        <v>1859</v>
      </c>
    </row>
    <row r="129" spans="2:13" ht="15.75" customHeight="1" x14ac:dyDescent="0.2">
      <c r="B129" s="202" t="s">
        <v>1860</v>
      </c>
      <c r="C129" s="202"/>
      <c r="D129" s="202" t="s">
        <v>1861</v>
      </c>
      <c r="E129" s="71"/>
      <c r="F129" s="71" t="str">
        <f ca="1">IFERROR(__xludf.DUMMYFUNCTION("unique(filter($C$5:$C1123,$B$5:$B1123=E129))"),"")</f>
        <v/>
      </c>
      <c r="G129" s="203" t="str">
        <f ca="1">IFERROR(__xludf.DUMMYFUNCTION("unique(filter($D$5:$D1123,$B$5:$B1123=E129))"),"")</f>
        <v/>
      </c>
      <c r="K129" s="48"/>
      <c r="M129" s="205" t="s">
        <v>1862</v>
      </c>
    </row>
    <row r="130" spans="2:13" ht="15.75" customHeight="1" x14ac:dyDescent="0.2">
      <c r="B130" s="202" t="s">
        <v>1863</v>
      </c>
      <c r="C130" s="202" t="s">
        <v>1864</v>
      </c>
      <c r="D130" s="202" t="s">
        <v>1865</v>
      </c>
      <c r="E130" s="71"/>
      <c r="F130" s="71" t="str">
        <f ca="1">IFERROR(__xludf.DUMMYFUNCTION("unique(filter($C$5:$C1123,$B$5:$B1123=E130))"),"")</f>
        <v/>
      </c>
      <c r="G130" s="203" t="str">
        <f ca="1">IFERROR(__xludf.DUMMYFUNCTION("unique(filter($D$5:$D1123,$B$5:$B1123=E130))"),"")</f>
        <v/>
      </c>
      <c r="K130" s="48"/>
      <c r="M130" s="205" t="s">
        <v>1866</v>
      </c>
    </row>
    <row r="131" spans="2:13" ht="15.75" customHeight="1" x14ac:dyDescent="0.2">
      <c r="B131" s="202" t="s">
        <v>1867</v>
      </c>
      <c r="C131" s="202" t="s">
        <v>1868</v>
      </c>
      <c r="D131" s="202" t="s">
        <v>1869</v>
      </c>
      <c r="E131" s="71"/>
      <c r="F131" s="71" t="str">
        <f ca="1">IFERROR(__xludf.DUMMYFUNCTION("unique(filter($C$5:$C1123,$B$5:$B1123=E131))"),"")</f>
        <v/>
      </c>
      <c r="G131" s="203" t="str">
        <f ca="1">IFERROR(__xludf.DUMMYFUNCTION("unique(filter($D$5:$D1123,$B$5:$B1123=E131))"),"")</f>
        <v/>
      </c>
      <c r="K131" s="48"/>
      <c r="M131" s="205" t="s">
        <v>1870</v>
      </c>
    </row>
    <row r="132" spans="2:13" ht="15.75" customHeight="1" x14ac:dyDescent="0.2">
      <c r="B132" s="202" t="s">
        <v>1871</v>
      </c>
      <c r="C132" s="202" t="s">
        <v>1872</v>
      </c>
      <c r="D132" s="202" t="s">
        <v>1873</v>
      </c>
      <c r="E132" s="71"/>
      <c r="F132" s="71" t="str">
        <f ca="1">IFERROR(__xludf.DUMMYFUNCTION("unique(filter($C$5:$C1123,$B$5:$B1123=E132))"),"")</f>
        <v/>
      </c>
      <c r="G132" s="203" t="str">
        <f ca="1">IFERROR(__xludf.DUMMYFUNCTION("unique(filter($D$5:$D1123,$B$5:$B1123=E132))"),"")</f>
        <v/>
      </c>
      <c r="K132" s="48"/>
      <c r="M132" s="205" t="s">
        <v>1874</v>
      </c>
    </row>
    <row r="133" spans="2:13" ht="15.75" customHeight="1" x14ac:dyDescent="0.2">
      <c r="B133" s="202" t="s">
        <v>1875</v>
      </c>
      <c r="C133" s="202" t="s">
        <v>1876</v>
      </c>
      <c r="D133" s="202" t="s">
        <v>1877</v>
      </c>
      <c r="E133" s="71"/>
      <c r="F133" s="71" t="str">
        <f ca="1">IFERROR(__xludf.DUMMYFUNCTION("unique(filter($C$5:$C1123,$B$5:$B1123=E133))"),"")</f>
        <v/>
      </c>
      <c r="G133" s="203" t="str">
        <f ca="1">IFERROR(__xludf.DUMMYFUNCTION("unique(filter($D$5:$D1123,$B$5:$B1123=E133))"),"")</f>
        <v/>
      </c>
      <c r="K133" s="48"/>
      <c r="M133" s="205" t="s">
        <v>1878</v>
      </c>
    </row>
    <row r="134" spans="2:13" ht="15.75" customHeight="1" x14ac:dyDescent="0.2">
      <c r="B134" s="202" t="s">
        <v>1879</v>
      </c>
      <c r="C134" s="202" t="s">
        <v>1880</v>
      </c>
      <c r="D134" s="202" t="s">
        <v>1881</v>
      </c>
      <c r="E134" s="71"/>
      <c r="F134" s="71" t="str">
        <f ca="1">IFERROR(__xludf.DUMMYFUNCTION("unique(filter($C$5:$C1123,$B$5:$B1123=E134))"),"")</f>
        <v/>
      </c>
      <c r="G134" s="203" t="str">
        <f ca="1">IFERROR(__xludf.DUMMYFUNCTION("unique(filter($D$5:$D1123,$B$5:$B1123=E134))"),"")</f>
        <v/>
      </c>
      <c r="K134" s="48"/>
      <c r="M134" s="205" t="s">
        <v>1882</v>
      </c>
    </row>
    <row r="135" spans="2:13" ht="15.75" customHeight="1" x14ac:dyDescent="0.2">
      <c r="B135" s="202" t="s">
        <v>1883</v>
      </c>
      <c r="C135" s="202" t="s">
        <v>1884</v>
      </c>
      <c r="D135" s="202" t="s">
        <v>1885</v>
      </c>
      <c r="E135" s="71"/>
      <c r="F135" s="71" t="str">
        <f ca="1">IFERROR(__xludf.DUMMYFUNCTION("unique(filter($C$5:$C1123,$B$5:$B1123=E135))"),"")</f>
        <v/>
      </c>
      <c r="G135" s="203" t="str">
        <f ca="1">IFERROR(__xludf.DUMMYFUNCTION("unique(filter($D$5:$D1123,$B$5:$B1123=E135))"),"")</f>
        <v/>
      </c>
      <c r="K135" s="48"/>
      <c r="M135" s="205" t="s">
        <v>1886</v>
      </c>
    </row>
    <row r="136" spans="2:13" ht="15.75" customHeight="1" x14ac:dyDescent="0.2">
      <c r="B136" s="202" t="s">
        <v>1887</v>
      </c>
      <c r="C136" s="202"/>
      <c r="D136" s="202" t="s">
        <v>1888</v>
      </c>
      <c r="E136" s="71"/>
      <c r="F136" s="71" t="str">
        <f ca="1">IFERROR(__xludf.DUMMYFUNCTION("unique(filter($C$5:$C1123,$B$5:$B1123=E136))"),"")</f>
        <v/>
      </c>
      <c r="G136" s="203" t="str">
        <f ca="1">IFERROR(__xludf.DUMMYFUNCTION("unique(filter($D$5:$D1123,$B$5:$B1123=E136))"),"")</f>
        <v/>
      </c>
      <c r="K136" s="48"/>
      <c r="M136" s="205" t="s">
        <v>1889</v>
      </c>
    </row>
    <row r="137" spans="2:13" ht="15.75" customHeight="1" x14ac:dyDescent="0.2">
      <c r="B137" s="202" t="s">
        <v>1890</v>
      </c>
      <c r="C137" s="202" t="s">
        <v>1891</v>
      </c>
      <c r="D137" s="202" t="s">
        <v>1892</v>
      </c>
      <c r="E137" s="71"/>
      <c r="F137" s="71" t="str">
        <f ca="1">IFERROR(__xludf.DUMMYFUNCTION("unique(filter($C$5:$C1123,$B$5:$B1123=E137))"),"")</f>
        <v/>
      </c>
      <c r="G137" s="203" t="str">
        <f ca="1">IFERROR(__xludf.DUMMYFUNCTION("unique(filter($D$5:$D1123,$B$5:$B1123=E137))"),"")</f>
        <v/>
      </c>
      <c r="K137" s="48"/>
      <c r="M137" s="205" t="s">
        <v>1893</v>
      </c>
    </row>
    <row r="138" spans="2:13" ht="15.75" customHeight="1" x14ac:dyDescent="0.2">
      <c r="B138" s="202" t="s">
        <v>1894</v>
      </c>
      <c r="C138" s="202" t="s">
        <v>1895</v>
      </c>
      <c r="D138" s="202" t="s">
        <v>1896</v>
      </c>
      <c r="E138" s="71"/>
      <c r="F138" s="71" t="str">
        <f ca="1">IFERROR(__xludf.DUMMYFUNCTION("unique(filter($C$5:$C1123,$B$5:$B1123=E138))"),"")</f>
        <v/>
      </c>
      <c r="G138" s="203" t="str">
        <f ca="1">IFERROR(__xludf.DUMMYFUNCTION("unique(filter($D$5:$D1123,$B$5:$B1123=E138))"),"")</f>
        <v/>
      </c>
      <c r="K138" s="48"/>
      <c r="M138" s="205" t="s">
        <v>1897</v>
      </c>
    </row>
    <row r="139" spans="2:13" ht="15.75" customHeight="1" x14ac:dyDescent="0.2">
      <c r="B139" s="202" t="s">
        <v>1898</v>
      </c>
      <c r="C139" s="202"/>
      <c r="D139" s="202" t="s">
        <v>1899</v>
      </c>
      <c r="E139" s="71"/>
      <c r="F139" s="71" t="str">
        <f ca="1">IFERROR(__xludf.DUMMYFUNCTION("unique(filter($C$5:$C1123,$B$5:$B1123=E139))"),"")</f>
        <v/>
      </c>
      <c r="G139" s="203" t="str">
        <f ca="1">IFERROR(__xludf.DUMMYFUNCTION("unique(filter($D$5:$D1123,$B$5:$B1123=E139))"),"")</f>
        <v/>
      </c>
      <c r="K139" s="48"/>
      <c r="M139" s="205" t="s">
        <v>1900</v>
      </c>
    </row>
    <row r="140" spans="2:13" ht="15.75" customHeight="1" x14ac:dyDescent="0.2">
      <c r="B140" s="202" t="s">
        <v>1901</v>
      </c>
      <c r="C140" s="202"/>
      <c r="D140" s="202" t="s">
        <v>1902</v>
      </c>
      <c r="E140" s="71"/>
      <c r="F140" s="71" t="str">
        <f ca="1">IFERROR(__xludf.DUMMYFUNCTION("unique(filter($C$5:$C1123,$B$5:$B1123=E140))"),"")</f>
        <v/>
      </c>
      <c r="G140" s="203" t="str">
        <f ca="1">IFERROR(__xludf.DUMMYFUNCTION("unique(filter($D$5:$D1123,$B$5:$B1123=E140))"),"")</f>
        <v/>
      </c>
      <c r="K140" s="48"/>
      <c r="M140" s="205" t="s">
        <v>1903</v>
      </c>
    </row>
    <row r="141" spans="2:13" ht="15.75" customHeight="1" x14ac:dyDescent="0.2">
      <c r="B141" s="202" t="s">
        <v>1904</v>
      </c>
      <c r="C141" s="202" t="s">
        <v>1905</v>
      </c>
      <c r="D141" s="202" t="s">
        <v>1906</v>
      </c>
      <c r="E141" s="71"/>
      <c r="F141" s="71" t="str">
        <f ca="1">IFERROR(__xludf.DUMMYFUNCTION("unique(filter($C$5:$C1123,$B$5:$B1123=E141))"),"")</f>
        <v/>
      </c>
      <c r="G141" s="203" t="str">
        <f ca="1">IFERROR(__xludf.DUMMYFUNCTION("unique(filter($D$5:$D1123,$B$5:$B1123=E141))"),"")</f>
        <v/>
      </c>
      <c r="K141" s="48"/>
      <c r="M141" s="205" t="s">
        <v>1907</v>
      </c>
    </row>
    <row r="142" spans="2:13" ht="15.75" customHeight="1" x14ac:dyDescent="0.2">
      <c r="B142" s="202" t="s">
        <v>1908</v>
      </c>
      <c r="C142" s="202" t="s">
        <v>1909</v>
      </c>
      <c r="D142" s="202" t="s">
        <v>1910</v>
      </c>
      <c r="E142" s="71"/>
      <c r="F142" s="71" t="str">
        <f ca="1">IFERROR(__xludf.DUMMYFUNCTION("unique(filter($C$5:$C1123,$B$5:$B1123=E142))"),"")</f>
        <v/>
      </c>
      <c r="G142" s="203" t="str">
        <f ca="1">IFERROR(__xludf.DUMMYFUNCTION("unique(filter($D$5:$D1123,$B$5:$B1123=E142))"),"")</f>
        <v/>
      </c>
      <c r="K142" s="48"/>
      <c r="M142" s="205" t="s">
        <v>1911</v>
      </c>
    </row>
    <row r="143" spans="2:13" ht="15.75" customHeight="1" x14ac:dyDescent="0.2">
      <c r="B143" s="202" t="s">
        <v>1912</v>
      </c>
      <c r="C143" s="202" t="s">
        <v>1913</v>
      </c>
      <c r="D143" s="202" t="s">
        <v>1914</v>
      </c>
      <c r="E143" s="71"/>
      <c r="F143" s="71" t="str">
        <f ca="1">IFERROR(__xludf.DUMMYFUNCTION("unique(filter($C$5:$C1123,$B$5:$B1123=E143))"),"")</f>
        <v/>
      </c>
      <c r="G143" s="203" t="str">
        <f ca="1">IFERROR(__xludf.DUMMYFUNCTION("unique(filter($D$5:$D1123,$B$5:$B1123=E143))"),"")</f>
        <v/>
      </c>
      <c r="K143" s="48"/>
      <c r="M143" s="205" t="s">
        <v>1915</v>
      </c>
    </row>
    <row r="144" spans="2:13" ht="15.75" customHeight="1" x14ac:dyDescent="0.2">
      <c r="B144" s="202" t="s">
        <v>1916</v>
      </c>
      <c r="C144" s="202" t="s">
        <v>1917</v>
      </c>
      <c r="D144" s="202" t="s">
        <v>1918</v>
      </c>
      <c r="E144" s="71"/>
      <c r="F144" s="71" t="str">
        <f ca="1">IFERROR(__xludf.DUMMYFUNCTION("unique(filter($C$5:$C1123,$B$5:$B1123=E144))"),"")</f>
        <v/>
      </c>
      <c r="G144" s="203" t="str">
        <f ca="1">IFERROR(__xludf.DUMMYFUNCTION("unique(filter($D$5:$D1123,$B$5:$B1123=E144))"),"")</f>
        <v/>
      </c>
      <c r="K144" s="48"/>
      <c r="M144" s="205" t="s">
        <v>1919</v>
      </c>
    </row>
    <row r="145" spans="2:13" ht="15.75" customHeight="1" x14ac:dyDescent="0.2">
      <c r="B145" s="202" t="s">
        <v>1920</v>
      </c>
      <c r="C145" s="202" t="s">
        <v>1921</v>
      </c>
      <c r="D145" s="202" t="s">
        <v>1922</v>
      </c>
      <c r="E145" s="71"/>
      <c r="F145" s="71" t="str">
        <f ca="1">IFERROR(__xludf.DUMMYFUNCTION("unique(filter($C$5:$C1123,$B$5:$B1123=E145))"),"")</f>
        <v/>
      </c>
      <c r="G145" s="203" t="str">
        <f ca="1">IFERROR(__xludf.DUMMYFUNCTION("unique(filter($D$5:$D1123,$B$5:$B1123=E145))"),"")</f>
        <v/>
      </c>
      <c r="K145" s="48"/>
      <c r="M145" s="205" t="s">
        <v>1923</v>
      </c>
    </row>
    <row r="146" spans="2:13" ht="15.75" customHeight="1" x14ac:dyDescent="0.2">
      <c r="B146" s="202" t="s">
        <v>1924</v>
      </c>
      <c r="C146" s="202"/>
      <c r="D146" s="202" t="s">
        <v>1925</v>
      </c>
      <c r="E146" s="71"/>
      <c r="F146" s="71" t="str">
        <f ca="1">IFERROR(__xludf.DUMMYFUNCTION("unique(filter($C$5:$C1123,$B$5:$B1123=E146))"),"")</f>
        <v/>
      </c>
      <c r="G146" s="203" t="str">
        <f ca="1">IFERROR(__xludf.DUMMYFUNCTION("unique(filter($D$5:$D1123,$B$5:$B1123=E146))"),"")</f>
        <v/>
      </c>
      <c r="K146" s="48"/>
      <c r="M146" s="205" t="s">
        <v>1926</v>
      </c>
    </row>
    <row r="147" spans="2:13" ht="15.75" customHeight="1" x14ac:dyDescent="0.2">
      <c r="B147" s="202" t="s">
        <v>1927</v>
      </c>
      <c r="C147" s="202"/>
      <c r="D147" s="202" t="s">
        <v>1928</v>
      </c>
      <c r="E147" s="71"/>
      <c r="F147" s="71" t="str">
        <f ca="1">IFERROR(__xludf.DUMMYFUNCTION("unique(filter($C$5:$C1123,$B$5:$B1123=E147))"),"")</f>
        <v/>
      </c>
      <c r="G147" s="203" t="str">
        <f ca="1">IFERROR(__xludf.DUMMYFUNCTION("unique(filter($D$5:$D1123,$B$5:$B1123=E147))"),"")</f>
        <v/>
      </c>
      <c r="K147" s="48"/>
      <c r="M147" s="205" t="s">
        <v>1929</v>
      </c>
    </row>
    <row r="148" spans="2:13" ht="15.75" customHeight="1" x14ac:dyDescent="0.2">
      <c r="B148" s="202" t="s">
        <v>1930</v>
      </c>
      <c r="C148" s="202" t="s">
        <v>1931</v>
      </c>
      <c r="D148" s="202" t="s">
        <v>1932</v>
      </c>
      <c r="E148" s="71"/>
      <c r="F148" s="71" t="str">
        <f ca="1">IFERROR(__xludf.DUMMYFUNCTION("unique(filter($C$5:$C1123,$B$5:$B1123=E148))"),"")</f>
        <v/>
      </c>
      <c r="G148" s="203" t="str">
        <f ca="1">IFERROR(__xludf.DUMMYFUNCTION("unique(filter($D$5:$D1123,$B$5:$B1123=E148))"),"")</f>
        <v/>
      </c>
      <c r="K148" s="48"/>
      <c r="M148" s="205" t="s">
        <v>1933</v>
      </c>
    </row>
    <row r="149" spans="2:13" ht="15.75" customHeight="1" x14ac:dyDescent="0.2">
      <c r="B149" s="202" t="s">
        <v>1934</v>
      </c>
      <c r="C149" s="202" t="s">
        <v>1935</v>
      </c>
      <c r="D149" s="202" t="s">
        <v>1936</v>
      </c>
      <c r="E149" s="71"/>
      <c r="F149" s="71" t="str">
        <f ca="1">IFERROR(__xludf.DUMMYFUNCTION("unique(filter($C$5:$C1123,$B$5:$B1123=E149))"),"")</f>
        <v/>
      </c>
      <c r="G149" s="203" t="str">
        <f ca="1">IFERROR(__xludf.DUMMYFUNCTION("unique(filter($D$5:$D1123,$B$5:$B1123=E149))"),"")</f>
        <v/>
      </c>
      <c r="K149" s="48"/>
      <c r="M149" s="205" t="s">
        <v>1937</v>
      </c>
    </row>
    <row r="150" spans="2:13" ht="15.75" customHeight="1" x14ac:dyDescent="0.2">
      <c r="B150" s="202" t="s">
        <v>1938</v>
      </c>
      <c r="C150" s="202" t="s">
        <v>1939</v>
      </c>
      <c r="D150" s="202" t="s">
        <v>1940</v>
      </c>
      <c r="E150" s="71"/>
      <c r="F150" s="71" t="str">
        <f ca="1">IFERROR(__xludf.DUMMYFUNCTION("unique(filter($C$5:$C1123,$B$5:$B1123=E150))"),"")</f>
        <v/>
      </c>
      <c r="G150" s="203" t="str">
        <f ca="1">IFERROR(__xludf.DUMMYFUNCTION("unique(filter($D$5:$D1123,$B$5:$B1123=E150))"),"")</f>
        <v/>
      </c>
      <c r="K150" s="48"/>
      <c r="M150" s="205" t="s">
        <v>1941</v>
      </c>
    </row>
    <row r="151" spans="2:13" ht="15.75" customHeight="1" x14ac:dyDescent="0.2">
      <c r="B151" s="202" t="s">
        <v>1942</v>
      </c>
      <c r="C151" s="202" t="s">
        <v>1943</v>
      </c>
      <c r="D151" s="202" t="s">
        <v>1944</v>
      </c>
      <c r="E151" s="71"/>
      <c r="F151" s="71" t="str">
        <f ca="1">IFERROR(__xludf.DUMMYFUNCTION("unique(filter($C$5:$C1123,$B$5:$B1123=E151))"),"")</f>
        <v/>
      </c>
      <c r="G151" s="203" t="str">
        <f ca="1">IFERROR(__xludf.DUMMYFUNCTION("unique(filter($D$5:$D1123,$B$5:$B1123=E151))"),"")</f>
        <v/>
      </c>
      <c r="K151" s="48"/>
      <c r="M151" s="205" t="s">
        <v>1945</v>
      </c>
    </row>
    <row r="152" spans="2:13" ht="15.75" customHeight="1" x14ac:dyDescent="0.2">
      <c r="B152" s="202" t="s">
        <v>1946</v>
      </c>
      <c r="C152" s="202"/>
      <c r="D152" s="202" t="s">
        <v>1947</v>
      </c>
      <c r="E152" s="71"/>
      <c r="F152" s="71" t="str">
        <f ca="1">IFERROR(__xludf.DUMMYFUNCTION("unique(filter($C$5:$C1123,$B$5:$B1123=E152))"),"")</f>
        <v/>
      </c>
      <c r="G152" s="203" t="str">
        <f ca="1">IFERROR(__xludf.DUMMYFUNCTION("unique(filter($D$5:$D1123,$B$5:$B1123=E152))"),"")</f>
        <v/>
      </c>
      <c r="K152" s="48"/>
      <c r="M152" s="205" t="s">
        <v>1948</v>
      </c>
    </row>
    <row r="153" spans="2:13" ht="15.75" customHeight="1" x14ac:dyDescent="0.2">
      <c r="B153" s="202" t="s">
        <v>1949</v>
      </c>
      <c r="C153" s="202" t="s">
        <v>1950</v>
      </c>
      <c r="D153" s="202" t="s">
        <v>1951</v>
      </c>
      <c r="E153" s="71"/>
      <c r="F153" s="71" t="str">
        <f ca="1">IFERROR(__xludf.DUMMYFUNCTION("unique(filter($C$5:$C1123,$B$5:$B1123=E153))"),"")</f>
        <v/>
      </c>
      <c r="G153" s="203" t="str">
        <f ca="1">IFERROR(__xludf.DUMMYFUNCTION("unique(filter($D$5:$D1123,$B$5:$B1123=E153))"),"")</f>
        <v/>
      </c>
      <c r="K153" s="48"/>
      <c r="M153" s="205" t="s">
        <v>1952</v>
      </c>
    </row>
    <row r="154" spans="2:13" ht="15.75" customHeight="1" x14ac:dyDescent="0.2">
      <c r="B154" s="202" t="s">
        <v>1953</v>
      </c>
      <c r="C154" s="202"/>
      <c r="D154" s="202" t="s">
        <v>1954</v>
      </c>
      <c r="E154" s="71"/>
      <c r="F154" s="71" t="str">
        <f ca="1">IFERROR(__xludf.DUMMYFUNCTION("unique(filter($C$5:$C1123,$B$5:$B1123=E154))"),"")</f>
        <v/>
      </c>
      <c r="G154" s="203" t="str">
        <f ca="1">IFERROR(__xludf.DUMMYFUNCTION("unique(filter($D$5:$D1123,$B$5:$B1123=E154))"),"")</f>
        <v/>
      </c>
      <c r="K154" s="48"/>
      <c r="M154" s="205" t="s">
        <v>1955</v>
      </c>
    </row>
    <row r="155" spans="2:13" ht="15.75" customHeight="1" x14ac:dyDescent="0.2">
      <c r="B155" s="202" t="s">
        <v>1956</v>
      </c>
      <c r="C155" s="202"/>
      <c r="D155" s="202" t="s">
        <v>1957</v>
      </c>
      <c r="E155" s="71"/>
      <c r="F155" s="71" t="str">
        <f ca="1">IFERROR(__xludf.DUMMYFUNCTION("unique(filter($C$5:$C1123,$B$5:$B1123=E155))"),"")</f>
        <v/>
      </c>
      <c r="G155" s="203" t="str">
        <f ca="1">IFERROR(__xludf.DUMMYFUNCTION("unique(filter($D$5:$D1123,$B$5:$B1123=E155))"),"")</f>
        <v/>
      </c>
      <c r="K155" s="48"/>
      <c r="M155" s="205" t="s">
        <v>1958</v>
      </c>
    </row>
    <row r="156" spans="2:13" ht="15.75" customHeight="1" x14ac:dyDescent="0.2">
      <c r="B156" s="202" t="s">
        <v>1959</v>
      </c>
      <c r="C156" s="202" t="s">
        <v>1960</v>
      </c>
      <c r="D156" s="202" t="s">
        <v>1961</v>
      </c>
      <c r="E156" s="71"/>
      <c r="F156" s="71" t="str">
        <f ca="1">IFERROR(__xludf.DUMMYFUNCTION("unique(filter($C$5:$C1123,$B$5:$B1123=E156))"),"")</f>
        <v/>
      </c>
      <c r="G156" s="203" t="str">
        <f ca="1">IFERROR(__xludf.DUMMYFUNCTION("unique(filter($D$5:$D1123,$B$5:$B1123=E156))"),"")</f>
        <v/>
      </c>
      <c r="K156" s="48"/>
      <c r="M156" s="205" t="s">
        <v>1962</v>
      </c>
    </row>
    <row r="157" spans="2:13" ht="15.75" customHeight="1" x14ac:dyDescent="0.2">
      <c r="B157" s="202" t="s">
        <v>1963</v>
      </c>
      <c r="C157" s="202" t="s">
        <v>1964</v>
      </c>
      <c r="D157" s="202" t="s">
        <v>1965</v>
      </c>
      <c r="E157" s="71"/>
      <c r="F157" s="71" t="str">
        <f ca="1">IFERROR(__xludf.DUMMYFUNCTION("unique(filter($C$5:$C1123,$B$5:$B1123=E157))"),"")</f>
        <v/>
      </c>
      <c r="G157" s="203" t="str">
        <f ca="1">IFERROR(__xludf.DUMMYFUNCTION("unique(filter($D$5:$D1123,$B$5:$B1123=E157))"),"")</f>
        <v/>
      </c>
      <c r="K157" s="48"/>
      <c r="M157" s="205" t="s">
        <v>1966</v>
      </c>
    </row>
    <row r="158" spans="2:13" ht="15.75" customHeight="1" x14ac:dyDescent="0.2">
      <c r="B158" s="202" t="s">
        <v>1967</v>
      </c>
      <c r="C158" s="202" t="s">
        <v>1968</v>
      </c>
      <c r="D158" s="202" t="s">
        <v>1969</v>
      </c>
      <c r="E158" s="71"/>
      <c r="F158" s="71" t="str">
        <f ca="1">IFERROR(__xludf.DUMMYFUNCTION("unique(filter($C$5:$C1123,$B$5:$B1123=E158))"),"")</f>
        <v/>
      </c>
      <c r="G158" s="203" t="str">
        <f ca="1">IFERROR(__xludf.DUMMYFUNCTION("unique(filter($D$5:$D1123,$B$5:$B1123=E158))"),"")</f>
        <v/>
      </c>
      <c r="K158" s="48"/>
      <c r="M158" s="205" t="s">
        <v>1970</v>
      </c>
    </row>
    <row r="159" spans="2:13" ht="15.75" customHeight="1" x14ac:dyDescent="0.2">
      <c r="B159" s="202" t="s">
        <v>1971</v>
      </c>
      <c r="C159" s="202"/>
      <c r="D159" s="202" t="s">
        <v>1972</v>
      </c>
      <c r="E159" s="71"/>
      <c r="F159" s="71" t="str">
        <f ca="1">IFERROR(__xludf.DUMMYFUNCTION("unique(filter($C$5:$C1123,$B$5:$B1123=E159))"),"")</f>
        <v/>
      </c>
      <c r="G159" s="203" t="str">
        <f ca="1">IFERROR(__xludf.DUMMYFUNCTION("unique(filter($D$5:$D1123,$B$5:$B1123=E159))"),"")</f>
        <v/>
      </c>
      <c r="K159" s="48"/>
      <c r="M159" s="205" t="s">
        <v>1973</v>
      </c>
    </row>
    <row r="160" spans="2:13" ht="15.75" customHeight="1" x14ac:dyDescent="0.2">
      <c r="B160" s="202" t="s">
        <v>1974</v>
      </c>
      <c r="C160" s="202"/>
      <c r="D160" s="202" t="s">
        <v>1975</v>
      </c>
      <c r="E160" s="71"/>
      <c r="F160" s="71" t="str">
        <f ca="1">IFERROR(__xludf.DUMMYFUNCTION("unique(filter($C$5:$C1123,$B$5:$B1123=E160))"),"")</f>
        <v/>
      </c>
      <c r="G160" s="203" t="str">
        <f ca="1">IFERROR(__xludf.DUMMYFUNCTION("unique(filter($D$5:$D1123,$B$5:$B1123=E160))"),"")</f>
        <v/>
      </c>
      <c r="K160" s="48"/>
      <c r="M160" s="205" t="s">
        <v>1976</v>
      </c>
    </row>
    <row r="161" spans="2:13" ht="15.75" customHeight="1" x14ac:dyDescent="0.2">
      <c r="B161" s="202" t="s">
        <v>1977</v>
      </c>
      <c r="C161" s="202" t="s">
        <v>1978</v>
      </c>
      <c r="D161" s="202" t="s">
        <v>1979</v>
      </c>
      <c r="E161" s="71"/>
      <c r="F161" s="71" t="str">
        <f ca="1">IFERROR(__xludf.DUMMYFUNCTION("unique(filter($C$5:$C1123,$B$5:$B1123=E161))"),"")</f>
        <v/>
      </c>
      <c r="G161" s="203" t="str">
        <f ca="1">IFERROR(__xludf.DUMMYFUNCTION("unique(filter($D$5:$D1123,$B$5:$B1123=E161))"),"")</f>
        <v/>
      </c>
      <c r="K161" s="48"/>
      <c r="M161" s="205" t="s">
        <v>1980</v>
      </c>
    </row>
    <row r="162" spans="2:13" ht="15.75" customHeight="1" x14ac:dyDescent="0.2">
      <c r="B162" s="202" t="s">
        <v>1981</v>
      </c>
      <c r="C162" s="202" t="s">
        <v>1982</v>
      </c>
      <c r="D162" s="202" t="s">
        <v>1983</v>
      </c>
      <c r="E162" s="71"/>
      <c r="F162" s="71" t="str">
        <f ca="1">IFERROR(__xludf.DUMMYFUNCTION("unique(filter($C$5:$C1123,$B$5:$B1123=E162))"),"")</f>
        <v/>
      </c>
      <c r="G162" s="203" t="str">
        <f ca="1">IFERROR(__xludf.DUMMYFUNCTION("unique(filter($D$5:$D1123,$B$5:$B1123=E162))"),"")</f>
        <v/>
      </c>
      <c r="K162" s="48"/>
      <c r="M162" s="205" t="s">
        <v>1984</v>
      </c>
    </row>
    <row r="163" spans="2:13" ht="15.75" customHeight="1" x14ac:dyDescent="0.2">
      <c r="B163" s="202" t="s">
        <v>1985</v>
      </c>
      <c r="C163" s="202" t="s">
        <v>1986</v>
      </c>
      <c r="D163" s="202" t="s">
        <v>1987</v>
      </c>
      <c r="E163" s="71"/>
      <c r="F163" s="71" t="str">
        <f ca="1">IFERROR(__xludf.DUMMYFUNCTION("unique(filter($C$5:$C1123,$B$5:$B1123=E163))"),"")</f>
        <v/>
      </c>
      <c r="G163" s="203" t="str">
        <f ca="1">IFERROR(__xludf.DUMMYFUNCTION("unique(filter($D$5:$D1123,$B$5:$B1123=E163))"),"")</f>
        <v/>
      </c>
      <c r="K163" s="48"/>
      <c r="M163" s="205" t="s">
        <v>1988</v>
      </c>
    </row>
    <row r="164" spans="2:13" ht="15.75" customHeight="1" x14ac:dyDescent="0.2">
      <c r="B164" s="202" t="s">
        <v>1989</v>
      </c>
      <c r="C164" s="202"/>
      <c r="D164" s="202" t="s">
        <v>1990</v>
      </c>
      <c r="E164" s="71"/>
      <c r="F164" s="71" t="str">
        <f ca="1">IFERROR(__xludf.DUMMYFUNCTION("unique(filter($C$5:$C1123,$B$5:$B1123=E164))"),"")</f>
        <v/>
      </c>
      <c r="G164" s="203" t="str">
        <f ca="1">IFERROR(__xludf.DUMMYFUNCTION("unique(filter($D$5:$D1123,$B$5:$B1123=E164))"),"")</f>
        <v/>
      </c>
      <c r="K164" s="48"/>
      <c r="M164" s="205" t="s">
        <v>1991</v>
      </c>
    </row>
    <row r="165" spans="2:13" ht="15.75" customHeight="1" x14ac:dyDescent="0.2">
      <c r="B165" s="202" t="s">
        <v>1992</v>
      </c>
      <c r="C165" s="202"/>
      <c r="D165" s="202" t="s">
        <v>1993</v>
      </c>
      <c r="E165" s="71"/>
      <c r="F165" s="71" t="str">
        <f ca="1">IFERROR(__xludf.DUMMYFUNCTION("unique(filter($C$5:$C1123,$B$5:$B1123=E165))"),"")</f>
        <v/>
      </c>
      <c r="G165" s="203" t="str">
        <f ca="1">IFERROR(__xludf.DUMMYFUNCTION("unique(filter($D$5:$D1123,$B$5:$B1123=E165))"),"")</f>
        <v/>
      </c>
      <c r="K165" s="48"/>
      <c r="M165" s="205" t="s">
        <v>1994</v>
      </c>
    </row>
    <row r="166" spans="2:13" ht="15.75" customHeight="1" x14ac:dyDescent="0.2">
      <c r="B166" s="202" t="s">
        <v>1995</v>
      </c>
      <c r="C166" s="202" t="s">
        <v>1996</v>
      </c>
      <c r="D166" s="202" t="s">
        <v>1997</v>
      </c>
      <c r="E166" s="71"/>
      <c r="F166" s="71" t="str">
        <f ca="1">IFERROR(__xludf.DUMMYFUNCTION("unique(filter($C$5:$C1123,$B$5:$B1123=E166))"),"")</f>
        <v/>
      </c>
      <c r="G166" s="203" t="str">
        <f ca="1">IFERROR(__xludf.DUMMYFUNCTION("unique(filter($D$5:$D1123,$B$5:$B1123=E166))"),"")</f>
        <v/>
      </c>
      <c r="K166" s="48"/>
      <c r="M166" s="205" t="s">
        <v>1998</v>
      </c>
    </row>
    <row r="167" spans="2:13" ht="15.75" customHeight="1" x14ac:dyDescent="0.2">
      <c r="B167" s="202" t="s">
        <v>1999</v>
      </c>
      <c r="C167" s="202"/>
      <c r="D167" s="202" t="s">
        <v>2000</v>
      </c>
      <c r="E167" s="71"/>
      <c r="F167" s="71" t="str">
        <f ca="1">IFERROR(__xludf.DUMMYFUNCTION("unique(filter($C$5:$C1123,$B$5:$B1123=E167))"),"")</f>
        <v/>
      </c>
      <c r="G167" s="203" t="str">
        <f ca="1">IFERROR(__xludf.DUMMYFUNCTION("unique(filter($D$5:$D1123,$B$5:$B1123=E167))"),"")</f>
        <v/>
      </c>
      <c r="K167" s="48"/>
      <c r="M167" s="205" t="s">
        <v>2001</v>
      </c>
    </row>
    <row r="168" spans="2:13" ht="15.75" customHeight="1" x14ac:dyDescent="0.2">
      <c r="B168" s="202" t="s">
        <v>2002</v>
      </c>
      <c r="C168" s="202" t="s">
        <v>2003</v>
      </c>
      <c r="D168" s="202" t="s">
        <v>2004</v>
      </c>
      <c r="E168" s="71"/>
      <c r="F168" s="71" t="str">
        <f ca="1">IFERROR(__xludf.DUMMYFUNCTION("unique(filter($C$5:$C1123,$B$5:$B1123=E168))"),"")</f>
        <v/>
      </c>
      <c r="G168" s="203" t="str">
        <f ca="1">IFERROR(__xludf.DUMMYFUNCTION("unique(filter($D$5:$D1123,$B$5:$B1123=E168))"),"")</f>
        <v/>
      </c>
      <c r="K168" s="48"/>
      <c r="M168" s="205" t="s">
        <v>2005</v>
      </c>
    </row>
    <row r="169" spans="2:13" ht="15.75" customHeight="1" x14ac:dyDescent="0.2">
      <c r="B169" s="202" t="s">
        <v>2006</v>
      </c>
      <c r="C169" s="202"/>
      <c r="D169" s="202" t="s">
        <v>2007</v>
      </c>
      <c r="E169" s="71"/>
      <c r="F169" s="71" t="str">
        <f ca="1">IFERROR(__xludf.DUMMYFUNCTION("unique(filter($C$5:$C1123,$B$5:$B1123=E169))"),"")</f>
        <v/>
      </c>
      <c r="G169" s="203" t="str">
        <f ca="1">IFERROR(__xludf.DUMMYFUNCTION("unique(filter($D$5:$D1123,$B$5:$B1123=E169))"),"")</f>
        <v/>
      </c>
      <c r="K169" s="48"/>
      <c r="M169" s="205" t="s">
        <v>2008</v>
      </c>
    </row>
    <row r="170" spans="2:13" ht="15.75" customHeight="1" x14ac:dyDescent="0.2">
      <c r="B170" s="202" t="s">
        <v>2009</v>
      </c>
      <c r="C170" s="202" t="s">
        <v>2010</v>
      </c>
      <c r="D170" s="202" t="s">
        <v>2011</v>
      </c>
      <c r="E170" s="71"/>
      <c r="F170" s="71" t="str">
        <f ca="1">IFERROR(__xludf.DUMMYFUNCTION("unique(filter($C$5:$C1123,$B$5:$B1123=E170))"),"")</f>
        <v/>
      </c>
      <c r="G170" s="203" t="str">
        <f ca="1">IFERROR(__xludf.DUMMYFUNCTION("unique(filter($D$5:$D1123,$B$5:$B1123=E170))"),"")</f>
        <v/>
      </c>
      <c r="K170" s="48"/>
      <c r="M170" s="205" t="s">
        <v>2012</v>
      </c>
    </row>
    <row r="171" spans="2:13" ht="15.75" customHeight="1" x14ac:dyDescent="0.2">
      <c r="B171" s="202" t="s">
        <v>2013</v>
      </c>
      <c r="C171" s="202" t="s">
        <v>2014</v>
      </c>
      <c r="D171" s="202" t="s">
        <v>2015</v>
      </c>
      <c r="E171" s="71"/>
      <c r="F171" s="71" t="str">
        <f ca="1">IFERROR(__xludf.DUMMYFUNCTION("unique(filter($C$5:$C1123,$B$5:$B1123=E171))"),"")</f>
        <v/>
      </c>
      <c r="G171" s="203" t="str">
        <f ca="1">IFERROR(__xludf.DUMMYFUNCTION("unique(filter($D$5:$D1123,$B$5:$B1123=E171))"),"")</f>
        <v/>
      </c>
      <c r="K171" s="48"/>
      <c r="M171" s="205" t="s">
        <v>2016</v>
      </c>
    </row>
    <row r="172" spans="2:13" ht="15.75" customHeight="1" x14ac:dyDescent="0.2">
      <c r="B172" s="202" t="s">
        <v>2017</v>
      </c>
      <c r="C172" s="202" t="s">
        <v>2018</v>
      </c>
      <c r="D172" s="202" t="s">
        <v>2019</v>
      </c>
      <c r="E172" s="71"/>
      <c r="F172" s="71" t="str">
        <f ca="1">IFERROR(__xludf.DUMMYFUNCTION("unique(filter($C$5:$C1123,$B$5:$B1123=E172))"),"")</f>
        <v/>
      </c>
      <c r="G172" s="203" t="str">
        <f ca="1">IFERROR(__xludf.DUMMYFUNCTION("unique(filter($D$5:$D1123,$B$5:$B1123=E172))"),"")</f>
        <v/>
      </c>
      <c r="K172" s="48"/>
      <c r="M172" s="205" t="s">
        <v>2020</v>
      </c>
    </row>
    <row r="173" spans="2:13" ht="15.75" customHeight="1" x14ac:dyDescent="0.2">
      <c r="B173" s="202" t="s">
        <v>2021</v>
      </c>
      <c r="C173" s="202" t="s">
        <v>2022</v>
      </c>
      <c r="D173" s="202" t="s">
        <v>2023</v>
      </c>
      <c r="E173" s="71"/>
      <c r="F173" s="71" t="str">
        <f ca="1">IFERROR(__xludf.DUMMYFUNCTION("unique(filter($C$5:$C1123,$B$5:$B1123=E173))"),"")</f>
        <v/>
      </c>
      <c r="G173" s="203" t="str">
        <f ca="1">IFERROR(__xludf.DUMMYFUNCTION("unique(filter($D$5:$D1123,$B$5:$B1123=E173))"),"")</f>
        <v/>
      </c>
      <c r="K173" s="48"/>
      <c r="M173" s="205" t="s">
        <v>2024</v>
      </c>
    </row>
    <row r="174" spans="2:13" ht="15.75" customHeight="1" x14ac:dyDescent="0.2">
      <c r="B174" s="202" t="s">
        <v>2025</v>
      </c>
      <c r="C174" s="202" t="s">
        <v>2026</v>
      </c>
      <c r="D174" s="202" t="s">
        <v>2027</v>
      </c>
      <c r="E174" s="71"/>
      <c r="F174" s="71" t="str">
        <f ca="1">IFERROR(__xludf.DUMMYFUNCTION("unique(filter($C$5:$C1123,$B$5:$B1123=E174))"),"")</f>
        <v/>
      </c>
      <c r="G174" s="203" t="str">
        <f ca="1">IFERROR(__xludf.DUMMYFUNCTION("unique(filter($D$5:$D1123,$B$5:$B1123=E174))"),"")</f>
        <v/>
      </c>
      <c r="K174" s="48"/>
      <c r="M174" s="205" t="s">
        <v>2028</v>
      </c>
    </row>
    <row r="175" spans="2:13" ht="15.75" customHeight="1" x14ac:dyDescent="0.2">
      <c r="B175" s="202" t="s">
        <v>2029</v>
      </c>
      <c r="C175" s="202" t="s">
        <v>2030</v>
      </c>
      <c r="D175" s="202" t="s">
        <v>2031</v>
      </c>
      <c r="E175" s="71"/>
      <c r="F175" s="71" t="str">
        <f ca="1">IFERROR(__xludf.DUMMYFUNCTION("unique(filter($C$5:$C1123,$B$5:$B1123=E175))"),"")</f>
        <v/>
      </c>
      <c r="G175" s="203" t="str">
        <f ca="1">IFERROR(__xludf.DUMMYFUNCTION("unique(filter($D$5:$D1123,$B$5:$B1123=E175))"),"")</f>
        <v/>
      </c>
      <c r="K175" s="48"/>
      <c r="M175" s="205" t="s">
        <v>2032</v>
      </c>
    </row>
    <row r="176" spans="2:13" ht="15.75" customHeight="1" x14ac:dyDescent="0.2">
      <c r="B176" s="202" t="s">
        <v>2033</v>
      </c>
      <c r="C176" s="202" t="s">
        <v>2034</v>
      </c>
      <c r="D176" s="202" t="s">
        <v>2035</v>
      </c>
      <c r="E176" s="71"/>
      <c r="F176" s="71" t="str">
        <f ca="1">IFERROR(__xludf.DUMMYFUNCTION("unique(filter($C$5:$C1123,$B$5:$B1123=E176))"),"")</f>
        <v/>
      </c>
      <c r="G176" s="203" t="str">
        <f ca="1">IFERROR(__xludf.DUMMYFUNCTION("unique(filter($D$5:$D1123,$B$5:$B1123=E176))"),"")</f>
        <v/>
      </c>
      <c r="K176" s="48"/>
      <c r="M176" s="205" t="s">
        <v>2036</v>
      </c>
    </row>
    <row r="177" spans="2:13" ht="15.75" customHeight="1" x14ac:dyDescent="0.2">
      <c r="B177" s="202" t="s">
        <v>2037</v>
      </c>
      <c r="C177" s="202"/>
      <c r="D177" s="202" t="s">
        <v>2038</v>
      </c>
      <c r="E177" s="71"/>
      <c r="F177" s="71" t="str">
        <f ca="1">IFERROR(__xludf.DUMMYFUNCTION("unique(filter($C$5:$C1123,$B$5:$B1123=E177))"),"")</f>
        <v/>
      </c>
      <c r="G177" s="203" t="str">
        <f ca="1">IFERROR(__xludf.DUMMYFUNCTION("unique(filter($D$5:$D1123,$B$5:$B1123=E177))"),"")</f>
        <v/>
      </c>
      <c r="K177" s="48"/>
      <c r="M177" s="205" t="s">
        <v>2039</v>
      </c>
    </row>
    <row r="178" spans="2:13" ht="15.75" customHeight="1" x14ac:dyDescent="0.2">
      <c r="B178" s="202" t="s">
        <v>2040</v>
      </c>
      <c r="C178" s="202" t="s">
        <v>2041</v>
      </c>
      <c r="D178" s="202" t="s">
        <v>2042</v>
      </c>
      <c r="E178" s="71"/>
      <c r="F178" s="71" t="str">
        <f ca="1">IFERROR(__xludf.DUMMYFUNCTION("unique(filter($C$5:$C1123,$B$5:$B1123=E178))"),"")</f>
        <v/>
      </c>
      <c r="G178" s="203" t="str">
        <f ca="1">IFERROR(__xludf.DUMMYFUNCTION("unique(filter($D$5:$D1123,$B$5:$B1123=E178))"),"")</f>
        <v/>
      </c>
      <c r="K178" s="48"/>
      <c r="M178" s="205" t="s">
        <v>2043</v>
      </c>
    </row>
    <row r="179" spans="2:13" ht="15.75" customHeight="1" x14ac:dyDescent="0.2">
      <c r="B179" s="202" t="s">
        <v>2044</v>
      </c>
      <c r="C179" s="202" t="s">
        <v>2045</v>
      </c>
      <c r="D179" s="202" t="s">
        <v>2046</v>
      </c>
      <c r="E179" s="71"/>
      <c r="F179" s="71" t="str">
        <f ca="1">IFERROR(__xludf.DUMMYFUNCTION("unique(filter($C$5:$C1123,$B$5:$B1123=E179))"),"")</f>
        <v/>
      </c>
      <c r="G179" s="203" t="str">
        <f ca="1">IFERROR(__xludf.DUMMYFUNCTION("unique(filter($D$5:$D1123,$B$5:$B1123=E179))"),"")</f>
        <v/>
      </c>
      <c r="K179" s="48"/>
      <c r="M179" s="205" t="s">
        <v>2047</v>
      </c>
    </row>
    <row r="180" spans="2:13" ht="15.75" customHeight="1" x14ac:dyDescent="0.2">
      <c r="B180" s="202" t="s">
        <v>2048</v>
      </c>
      <c r="C180" s="202" t="s">
        <v>2049</v>
      </c>
      <c r="D180" s="202" t="s">
        <v>2050</v>
      </c>
      <c r="E180" s="71"/>
      <c r="F180" s="71" t="str">
        <f ca="1">IFERROR(__xludf.DUMMYFUNCTION("unique(filter($C$5:$C1123,$B$5:$B1123=E180))"),"")</f>
        <v/>
      </c>
      <c r="G180" s="203" t="str">
        <f ca="1">IFERROR(__xludf.DUMMYFUNCTION("unique(filter($D$5:$D1123,$B$5:$B1123=E180))"),"")</f>
        <v/>
      </c>
      <c r="K180" s="48"/>
      <c r="M180" s="205" t="s">
        <v>2051</v>
      </c>
    </row>
    <row r="181" spans="2:13" ht="15.75" customHeight="1" x14ac:dyDescent="0.2">
      <c r="B181" s="202" t="s">
        <v>2052</v>
      </c>
      <c r="C181" s="202" t="s">
        <v>2053</v>
      </c>
      <c r="D181" s="202" t="s">
        <v>2054</v>
      </c>
      <c r="E181" s="71"/>
      <c r="F181" s="71" t="str">
        <f ca="1">IFERROR(__xludf.DUMMYFUNCTION("unique(filter($C$5:$C1123,$B$5:$B1123=E181))"),"")</f>
        <v/>
      </c>
      <c r="G181" s="203" t="str">
        <f ca="1">IFERROR(__xludf.DUMMYFUNCTION("unique(filter($D$5:$D1123,$B$5:$B1123=E181))"),"")</f>
        <v/>
      </c>
      <c r="K181" s="48"/>
      <c r="M181" s="205" t="s">
        <v>2055</v>
      </c>
    </row>
    <row r="182" spans="2:13" ht="15.75" customHeight="1" x14ac:dyDescent="0.2">
      <c r="B182" s="202" t="s">
        <v>2056</v>
      </c>
      <c r="C182" s="202"/>
      <c r="D182" s="202" t="s">
        <v>2057</v>
      </c>
      <c r="E182" s="71"/>
      <c r="F182" s="71" t="str">
        <f ca="1">IFERROR(__xludf.DUMMYFUNCTION("unique(filter($C$5:$C1123,$B$5:$B1123=E182))"),"")</f>
        <v/>
      </c>
      <c r="G182" s="203" t="str">
        <f ca="1">IFERROR(__xludf.DUMMYFUNCTION("unique(filter($D$5:$D1123,$B$5:$B1123=E182))"),"")</f>
        <v/>
      </c>
      <c r="K182" s="48"/>
      <c r="M182" s="205" t="s">
        <v>2058</v>
      </c>
    </row>
    <row r="183" spans="2:13" ht="15.75" customHeight="1" x14ac:dyDescent="0.2">
      <c r="B183" s="202" t="s">
        <v>2059</v>
      </c>
      <c r="C183" s="202" t="s">
        <v>2060</v>
      </c>
      <c r="D183" s="202" t="s">
        <v>2061</v>
      </c>
      <c r="E183" s="71"/>
      <c r="F183" s="71" t="str">
        <f ca="1">IFERROR(__xludf.DUMMYFUNCTION("unique(filter($C$5:$C1123,$B$5:$B1123=E183))"),"")</f>
        <v/>
      </c>
      <c r="G183" s="203" t="str">
        <f ca="1">IFERROR(__xludf.DUMMYFUNCTION("unique(filter($D$5:$D1123,$B$5:$B1123=E183))"),"")</f>
        <v/>
      </c>
      <c r="K183" s="48"/>
      <c r="M183" s="205" t="s">
        <v>2062</v>
      </c>
    </row>
    <row r="184" spans="2:13" ht="15.75" customHeight="1" x14ac:dyDescent="0.2">
      <c r="B184" s="202" t="s">
        <v>2063</v>
      </c>
      <c r="C184" s="202" t="s">
        <v>2064</v>
      </c>
      <c r="D184" s="202" t="s">
        <v>2065</v>
      </c>
      <c r="E184" s="71"/>
      <c r="F184" s="71" t="str">
        <f ca="1">IFERROR(__xludf.DUMMYFUNCTION("unique(filter($C$5:$C1123,$B$5:$B1123=E184))"),"")</f>
        <v/>
      </c>
      <c r="G184" s="203" t="str">
        <f ca="1">IFERROR(__xludf.DUMMYFUNCTION("unique(filter($D$5:$D1123,$B$5:$B1123=E184))"),"")</f>
        <v/>
      </c>
      <c r="K184" s="48"/>
      <c r="M184" s="205" t="s">
        <v>2066</v>
      </c>
    </row>
    <row r="185" spans="2:13" ht="15.75" customHeight="1" x14ac:dyDescent="0.2">
      <c r="B185" s="202" t="s">
        <v>2067</v>
      </c>
      <c r="C185" s="202" t="s">
        <v>2068</v>
      </c>
      <c r="D185" s="202" t="s">
        <v>2069</v>
      </c>
      <c r="E185" s="71"/>
      <c r="F185" s="71" t="str">
        <f ca="1">IFERROR(__xludf.DUMMYFUNCTION("unique(filter($C$5:$C1123,$B$5:$B1123=E185))"),"")</f>
        <v/>
      </c>
      <c r="G185" s="203" t="str">
        <f ca="1">IFERROR(__xludf.DUMMYFUNCTION("unique(filter($D$5:$D1123,$B$5:$B1123=E185))"),"")</f>
        <v/>
      </c>
      <c r="K185" s="48"/>
      <c r="M185" s="205" t="s">
        <v>2070</v>
      </c>
    </row>
    <row r="186" spans="2:13" ht="15.75" customHeight="1" x14ac:dyDescent="0.2">
      <c r="B186" s="202" t="s">
        <v>2071</v>
      </c>
      <c r="C186" s="202"/>
      <c r="D186" s="202" t="s">
        <v>2072</v>
      </c>
      <c r="E186" s="71"/>
      <c r="F186" s="71" t="str">
        <f ca="1">IFERROR(__xludf.DUMMYFUNCTION("unique(filter($C$5:$C1123,$B$5:$B1123=E186))"),"")</f>
        <v/>
      </c>
      <c r="G186" s="203" t="str">
        <f ca="1">IFERROR(__xludf.DUMMYFUNCTION("unique(filter($D$5:$D1123,$B$5:$B1123=E186))"),"")</f>
        <v/>
      </c>
      <c r="K186" s="48"/>
      <c r="M186" s="205" t="s">
        <v>2073</v>
      </c>
    </row>
    <row r="187" spans="2:13" ht="15.75" customHeight="1" x14ac:dyDescent="0.2">
      <c r="B187" s="202" t="s">
        <v>2074</v>
      </c>
      <c r="C187" s="202"/>
      <c r="D187" s="202" t="s">
        <v>2075</v>
      </c>
      <c r="E187" s="71"/>
      <c r="F187" s="71" t="str">
        <f ca="1">IFERROR(__xludf.DUMMYFUNCTION("unique(filter($C$5:$C1123,$B$5:$B1123=E187))"),"")</f>
        <v/>
      </c>
      <c r="G187" s="203" t="str">
        <f ca="1">IFERROR(__xludf.DUMMYFUNCTION("unique(filter($D$5:$D1123,$B$5:$B1123=E187))"),"")</f>
        <v/>
      </c>
      <c r="K187" s="48"/>
      <c r="M187" s="205" t="s">
        <v>2076</v>
      </c>
    </row>
    <row r="188" spans="2:13" ht="15.75" customHeight="1" x14ac:dyDescent="0.2">
      <c r="B188" s="202" t="s">
        <v>2077</v>
      </c>
      <c r="C188" s="202"/>
      <c r="D188" s="202" t="s">
        <v>2078</v>
      </c>
      <c r="E188" s="71"/>
      <c r="F188" s="71" t="str">
        <f ca="1">IFERROR(__xludf.DUMMYFUNCTION("unique(filter($C$5:$C1123,$B$5:$B1123=E188))"),"")</f>
        <v/>
      </c>
      <c r="G188" s="203" t="str">
        <f ca="1">IFERROR(__xludf.DUMMYFUNCTION("unique(filter($D$5:$D1123,$B$5:$B1123=E188))"),"")</f>
        <v/>
      </c>
      <c r="K188" s="48"/>
      <c r="M188" s="205" t="s">
        <v>2079</v>
      </c>
    </row>
    <row r="189" spans="2:13" ht="15.75" customHeight="1" x14ac:dyDescent="0.2">
      <c r="B189" s="202" t="s">
        <v>2080</v>
      </c>
      <c r="C189" s="202" t="s">
        <v>2081</v>
      </c>
      <c r="D189" s="202" t="s">
        <v>2082</v>
      </c>
      <c r="E189" s="71"/>
      <c r="F189" s="71" t="str">
        <f ca="1">IFERROR(__xludf.DUMMYFUNCTION("unique(filter($C$5:$C1123,$B$5:$B1123=E189))"),"")</f>
        <v/>
      </c>
      <c r="G189" s="203" t="str">
        <f ca="1">IFERROR(__xludf.DUMMYFUNCTION("unique(filter($D$5:$D1123,$B$5:$B1123=E189))"),"")</f>
        <v/>
      </c>
      <c r="K189" s="48"/>
      <c r="M189" s="205" t="s">
        <v>2083</v>
      </c>
    </row>
    <row r="190" spans="2:13" ht="15.75" customHeight="1" x14ac:dyDescent="0.2">
      <c r="B190" s="202" t="s">
        <v>2084</v>
      </c>
      <c r="C190" s="202" t="s">
        <v>2085</v>
      </c>
      <c r="D190" s="202" t="s">
        <v>2086</v>
      </c>
      <c r="E190" s="71"/>
      <c r="F190" s="71" t="str">
        <f ca="1">IFERROR(__xludf.DUMMYFUNCTION("unique(filter($C$5:$C1123,$B$5:$B1123=E190))"),"")</f>
        <v/>
      </c>
      <c r="G190" s="203" t="str">
        <f ca="1">IFERROR(__xludf.DUMMYFUNCTION("unique(filter($D$5:$D1123,$B$5:$B1123=E190))"),"")</f>
        <v/>
      </c>
      <c r="K190" s="48"/>
      <c r="M190" s="205" t="s">
        <v>2087</v>
      </c>
    </row>
    <row r="191" spans="2:13" ht="15.75" customHeight="1" x14ac:dyDescent="0.2">
      <c r="B191" s="202" t="s">
        <v>2088</v>
      </c>
      <c r="C191" s="202" t="s">
        <v>2089</v>
      </c>
      <c r="D191" s="202" t="s">
        <v>2090</v>
      </c>
      <c r="E191" s="71"/>
      <c r="F191" s="71" t="str">
        <f ca="1">IFERROR(__xludf.DUMMYFUNCTION("unique(filter($C$5:$C1123,$B$5:$B1123=E191))"),"")</f>
        <v/>
      </c>
      <c r="G191" s="203" t="str">
        <f ca="1">IFERROR(__xludf.DUMMYFUNCTION("unique(filter($D$5:$D1123,$B$5:$B1123=E191))"),"")</f>
        <v/>
      </c>
      <c r="K191" s="48"/>
      <c r="M191" s="205" t="s">
        <v>2091</v>
      </c>
    </row>
    <row r="192" spans="2:13" ht="15.75" customHeight="1" x14ac:dyDescent="0.2">
      <c r="B192" s="202" t="s">
        <v>2092</v>
      </c>
      <c r="C192" s="202" t="s">
        <v>2093</v>
      </c>
      <c r="D192" s="202" t="s">
        <v>2094</v>
      </c>
      <c r="E192" s="71"/>
      <c r="F192" s="71" t="str">
        <f ca="1">IFERROR(__xludf.DUMMYFUNCTION("unique(filter($C$5:$C1123,$B$5:$B1123=E192))"),"")</f>
        <v/>
      </c>
      <c r="G192" s="203" t="str">
        <f ca="1">IFERROR(__xludf.DUMMYFUNCTION("unique(filter($D$5:$D1123,$B$5:$B1123=E192))"),"")</f>
        <v/>
      </c>
      <c r="K192" s="48"/>
      <c r="M192" s="205" t="s">
        <v>2095</v>
      </c>
    </row>
    <row r="193" spans="2:13" ht="15.75" customHeight="1" x14ac:dyDescent="0.2">
      <c r="B193" s="202" t="s">
        <v>2096</v>
      </c>
      <c r="C193" s="202" t="s">
        <v>2097</v>
      </c>
      <c r="D193" s="202" t="s">
        <v>2098</v>
      </c>
      <c r="E193" s="71"/>
      <c r="F193" s="71" t="str">
        <f ca="1">IFERROR(__xludf.DUMMYFUNCTION("unique(filter($C$5:$C1123,$B$5:$B1123=E193))"),"")</f>
        <v/>
      </c>
      <c r="G193" s="203" t="str">
        <f ca="1">IFERROR(__xludf.DUMMYFUNCTION("unique(filter($D$5:$D1123,$B$5:$B1123=E193))"),"")</f>
        <v/>
      </c>
      <c r="K193" s="48"/>
      <c r="M193" s="205" t="s">
        <v>2099</v>
      </c>
    </row>
    <row r="194" spans="2:13" ht="15.75" customHeight="1" x14ac:dyDescent="0.2">
      <c r="B194" s="202" t="s">
        <v>2100</v>
      </c>
      <c r="C194" s="202" t="s">
        <v>2101</v>
      </c>
      <c r="D194" s="202" t="s">
        <v>2102</v>
      </c>
      <c r="E194" s="71"/>
      <c r="F194" s="71" t="str">
        <f ca="1">IFERROR(__xludf.DUMMYFUNCTION("unique(filter($C$5:$C1123,$B$5:$B1123=E194))"),"")</f>
        <v/>
      </c>
      <c r="G194" s="203" t="str">
        <f ca="1">IFERROR(__xludf.DUMMYFUNCTION("unique(filter($D$5:$D1123,$B$5:$B1123=E194))"),"")</f>
        <v/>
      </c>
      <c r="K194" s="48"/>
      <c r="M194" s="205" t="s">
        <v>2103</v>
      </c>
    </row>
    <row r="195" spans="2:13" ht="15.75" customHeight="1" x14ac:dyDescent="0.2">
      <c r="B195" s="202" t="s">
        <v>2104</v>
      </c>
      <c r="C195" s="202"/>
      <c r="D195" s="202" t="s">
        <v>2105</v>
      </c>
      <c r="E195" s="71"/>
      <c r="F195" s="71" t="str">
        <f ca="1">IFERROR(__xludf.DUMMYFUNCTION("unique(filter($C$5:$C1123,$B$5:$B1123=E195))"),"")</f>
        <v/>
      </c>
      <c r="G195" s="203" t="str">
        <f ca="1">IFERROR(__xludf.DUMMYFUNCTION("unique(filter($D$5:$D1123,$B$5:$B1123=E195))"),"")</f>
        <v/>
      </c>
      <c r="K195" s="48"/>
      <c r="M195" s="205" t="s">
        <v>2106</v>
      </c>
    </row>
    <row r="196" spans="2:13" ht="15.75" customHeight="1" x14ac:dyDescent="0.2">
      <c r="B196" s="202" t="s">
        <v>2107</v>
      </c>
      <c r="C196" s="202" t="s">
        <v>2108</v>
      </c>
      <c r="D196" s="202" t="s">
        <v>2109</v>
      </c>
      <c r="E196" s="71"/>
      <c r="F196" s="71" t="str">
        <f ca="1">IFERROR(__xludf.DUMMYFUNCTION("unique(filter($C$5:$C1123,$B$5:$B1123=E196))"),"")</f>
        <v/>
      </c>
      <c r="G196" s="203" t="str">
        <f ca="1">IFERROR(__xludf.DUMMYFUNCTION("unique(filter($D$5:$D1123,$B$5:$B1123=E196))"),"")</f>
        <v/>
      </c>
      <c r="K196" s="48"/>
      <c r="M196" s="205" t="s">
        <v>2110</v>
      </c>
    </row>
    <row r="197" spans="2:13" ht="15.75" customHeight="1" x14ac:dyDescent="0.2">
      <c r="B197" s="202" t="s">
        <v>2111</v>
      </c>
      <c r="C197" s="202" t="s">
        <v>2112</v>
      </c>
      <c r="D197" s="202" t="s">
        <v>2113</v>
      </c>
      <c r="E197" s="71"/>
      <c r="F197" s="71" t="str">
        <f ca="1">IFERROR(__xludf.DUMMYFUNCTION("unique(filter($C$5:$C1123,$B$5:$B1123=E197))"),"")</f>
        <v/>
      </c>
      <c r="G197" s="203" t="str">
        <f ca="1">IFERROR(__xludf.DUMMYFUNCTION("unique(filter($D$5:$D1123,$B$5:$B1123=E197))"),"")</f>
        <v/>
      </c>
      <c r="K197" s="48"/>
      <c r="M197" s="205" t="s">
        <v>2114</v>
      </c>
    </row>
    <row r="198" spans="2:13" ht="15.75" customHeight="1" x14ac:dyDescent="0.2">
      <c r="B198" s="202" t="s">
        <v>2115</v>
      </c>
      <c r="C198" s="202" t="s">
        <v>2116</v>
      </c>
      <c r="D198" s="202" t="s">
        <v>2117</v>
      </c>
      <c r="E198" s="71"/>
      <c r="F198" s="71" t="str">
        <f ca="1">IFERROR(__xludf.DUMMYFUNCTION("unique(filter($C$5:$C1123,$B$5:$B1123=E198))"),"")</f>
        <v/>
      </c>
      <c r="G198" s="203" t="str">
        <f ca="1">IFERROR(__xludf.DUMMYFUNCTION("unique(filter($D$5:$D1123,$B$5:$B1123=E198))"),"")</f>
        <v/>
      </c>
      <c r="K198" s="48"/>
      <c r="M198" s="205" t="s">
        <v>2118</v>
      </c>
    </row>
    <row r="199" spans="2:13" ht="15.75" customHeight="1" x14ac:dyDescent="0.2">
      <c r="B199" s="202" t="s">
        <v>2119</v>
      </c>
      <c r="C199" s="202" t="s">
        <v>2120</v>
      </c>
      <c r="D199" s="202" t="s">
        <v>2121</v>
      </c>
      <c r="E199" s="71"/>
      <c r="F199" s="71" t="str">
        <f ca="1">IFERROR(__xludf.DUMMYFUNCTION("unique(filter($C$5:$C1123,$B$5:$B1123=E199))"),"")</f>
        <v/>
      </c>
      <c r="G199" s="203" t="str">
        <f ca="1">IFERROR(__xludf.DUMMYFUNCTION("unique(filter($D$5:$D1123,$B$5:$B1123=E199))"),"")</f>
        <v/>
      </c>
      <c r="K199" s="48"/>
      <c r="M199" s="205" t="s">
        <v>2122</v>
      </c>
    </row>
    <row r="200" spans="2:13" ht="15.75" customHeight="1" x14ac:dyDescent="0.2">
      <c r="B200" s="202" t="s">
        <v>2123</v>
      </c>
      <c r="C200" s="202" t="s">
        <v>2124</v>
      </c>
      <c r="D200" s="202" t="s">
        <v>2125</v>
      </c>
      <c r="E200" s="71"/>
      <c r="F200" s="71" t="str">
        <f ca="1">IFERROR(__xludf.DUMMYFUNCTION("unique(filter($C$5:$C1123,$B$5:$B1123=E200))"),"")</f>
        <v/>
      </c>
      <c r="G200" s="203" t="str">
        <f ca="1">IFERROR(__xludf.DUMMYFUNCTION("unique(filter($D$5:$D1123,$B$5:$B1123=E200))"),"")</f>
        <v/>
      </c>
      <c r="K200" s="48"/>
      <c r="M200" s="205" t="s">
        <v>2126</v>
      </c>
    </row>
    <row r="201" spans="2:13" ht="15.75" customHeight="1" x14ac:dyDescent="0.2">
      <c r="B201" s="202" t="s">
        <v>2127</v>
      </c>
      <c r="C201" s="202"/>
      <c r="D201" s="202" t="s">
        <v>2128</v>
      </c>
      <c r="E201" s="71"/>
      <c r="F201" s="71" t="str">
        <f ca="1">IFERROR(__xludf.DUMMYFUNCTION("unique(filter($C$5:$C1123,$B$5:$B1123=E201))"),"")</f>
        <v/>
      </c>
      <c r="G201" s="203" t="str">
        <f ca="1">IFERROR(__xludf.DUMMYFUNCTION("unique(filter($D$5:$D1123,$B$5:$B1123=E201))"),"")</f>
        <v/>
      </c>
      <c r="K201" s="48"/>
      <c r="M201" s="205" t="s">
        <v>2129</v>
      </c>
    </row>
    <row r="202" spans="2:13" ht="15.75" customHeight="1" x14ac:dyDescent="0.2">
      <c r="B202" s="202" t="s">
        <v>2130</v>
      </c>
      <c r="C202" s="202" t="s">
        <v>2131</v>
      </c>
      <c r="D202" s="202" t="s">
        <v>2132</v>
      </c>
      <c r="E202" s="71"/>
      <c r="F202" s="71" t="str">
        <f ca="1">IFERROR(__xludf.DUMMYFUNCTION("unique(filter($C$5:$C1123,$B$5:$B1123=E202))"),"")</f>
        <v/>
      </c>
      <c r="G202" s="203" t="str">
        <f ca="1">IFERROR(__xludf.DUMMYFUNCTION("unique(filter($D$5:$D1123,$B$5:$B1123=E202))"),"")</f>
        <v/>
      </c>
      <c r="K202" s="48"/>
      <c r="M202" s="205" t="s">
        <v>2133</v>
      </c>
    </row>
    <row r="203" spans="2:13" ht="15.75" customHeight="1" x14ac:dyDescent="0.2">
      <c r="B203" s="202" t="s">
        <v>2134</v>
      </c>
      <c r="C203" s="202"/>
      <c r="D203" s="202" t="s">
        <v>2135</v>
      </c>
      <c r="E203" s="71"/>
      <c r="F203" s="71" t="str">
        <f ca="1">IFERROR(__xludf.DUMMYFUNCTION("unique(filter($C$5:$C1123,$B$5:$B1123=E203))"),"")</f>
        <v/>
      </c>
      <c r="G203" s="203" t="str">
        <f ca="1">IFERROR(__xludf.DUMMYFUNCTION("unique(filter($D$5:$D1123,$B$5:$B1123=E203))"),"")</f>
        <v/>
      </c>
      <c r="K203" s="48"/>
      <c r="M203" s="205" t="s">
        <v>2136</v>
      </c>
    </row>
    <row r="204" spans="2:13" ht="15.75" customHeight="1" x14ac:dyDescent="0.2">
      <c r="B204" s="202" t="s">
        <v>2137</v>
      </c>
      <c r="C204" s="202"/>
      <c r="D204" s="202" t="s">
        <v>2138</v>
      </c>
      <c r="E204" s="71"/>
      <c r="F204" s="71" t="str">
        <f ca="1">IFERROR(__xludf.DUMMYFUNCTION("unique(filter($C$5:$C1123,$B$5:$B1123=E204))"),"")</f>
        <v/>
      </c>
      <c r="G204" s="203" t="str">
        <f ca="1">IFERROR(__xludf.DUMMYFUNCTION("unique(filter($D$5:$D1123,$B$5:$B1123=E204))"),"")</f>
        <v/>
      </c>
      <c r="K204" s="48"/>
      <c r="M204" s="205" t="s">
        <v>2139</v>
      </c>
    </row>
    <row r="205" spans="2:13" ht="15.75" customHeight="1" x14ac:dyDescent="0.2">
      <c r="B205" s="202" t="s">
        <v>2140</v>
      </c>
      <c r="C205" s="202" t="s">
        <v>2141</v>
      </c>
      <c r="D205" s="202" t="s">
        <v>2142</v>
      </c>
      <c r="E205" s="71"/>
      <c r="F205" s="71" t="str">
        <f ca="1">IFERROR(__xludf.DUMMYFUNCTION("unique(filter($C$5:$C1123,$B$5:$B1123=E205))"),"")</f>
        <v/>
      </c>
      <c r="G205" s="203" t="str">
        <f ca="1">IFERROR(__xludf.DUMMYFUNCTION("unique(filter($D$5:$D1123,$B$5:$B1123=E205))"),"")</f>
        <v/>
      </c>
      <c r="K205" s="48"/>
      <c r="M205" s="205" t="s">
        <v>2143</v>
      </c>
    </row>
    <row r="206" spans="2:13" ht="15.75" customHeight="1" x14ac:dyDescent="0.2">
      <c r="B206" s="202" t="s">
        <v>2144</v>
      </c>
      <c r="C206" s="202" t="s">
        <v>2145</v>
      </c>
      <c r="D206" s="202" t="s">
        <v>2146</v>
      </c>
      <c r="E206" s="71"/>
      <c r="F206" s="71" t="str">
        <f ca="1">IFERROR(__xludf.DUMMYFUNCTION("unique(filter($C$5:$C1123,$B$5:$B1123=E206))"),"")</f>
        <v/>
      </c>
      <c r="G206" s="203" t="str">
        <f ca="1">IFERROR(__xludf.DUMMYFUNCTION("unique(filter($D$5:$D1123,$B$5:$B1123=E206))"),"")</f>
        <v/>
      </c>
      <c r="K206" s="48"/>
      <c r="M206" s="205" t="s">
        <v>2147</v>
      </c>
    </row>
    <row r="207" spans="2:13" ht="15.75" customHeight="1" x14ac:dyDescent="0.2">
      <c r="B207" s="202" t="s">
        <v>2148</v>
      </c>
      <c r="C207" s="202" t="s">
        <v>2149</v>
      </c>
      <c r="D207" s="202" t="s">
        <v>2150</v>
      </c>
      <c r="E207" s="71"/>
      <c r="F207" s="71" t="str">
        <f ca="1">IFERROR(__xludf.DUMMYFUNCTION("unique(filter($C$5:$C1123,$B$5:$B1123=E207))"),"")</f>
        <v/>
      </c>
      <c r="G207" s="203" t="str">
        <f ca="1">IFERROR(__xludf.DUMMYFUNCTION("unique(filter($D$5:$D1123,$B$5:$B1123=E207))"),"")</f>
        <v/>
      </c>
      <c r="K207" s="48"/>
      <c r="M207" s="205" t="s">
        <v>2151</v>
      </c>
    </row>
    <row r="208" spans="2:13" ht="15.75" customHeight="1" x14ac:dyDescent="0.2">
      <c r="B208" s="202" t="s">
        <v>2152</v>
      </c>
      <c r="C208" s="202" t="s">
        <v>2153</v>
      </c>
      <c r="D208" s="202" t="s">
        <v>2154</v>
      </c>
      <c r="E208" s="71"/>
      <c r="F208" s="71" t="str">
        <f ca="1">IFERROR(__xludf.DUMMYFUNCTION("unique(filter($C$5:$C1123,$B$5:$B1123=E208))"),"")</f>
        <v/>
      </c>
      <c r="G208" s="203" t="str">
        <f ca="1">IFERROR(__xludf.DUMMYFUNCTION("unique(filter($D$5:$D1123,$B$5:$B1123=E208))"),"")</f>
        <v/>
      </c>
      <c r="K208" s="48"/>
      <c r="M208" s="205" t="s">
        <v>2155</v>
      </c>
    </row>
    <row r="209" spans="2:13" ht="15.75" customHeight="1" x14ac:dyDescent="0.2">
      <c r="B209" s="202" t="s">
        <v>2156</v>
      </c>
      <c r="C209" s="202" t="s">
        <v>2157</v>
      </c>
      <c r="D209" s="202" t="s">
        <v>2158</v>
      </c>
      <c r="E209" s="71"/>
      <c r="F209" s="71" t="str">
        <f ca="1">IFERROR(__xludf.DUMMYFUNCTION("unique(filter($C$5:$C1123,$B$5:$B1123=E209))"),"")</f>
        <v/>
      </c>
      <c r="G209" s="203" t="str">
        <f ca="1">IFERROR(__xludf.DUMMYFUNCTION("unique(filter($D$5:$D1123,$B$5:$B1123=E209))"),"")</f>
        <v/>
      </c>
      <c r="K209" s="48"/>
      <c r="M209" s="205" t="s">
        <v>2159</v>
      </c>
    </row>
    <row r="210" spans="2:13" ht="15.75" customHeight="1" x14ac:dyDescent="0.2">
      <c r="B210" s="202" t="s">
        <v>2160</v>
      </c>
      <c r="C210" s="202" t="s">
        <v>2161</v>
      </c>
      <c r="D210" s="202" t="s">
        <v>2162</v>
      </c>
      <c r="E210" s="71"/>
      <c r="F210" s="71" t="str">
        <f ca="1">IFERROR(__xludf.DUMMYFUNCTION("unique(filter($C$5:$C1123,$B$5:$B1123=E210))"),"")</f>
        <v/>
      </c>
      <c r="G210" s="203" t="str">
        <f ca="1">IFERROR(__xludf.DUMMYFUNCTION("unique(filter($D$5:$D1123,$B$5:$B1123=E210))"),"")</f>
        <v/>
      </c>
      <c r="K210" s="48"/>
      <c r="M210" s="205" t="s">
        <v>2163</v>
      </c>
    </row>
    <row r="211" spans="2:13" ht="15.75" customHeight="1" x14ac:dyDescent="0.2">
      <c r="B211" s="202" t="s">
        <v>2164</v>
      </c>
      <c r="C211" s="202"/>
      <c r="D211" s="202" t="s">
        <v>2165</v>
      </c>
      <c r="E211" s="71"/>
      <c r="F211" s="71" t="str">
        <f ca="1">IFERROR(__xludf.DUMMYFUNCTION("unique(filter($C$5:$C1123,$B$5:$B1123=E211))"),"")</f>
        <v/>
      </c>
      <c r="G211" s="203" t="str">
        <f ca="1">IFERROR(__xludf.DUMMYFUNCTION("unique(filter($D$5:$D1123,$B$5:$B1123=E211))"),"")</f>
        <v/>
      </c>
      <c r="K211" s="48"/>
      <c r="M211" s="205" t="s">
        <v>2166</v>
      </c>
    </row>
    <row r="212" spans="2:13" ht="15.75" customHeight="1" x14ac:dyDescent="0.2">
      <c r="B212" s="202" t="s">
        <v>2167</v>
      </c>
      <c r="C212" s="202" t="s">
        <v>2168</v>
      </c>
      <c r="D212" s="202" t="s">
        <v>2169</v>
      </c>
      <c r="E212" s="71"/>
      <c r="F212" s="71" t="str">
        <f ca="1">IFERROR(__xludf.DUMMYFUNCTION("unique(filter($C$5:$C1123,$B$5:$B1123=E212))"),"")</f>
        <v/>
      </c>
      <c r="G212" s="203" t="str">
        <f ca="1">IFERROR(__xludf.DUMMYFUNCTION("unique(filter($D$5:$D1123,$B$5:$B1123=E212))"),"")</f>
        <v/>
      </c>
      <c r="K212" s="48"/>
      <c r="M212" s="205" t="s">
        <v>2170</v>
      </c>
    </row>
    <row r="213" spans="2:13" ht="15.75" customHeight="1" x14ac:dyDescent="0.2">
      <c r="B213" s="202" t="s">
        <v>2171</v>
      </c>
      <c r="C213" s="202"/>
      <c r="D213" s="202" t="s">
        <v>2172</v>
      </c>
      <c r="E213" s="71"/>
      <c r="F213" s="71" t="str">
        <f ca="1">IFERROR(__xludf.DUMMYFUNCTION("unique(filter($C$5:$C1123,$B$5:$B1123=E213))"),"")</f>
        <v/>
      </c>
      <c r="G213" s="203" t="str">
        <f ca="1">IFERROR(__xludf.DUMMYFUNCTION("unique(filter($D$5:$D1123,$B$5:$B1123=E213))"),"")</f>
        <v/>
      </c>
      <c r="K213" s="48"/>
      <c r="M213" s="205" t="s">
        <v>2173</v>
      </c>
    </row>
    <row r="214" spans="2:13" ht="15.75" customHeight="1" x14ac:dyDescent="0.2">
      <c r="B214" s="202" t="s">
        <v>2174</v>
      </c>
      <c r="C214" s="202" t="s">
        <v>2175</v>
      </c>
      <c r="D214" s="202" t="s">
        <v>2176</v>
      </c>
      <c r="E214" s="71"/>
      <c r="F214" s="71" t="str">
        <f ca="1">IFERROR(__xludf.DUMMYFUNCTION("unique(filter($C$5:$C1123,$B$5:$B1123=E214))"),"")</f>
        <v/>
      </c>
      <c r="G214" s="203" t="str">
        <f ca="1">IFERROR(__xludf.DUMMYFUNCTION("unique(filter($D$5:$D1123,$B$5:$B1123=E214))"),"")</f>
        <v/>
      </c>
      <c r="K214" s="48"/>
      <c r="M214" s="205" t="s">
        <v>2177</v>
      </c>
    </row>
    <row r="215" spans="2:13" ht="15.75" customHeight="1" x14ac:dyDescent="0.2">
      <c r="B215" s="202" t="s">
        <v>2178</v>
      </c>
      <c r="C215" s="202" t="s">
        <v>2179</v>
      </c>
      <c r="D215" s="202" t="s">
        <v>2180</v>
      </c>
      <c r="E215" s="71"/>
      <c r="F215" s="71" t="str">
        <f ca="1">IFERROR(__xludf.DUMMYFUNCTION("unique(filter($C$5:$C1123,$B$5:$B1123=E215))"),"")</f>
        <v/>
      </c>
      <c r="G215" s="203" t="str">
        <f ca="1">IFERROR(__xludf.DUMMYFUNCTION("unique(filter($D$5:$D1123,$B$5:$B1123=E215))"),"")</f>
        <v/>
      </c>
      <c r="K215" s="48"/>
      <c r="M215" s="205" t="s">
        <v>2181</v>
      </c>
    </row>
    <row r="216" spans="2:13" ht="15.75" customHeight="1" x14ac:dyDescent="0.2">
      <c r="B216" s="202" t="s">
        <v>2182</v>
      </c>
      <c r="C216" s="202" t="s">
        <v>2183</v>
      </c>
      <c r="D216" s="202" t="s">
        <v>2184</v>
      </c>
      <c r="E216" s="71"/>
      <c r="F216" s="71" t="str">
        <f ca="1">IFERROR(__xludf.DUMMYFUNCTION("unique(filter($C$5:$C1123,$B$5:$B1123=E216))"),"")</f>
        <v/>
      </c>
      <c r="G216" s="203" t="str">
        <f ca="1">IFERROR(__xludf.DUMMYFUNCTION("unique(filter($D$5:$D1123,$B$5:$B1123=E216))"),"")</f>
        <v/>
      </c>
      <c r="K216" s="48"/>
      <c r="M216" s="205" t="s">
        <v>2185</v>
      </c>
    </row>
    <row r="217" spans="2:13" ht="15.75" customHeight="1" x14ac:dyDescent="0.2">
      <c r="B217" s="202" t="s">
        <v>2186</v>
      </c>
      <c r="C217" s="202" t="s">
        <v>2187</v>
      </c>
      <c r="D217" s="202" t="s">
        <v>2188</v>
      </c>
      <c r="E217" s="71"/>
      <c r="F217" s="71" t="str">
        <f ca="1">IFERROR(__xludf.DUMMYFUNCTION("unique(filter($C$5:$C1123,$B$5:$B1123=E217))"),"")</f>
        <v/>
      </c>
      <c r="G217" s="203" t="str">
        <f ca="1">IFERROR(__xludf.DUMMYFUNCTION("unique(filter($D$5:$D1123,$B$5:$B1123=E217))"),"")</f>
        <v/>
      </c>
      <c r="K217" s="48"/>
      <c r="M217" s="205" t="s">
        <v>2189</v>
      </c>
    </row>
    <row r="218" spans="2:13" ht="15.75" customHeight="1" x14ac:dyDescent="0.2">
      <c r="B218" s="202" t="s">
        <v>2190</v>
      </c>
      <c r="C218" s="202" t="s">
        <v>2191</v>
      </c>
      <c r="D218" s="202" t="s">
        <v>2192</v>
      </c>
      <c r="E218" s="71"/>
      <c r="F218" s="71" t="str">
        <f ca="1">IFERROR(__xludf.DUMMYFUNCTION("unique(filter($C$5:$C1123,$B$5:$B1123=E218))"),"")</f>
        <v/>
      </c>
      <c r="G218" s="203" t="str">
        <f ca="1">IFERROR(__xludf.DUMMYFUNCTION("unique(filter($D$5:$D1123,$B$5:$B1123=E218))"),"")</f>
        <v/>
      </c>
      <c r="K218" s="48"/>
      <c r="M218" s="205" t="s">
        <v>2193</v>
      </c>
    </row>
    <row r="219" spans="2:13" ht="15.75" customHeight="1" x14ac:dyDescent="0.2">
      <c r="B219" s="202" t="s">
        <v>2194</v>
      </c>
      <c r="C219" s="202" t="s">
        <v>2195</v>
      </c>
      <c r="D219" s="202" t="s">
        <v>2196</v>
      </c>
      <c r="E219" s="71"/>
      <c r="F219" s="71" t="str">
        <f ca="1">IFERROR(__xludf.DUMMYFUNCTION("unique(filter($C$5:$C1123,$B$5:$B1123=E219))"),"")</f>
        <v/>
      </c>
      <c r="G219" s="203" t="str">
        <f ca="1">IFERROR(__xludf.DUMMYFUNCTION("unique(filter($D$5:$D1123,$B$5:$B1123=E219))"),"")</f>
        <v/>
      </c>
      <c r="K219" s="48"/>
      <c r="M219" s="205" t="s">
        <v>2197</v>
      </c>
    </row>
    <row r="220" spans="2:13" ht="15.75" customHeight="1" x14ac:dyDescent="0.2">
      <c r="B220" s="202" t="s">
        <v>2198</v>
      </c>
      <c r="C220" s="202" t="s">
        <v>2199</v>
      </c>
      <c r="D220" s="202" t="s">
        <v>2200</v>
      </c>
      <c r="E220" s="71"/>
      <c r="F220" s="71" t="str">
        <f ca="1">IFERROR(__xludf.DUMMYFUNCTION("unique(filter($C$5:$C1123,$B$5:$B1123=E220))"),"")</f>
        <v/>
      </c>
      <c r="G220" s="203" t="str">
        <f ca="1">IFERROR(__xludf.DUMMYFUNCTION("unique(filter($D$5:$D1123,$B$5:$B1123=E220))"),"")</f>
        <v/>
      </c>
      <c r="K220" s="48"/>
      <c r="M220" s="205" t="s">
        <v>2201</v>
      </c>
    </row>
    <row r="221" spans="2:13" ht="15.75" customHeight="1" x14ac:dyDescent="0.2">
      <c r="B221" s="202" t="s">
        <v>2202</v>
      </c>
      <c r="C221" s="202" t="s">
        <v>2203</v>
      </c>
      <c r="D221" s="202" t="s">
        <v>2204</v>
      </c>
      <c r="E221" s="71"/>
      <c r="F221" s="71" t="str">
        <f ca="1">IFERROR(__xludf.DUMMYFUNCTION("unique(filter($C$5:$C1123,$B$5:$B1123=E221))"),"")</f>
        <v/>
      </c>
      <c r="G221" s="203" t="str">
        <f ca="1">IFERROR(__xludf.DUMMYFUNCTION("unique(filter($D$5:$D1123,$B$5:$B1123=E221))"),"")</f>
        <v/>
      </c>
      <c r="K221" s="48"/>
      <c r="M221" s="205" t="s">
        <v>2205</v>
      </c>
    </row>
    <row r="222" spans="2:13" ht="15.75" customHeight="1" x14ac:dyDescent="0.2">
      <c r="B222" s="202" t="s">
        <v>2206</v>
      </c>
      <c r="C222" s="202"/>
      <c r="D222" s="202" t="s">
        <v>2207</v>
      </c>
      <c r="E222" s="71"/>
      <c r="F222" s="71" t="str">
        <f ca="1">IFERROR(__xludf.DUMMYFUNCTION("unique(filter($C$5:$C1123,$B$5:$B1123=E222))"),"")</f>
        <v/>
      </c>
      <c r="G222" s="203" t="str">
        <f ca="1">IFERROR(__xludf.DUMMYFUNCTION("unique(filter($D$5:$D1123,$B$5:$B1123=E222))"),"")</f>
        <v/>
      </c>
      <c r="K222" s="48"/>
      <c r="M222" s="205" t="s">
        <v>2208</v>
      </c>
    </row>
    <row r="223" spans="2:13" ht="15.75" customHeight="1" x14ac:dyDescent="0.2">
      <c r="B223" s="202" t="s">
        <v>2209</v>
      </c>
      <c r="C223" s="202" t="s">
        <v>2210</v>
      </c>
      <c r="D223" s="202" t="s">
        <v>2211</v>
      </c>
      <c r="E223" s="71"/>
      <c r="F223" s="71" t="str">
        <f ca="1">IFERROR(__xludf.DUMMYFUNCTION("unique(filter($C$5:$C1123,$B$5:$B1123=E223))"),"")</f>
        <v/>
      </c>
      <c r="G223" s="203" t="str">
        <f ca="1">IFERROR(__xludf.DUMMYFUNCTION("unique(filter($D$5:$D1123,$B$5:$B1123=E223))"),"")</f>
        <v/>
      </c>
      <c r="K223" s="48"/>
      <c r="M223" s="205" t="s">
        <v>2212</v>
      </c>
    </row>
    <row r="224" spans="2:13" ht="15.75" customHeight="1" x14ac:dyDescent="0.2">
      <c r="B224" s="202" t="s">
        <v>2213</v>
      </c>
      <c r="C224" s="202"/>
      <c r="D224" s="202" t="s">
        <v>2214</v>
      </c>
      <c r="E224" s="71"/>
      <c r="F224" s="71" t="str">
        <f ca="1">IFERROR(__xludf.DUMMYFUNCTION("unique(filter($C$5:$C1123,$B$5:$B1123=E224))"),"")</f>
        <v/>
      </c>
      <c r="G224" s="203" t="str">
        <f ca="1">IFERROR(__xludf.DUMMYFUNCTION("unique(filter($D$5:$D1123,$B$5:$B1123=E224))"),"")</f>
        <v/>
      </c>
      <c r="K224" s="48"/>
      <c r="M224" s="205" t="s">
        <v>2215</v>
      </c>
    </row>
    <row r="225" spans="2:13" ht="15.75" customHeight="1" x14ac:dyDescent="0.2">
      <c r="B225" s="202" t="s">
        <v>2216</v>
      </c>
      <c r="C225" s="202"/>
      <c r="D225" s="202" t="s">
        <v>2217</v>
      </c>
      <c r="E225" s="71"/>
      <c r="F225" s="71" t="str">
        <f ca="1">IFERROR(__xludf.DUMMYFUNCTION("unique(filter($C$5:$C1123,$B$5:$B1123=E225))"),"")</f>
        <v/>
      </c>
      <c r="G225" s="203" t="str">
        <f ca="1">IFERROR(__xludf.DUMMYFUNCTION("unique(filter($D$5:$D1123,$B$5:$B1123=E225))"),"")</f>
        <v/>
      </c>
      <c r="K225" s="48"/>
      <c r="M225" s="205" t="s">
        <v>2218</v>
      </c>
    </row>
    <row r="226" spans="2:13" ht="15.75" customHeight="1" x14ac:dyDescent="0.2">
      <c r="B226" s="202" t="s">
        <v>2219</v>
      </c>
      <c r="C226" s="202" t="s">
        <v>2220</v>
      </c>
      <c r="D226" s="202" t="s">
        <v>2221</v>
      </c>
      <c r="E226" s="71"/>
      <c r="F226" s="71" t="str">
        <f ca="1">IFERROR(__xludf.DUMMYFUNCTION("unique(filter($C$5:$C1123,$B$5:$B1123=E226))"),"")</f>
        <v/>
      </c>
      <c r="G226" s="203" t="str">
        <f ca="1">IFERROR(__xludf.DUMMYFUNCTION("unique(filter($D$5:$D1123,$B$5:$B1123=E226))"),"")</f>
        <v/>
      </c>
      <c r="K226" s="48"/>
      <c r="M226" s="205" t="s">
        <v>2222</v>
      </c>
    </row>
    <row r="227" spans="2:13" ht="15.75" customHeight="1" x14ac:dyDescent="0.2">
      <c r="B227" s="202" t="s">
        <v>2223</v>
      </c>
      <c r="C227" s="202" t="s">
        <v>2224</v>
      </c>
      <c r="D227" s="202" t="s">
        <v>2225</v>
      </c>
      <c r="E227" s="71"/>
      <c r="F227" s="71" t="str">
        <f ca="1">IFERROR(__xludf.DUMMYFUNCTION("unique(filter($C$5:$C1123,$B$5:$B1123=E227))"),"")</f>
        <v/>
      </c>
      <c r="G227" s="203" t="str">
        <f ca="1">IFERROR(__xludf.DUMMYFUNCTION("unique(filter($D$5:$D1123,$B$5:$B1123=E227))"),"")</f>
        <v/>
      </c>
      <c r="K227" s="48"/>
      <c r="M227" s="205" t="s">
        <v>2226</v>
      </c>
    </row>
    <row r="228" spans="2:13" ht="15.75" customHeight="1" x14ac:dyDescent="0.2">
      <c r="B228" s="202" t="s">
        <v>2227</v>
      </c>
      <c r="C228" s="202" t="s">
        <v>2228</v>
      </c>
      <c r="D228" s="202" t="s">
        <v>2229</v>
      </c>
      <c r="E228" s="71"/>
      <c r="F228" s="71" t="str">
        <f ca="1">IFERROR(__xludf.DUMMYFUNCTION("unique(filter($C$5:$C1123,$B$5:$B1123=E228))"),"")</f>
        <v/>
      </c>
      <c r="G228" s="203" t="str">
        <f ca="1">IFERROR(__xludf.DUMMYFUNCTION("unique(filter($D$5:$D1123,$B$5:$B1123=E228))"),"")</f>
        <v/>
      </c>
      <c r="K228" s="48"/>
      <c r="M228" s="205" t="s">
        <v>2230</v>
      </c>
    </row>
    <row r="229" spans="2:13" ht="15.75" customHeight="1" x14ac:dyDescent="0.2">
      <c r="B229" s="202" t="s">
        <v>2231</v>
      </c>
      <c r="C229" s="202" t="s">
        <v>2232</v>
      </c>
      <c r="D229" s="202" t="s">
        <v>2233</v>
      </c>
      <c r="E229" s="71"/>
      <c r="F229" s="71" t="str">
        <f ca="1">IFERROR(__xludf.DUMMYFUNCTION("unique(filter($C$5:$C1123,$B$5:$B1123=E229))"),"")</f>
        <v/>
      </c>
      <c r="G229" s="203" t="str">
        <f ca="1">IFERROR(__xludf.DUMMYFUNCTION("unique(filter($D$5:$D1123,$B$5:$B1123=E229))"),"")</f>
        <v/>
      </c>
      <c r="K229" s="48"/>
      <c r="M229" s="205" t="s">
        <v>2234</v>
      </c>
    </row>
    <row r="230" spans="2:13" ht="15.75" customHeight="1" x14ac:dyDescent="0.2">
      <c r="B230" s="202" t="s">
        <v>2235</v>
      </c>
      <c r="C230" s="202"/>
      <c r="D230" s="202" t="s">
        <v>2236</v>
      </c>
      <c r="E230" s="71"/>
      <c r="F230" s="71" t="str">
        <f ca="1">IFERROR(__xludf.DUMMYFUNCTION("unique(filter($C$5:$C1123,$B$5:$B1123=E230))"),"")</f>
        <v/>
      </c>
      <c r="G230" s="203" t="str">
        <f ca="1">IFERROR(__xludf.DUMMYFUNCTION("unique(filter($D$5:$D1123,$B$5:$B1123=E230))"),"")</f>
        <v/>
      </c>
      <c r="K230" s="48"/>
      <c r="M230" s="205" t="s">
        <v>2237</v>
      </c>
    </row>
    <row r="231" spans="2:13" ht="15.75" customHeight="1" x14ac:dyDescent="0.2">
      <c r="B231" s="202" t="s">
        <v>2238</v>
      </c>
      <c r="C231" s="202"/>
      <c r="D231" s="202" t="s">
        <v>2239</v>
      </c>
      <c r="E231" s="71"/>
      <c r="F231" s="71" t="str">
        <f ca="1">IFERROR(__xludf.DUMMYFUNCTION("unique(filter($C$5:$C1123,$B$5:$B1123=E231))"),"")</f>
        <v/>
      </c>
      <c r="G231" s="203" t="str">
        <f ca="1">IFERROR(__xludf.DUMMYFUNCTION("unique(filter($D$5:$D1123,$B$5:$B1123=E231))"),"")</f>
        <v/>
      </c>
      <c r="K231" s="48"/>
      <c r="M231" s="205" t="s">
        <v>2240</v>
      </c>
    </row>
    <row r="232" spans="2:13" ht="15.75" customHeight="1" x14ac:dyDescent="0.2">
      <c r="B232" s="202" t="s">
        <v>2241</v>
      </c>
      <c r="C232" s="202" t="s">
        <v>2242</v>
      </c>
      <c r="D232" s="202" t="s">
        <v>2243</v>
      </c>
      <c r="E232" s="71"/>
      <c r="F232" s="71" t="str">
        <f ca="1">IFERROR(__xludf.DUMMYFUNCTION("unique(filter($C$5:$C1123,$B$5:$B1123=E232))"),"")</f>
        <v/>
      </c>
      <c r="G232" s="203" t="str">
        <f ca="1">IFERROR(__xludf.DUMMYFUNCTION("unique(filter($D$5:$D1123,$B$5:$B1123=E232))"),"")</f>
        <v/>
      </c>
      <c r="K232" s="48"/>
      <c r="M232" s="205" t="s">
        <v>2244</v>
      </c>
    </row>
    <row r="233" spans="2:13" ht="15.75" customHeight="1" x14ac:dyDescent="0.2">
      <c r="B233" s="202" t="s">
        <v>2245</v>
      </c>
      <c r="C233" s="202"/>
      <c r="D233" s="202" t="s">
        <v>2246</v>
      </c>
      <c r="E233" s="71"/>
      <c r="F233" s="71" t="str">
        <f ca="1">IFERROR(__xludf.DUMMYFUNCTION("unique(filter($C$5:$C1123,$B$5:$B1123=E233))"),"")</f>
        <v/>
      </c>
      <c r="G233" s="203" t="str">
        <f ca="1">IFERROR(__xludf.DUMMYFUNCTION("unique(filter($D$5:$D1123,$B$5:$B1123=E233))"),"")</f>
        <v/>
      </c>
      <c r="K233" s="48"/>
      <c r="M233" s="205" t="s">
        <v>2247</v>
      </c>
    </row>
    <row r="234" spans="2:13" ht="15.75" customHeight="1" x14ac:dyDescent="0.2">
      <c r="B234" s="202" t="s">
        <v>2248</v>
      </c>
      <c r="C234" s="202"/>
      <c r="D234" s="202" t="s">
        <v>2249</v>
      </c>
      <c r="E234" s="71"/>
      <c r="F234" s="71" t="str">
        <f ca="1">IFERROR(__xludf.DUMMYFUNCTION("unique(filter($C$5:$C1123,$B$5:$B1123=E234))"),"")</f>
        <v/>
      </c>
      <c r="G234" s="203" t="str">
        <f ca="1">IFERROR(__xludf.DUMMYFUNCTION("unique(filter($D$5:$D1123,$B$5:$B1123=E234))"),"")</f>
        <v/>
      </c>
      <c r="K234" s="48"/>
      <c r="M234" s="205" t="s">
        <v>2250</v>
      </c>
    </row>
    <row r="235" spans="2:13" ht="15.75" customHeight="1" x14ac:dyDescent="0.2">
      <c r="B235" s="202" t="s">
        <v>2251</v>
      </c>
      <c r="C235" s="202" t="s">
        <v>2252</v>
      </c>
      <c r="D235" s="202" t="s">
        <v>2253</v>
      </c>
      <c r="E235" s="71"/>
      <c r="F235" s="71" t="str">
        <f ca="1">IFERROR(__xludf.DUMMYFUNCTION("unique(filter($C$5:$C1123,$B$5:$B1123=E235))"),"")</f>
        <v/>
      </c>
      <c r="G235" s="203" t="str">
        <f ca="1">IFERROR(__xludf.DUMMYFUNCTION("unique(filter($D$5:$D1123,$B$5:$B1123=E235))"),"")</f>
        <v/>
      </c>
      <c r="K235" s="48"/>
      <c r="M235" s="205" t="s">
        <v>2254</v>
      </c>
    </row>
    <row r="236" spans="2:13" ht="15.75" customHeight="1" x14ac:dyDescent="0.2">
      <c r="B236" s="202" t="s">
        <v>2255</v>
      </c>
      <c r="C236" s="202"/>
      <c r="D236" s="202" t="s">
        <v>2256</v>
      </c>
      <c r="E236" s="71"/>
      <c r="F236" s="71" t="str">
        <f ca="1">IFERROR(__xludf.DUMMYFUNCTION("unique(filter($C$5:$C1123,$B$5:$B1123=E236))"),"")</f>
        <v/>
      </c>
      <c r="G236" s="203" t="str">
        <f ca="1">IFERROR(__xludf.DUMMYFUNCTION("unique(filter($D$5:$D1123,$B$5:$B1123=E236))"),"")</f>
        <v/>
      </c>
      <c r="K236" s="48"/>
      <c r="M236" s="205" t="s">
        <v>2257</v>
      </c>
    </row>
    <row r="237" spans="2:13" ht="15.75" customHeight="1" x14ac:dyDescent="0.2">
      <c r="B237" s="202" t="s">
        <v>2258</v>
      </c>
      <c r="C237" s="202" t="s">
        <v>2259</v>
      </c>
      <c r="D237" s="202" t="s">
        <v>2260</v>
      </c>
      <c r="E237" s="71"/>
      <c r="F237" s="71" t="str">
        <f ca="1">IFERROR(__xludf.DUMMYFUNCTION("unique(filter($C$5:$C1123,$B$5:$B1123=E237))"),"")</f>
        <v/>
      </c>
      <c r="G237" s="203" t="str">
        <f ca="1">IFERROR(__xludf.DUMMYFUNCTION("unique(filter($D$5:$D1123,$B$5:$B1123=E237))"),"")</f>
        <v/>
      </c>
      <c r="K237" s="48"/>
      <c r="M237" s="205" t="s">
        <v>2261</v>
      </c>
    </row>
    <row r="238" spans="2:13" ht="15.75" customHeight="1" x14ac:dyDescent="0.2">
      <c r="B238" s="202" t="s">
        <v>2262</v>
      </c>
      <c r="C238" s="202" t="s">
        <v>2263</v>
      </c>
      <c r="D238" s="202" t="s">
        <v>2264</v>
      </c>
      <c r="E238" s="71"/>
      <c r="F238" s="71" t="str">
        <f ca="1">IFERROR(__xludf.DUMMYFUNCTION("unique(filter($C$5:$C1123,$B$5:$B1123=E238))"),"")</f>
        <v/>
      </c>
      <c r="G238" s="203" t="str">
        <f ca="1">IFERROR(__xludf.DUMMYFUNCTION("unique(filter($D$5:$D1123,$B$5:$B1123=E238))"),"")</f>
        <v/>
      </c>
      <c r="K238" s="48"/>
      <c r="M238" s="205" t="s">
        <v>2265</v>
      </c>
    </row>
    <row r="239" spans="2:13" ht="15.75" customHeight="1" x14ac:dyDescent="0.2">
      <c r="B239" s="202" t="s">
        <v>2266</v>
      </c>
      <c r="C239" s="202" t="s">
        <v>2267</v>
      </c>
      <c r="D239" s="202" t="s">
        <v>2268</v>
      </c>
      <c r="E239" s="71"/>
      <c r="F239" s="71" t="str">
        <f ca="1">IFERROR(__xludf.DUMMYFUNCTION("unique(filter($C$5:$C1123,$B$5:$B1123=E239))"),"")</f>
        <v/>
      </c>
      <c r="G239" s="203" t="str">
        <f ca="1">IFERROR(__xludf.DUMMYFUNCTION("unique(filter($D$5:$D1123,$B$5:$B1123=E239))"),"")</f>
        <v/>
      </c>
      <c r="K239" s="48"/>
      <c r="M239" s="205" t="s">
        <v>2269</v>
      </c>
    </row>
    <row r="240" spans="2:13" ht="15.75" customHeight="1" x14ac:dyDescent="0.2">
      <c r="B240" s="202" t="s">
        <v>2270</v>
      </c>
      <c r="C240" s="202" t="s">
        <v>2271</v>
      </c>
      <c r="D240" s="202" t="s">
        <v>2272</v>
      </c>
      <c r="E240" s="71"/>
      <c r="F240" s="71" t="str">
        <f ca="1">IFERROR(__xludf.DUMMYFUNCTION("unique(filter($C$5:$C1123,$B$5:$B1123=E240))"),"")</f>
        <v/>
      </c>
      <c r="G240" s="203" t="str">
        <f ca="1">IFERROR(__xludf.DUMMYFUNCTION("unique(filter($D$5:$D1123,$B$5:$B1123=E240))"),"")</f>
        <v/>
      </c>
      <c r="K240" s="48"/>
      <c r="M240" s="205" t="s">
        <v>2273</v>
      </c>
    </row>
    <row r="241" spans="2:13" ht="15.75" customHeight="1" x14ac:dyDescent="0.2">
      <c r="B241" s="202" t="s">
        <v>2274</v>
      </c>
      <c r="C241" s="202"/>
      <c r="D241" s="202" t="s">
        <v>2275</v>
      </c>
      <c r="E241" s="71"/>
      <c r="F241" s="71" t="str">
        <f ca="1">IFERROR(__xludf.DUMMYFUNCTION("unique(filter($C$5:$C1123,$B$5:$B1123=E241))"),"")</f>
        <v/>
      </c>
      <c r="G241" s="203" t="str">
        <f ca="1">IFERROR(__xludf.DUMMYFUNCTION("unique(filter($D$5:$D1123,$B$5:$B1123=E241))"),"")</f>
        <v/>
      </c>
      <c r="K241" s="48"/>
      <c r="M241" s="205" t="s">
        <v>2276</v>
      </c>
    </row>
    <row r="242" spans="2:13" ht="15.75" customHeight="1" x14ac:dyDescent="0.2">
      <c r="B242" s="202" t="s">
        <v>2277</v>
      </c>
      <c r="C242" s="202"/>
      <c r="D242" s="202" t="s">
        <v>2278</v>
      </c>
      <c r="E242" s="71"/>
      <c r="F242" s="71" t="str">
        <f ca="1">IFERROR(__xludf.DUMMYFUNCTION("unique(filter($C$5:$C1123,$B$5:$B1123=E242))"),"")</f>
        <v/>
      </c>
      <c r="G242" s="203" t="str">
        <f ca="1">IFERROR(__xludf.DUMMYFUNCTION("unique(filter($D$5:$D1123,$B$5:$B1123=E242))"),"")</f>
        <v/>
      </c>
      <c r="K242" s="48"/>
      <c r="M242" s="205" t="s">
        <v>2279</v>
      </c>
    </row>
    <row r="243" spans="2:13" ht="15.75" customHeight="1" x14ac:dyDescent="0.2">
      <c r="B243" s="202" t="s">
        <v>2280</v>
      </c>
      <c r="C243" s="202" t="s">
        <v>2281</v>
      </c>
      <c r="D243" s="202" t="s">
        <v>2282</v>
      </c>
      <c r="E243" s="71"/>
      <c r="F243" s="71" t="str">
        <f ca="1">IFERROR(__xludf.DUMMYFUNCTION("unique(filter($C$5:$C1123,$B$5:$B1123=E243))"),"")</f>
        <v/>
      </c>
      <c r="G243" s="203" t="str">
        <f ca="1">IFERROR(__xludf.DUMMYFUNCTION("unique(filter($D$5:$D1123,$B$5:$B1123=E243))"),"")</f>
        <v/>
      </c>
      <c r="K243" s="48"/>
      <c r="M243" s="205" t="s">
        <v>2283</v>
      </c>
    </row>
    <row r="244" spans="2:13" ht="15.75" customHeight="1" x14ac:dyDescent="0.2">
      <c r="B244" s="202" t="s">
        <v>2284</v>
      </c>
      <c r="C244" s="202"/>
      <c r="D244" s="202" t="s">
        <v>2285</v>
      </c>
      <c r="E244" s="71"/>
      <c r="F244" s="71" t="str">
        <f ca="1">IFERROR(__xludf.DUMMYFUNCTION("unique(filter($C$5:$C1123,$B$5:$B1123=E244))"),"")</f>
        <v/>
      </c>
      <c r="G244" s="203" t="str">
        <f ca="1">IFERROR(__xludf.DUMMYFUNCTION("unique(filter($D$5:$D1123,$B$5:$B1123=E244))"),"")</f>
        <v/>
      </c>
      <c r="K244" s="48"/>
      <c r="M244" s="205" t="s">
        <v>2286</v>
      </c>
    </row>
    <row r="245" spans="2:13" ht="15.75" customHeight="1" x14ac:dyDescent="0.2">
      <c r="B245" s="202" t="s">
        <v>2287</v>
      </c>
      <c r="C245" s="202"/>
      <c r="D245" s="202" t="s">
        <v>2288</v>
      </c>
      <c r="E245" s="71"/>
      <c r="F245" s="71" t="str">
        <f ca="1">IFERROR(__xludf.DUMMYFUNCTION("unique(filter($C$5:$C1123,$B$5:$B1123=E245))"),"")</f>
        <v/>
      </c>
      <c r="G245" s="203" t="str">
        <f ca="1">IFERROR(__xludf.DUMMYFUNCTION("unique(filter($D$5:$D1123,$B$5:$B1123=E245))"),"")</f>
        <v/>
      </c>
      <c r="K245" s="48"/>
      <c r="M245" s="205" t="s">
        <v>2289</v>
      </c>
    </row>
    <row r="246" spans="2:13" ht="15.75" customHeight="1" x14ac:dyDescent="0.2">
      <c r="B246" s="202" t="s">
        <v>2290</v>
      </c>
      <c r="C246" s="202" t="s">
        <v>2291</v>
      </c>
      <c r="D246" s="202" t="s">
        <v>2292</v>
      </c>
      <c r="E246" s="71"/>
      <c r="F246" s="71" t="str">
        <f ca="1">IFERROR(__xludf.DUMMYFUNCTION("unique(filter($C$5:$C1123,$B$5:$B1123=E246))"),"")</f>
        <v/>
      </c>
      <c r="G246" s="203" t="str">
        <f ca="1">IFERROR(__xludf.DUMMYFUNCTION("unique(filter($D$5:$D1123,$B$5:$B1123=E246))"),"")</f>
        <v/>
      </c>
      <c r="K246" s="48"/>
      <c r="M246" s="205" t="s">
        <v>2293</v>
      </c>
    </row>
    <row r="247" spans="2:13" ht="15.75" customHeight="1" x14ac:dyDescent="0.2">
      <c r="B247" s="202" t="s">
        <v>2294</v>
      </c>
      <c r="C247" s="202" t="s">
        <v>2295</v>
      </c>
      <c r="D247" s="202" t="s">
        <v>2296</v>
      </c>
      <c r="E247" s="71"/>
      <c r="F247" s="71" t="str">
        <f ca="1">IFERROR(__xludf.DUMMYFUNCTION("unique(filter($C$5:$C1123,$B$5:$B1123=E247))"),"")</f>
        <v/>
      </c>
      <c r="G247" s="203" t="str">
        <f ca="1">IFERROR(__xludf.DUMMYFUNCTION("unique(filter($D$5:$D1123,$B$5:$B1123=E247))"),"")</f>
        <v/>
      </c>
      <c r="K247" s="48"/>
      <c r="M247" s="205" t="s">
        <v>2297</v>
      </c>
    </row>
    <row r="248" spans="2:13" ht="15.75" customHeight="1" x14ac:dyDescent="0.2">
      <c r="B248" s="202" t="s">
        <v>2298</v>
      </c>
      <c r="C248" s="202" t="s">
        <v>2299</v>
      </c>
      <c r="D248" s="202" t="s">
        <v>2300</v>
      </c>
      <c r="E248" s="71"/>
      <c r="F248" s="71" t="str">
        <f ca="1">IFERROR(__xludf.DUMMYFUNCTION("unique(filter($C$5:$C1123,$B$5:$B1123=E248))"),"")</f>
        <v/>
      </c>
      <c r="G248" s="203" t="str">
        <f ca="1">IFERROR(__xludf.DUMMYFUNCTION("unique(filter($D$5:$D1123,$B$5:$B1123=E248))"),"")</f>
        <v/>
      </c>
      <c r="K248" s="48"/>
      <c r="M248" s="205" t="s">
        <v>2301</v>
      </c>
    </row>
    <row r="249" spans="2:13" ht="15.75" customHeight="1" x14ac:dyDescent="0.2">
      <c r="B249" s="202" t="s">
        <v>2302</v>
      </c>
      <c r="C249" s="202" t="s">
        <v>2303</v>
      </c>
      <c r="D249" s="202" t="s">
        <v>2304</v>
      </c>
      <c r="E249" s="71"/>
      <c r="F249" s="71" t="str">
        <f ca="1">IFERROR(__xludf.DUMMYFUNCTION("unique(filter($C$5:$C1123,$B$5:$B1123=E249))"),"")</f>
        <v/>
      </c>
      <c r="G249" s="203" t="str">
        <f ca="1">IFERROR(__xludf.DUMMYFUNCTION("unique(filter($D$5:$D1123,$B$5:$B1123=E249))"),"")</f>
        <v/>
      </c>
      <c r="K249" s="48"/>
      <c r="M249" s="205" t="s">
        <v>2305</v>
      </c>
    </row>
    <row r="250" spans="2:13" ht="15.75" customHeight="1" x14ac:dyDescent="0.2">
      <c r="B250" s="202" t="s">
        <v>2306</v>
      </c>
      <c r="C250" s="202"/>
      <c r="D250" s="202" t="s">
        <v>2307</v>
      </c>
      <c r="E250" s="71"/>
      <c r="F250" s="71" t="str">
        <f ca="1">IFERROR(__xludf.DUMMYFUNCTION("unique(filter($C$5:$C1123,$B$5:$B1123=E250))"),"")</f>
        <v/>
      </c>
      <c r="G250" s="203" t="str">
        <f ca="1">IFERROR(__xludf.DUMMYFUNCTION("unique(filter($D$5:$D1123,$B$5:$B1123=E250))"),"")</f>
        <v/>
      </c>
      <c r="K250" s="48"/>
      <c r="M250" s="205" t="s">
        <v>2308</v>
      </c>
    </row>
    <row r="251" spans="2:13" ht="15.75" customHeight="1" x14ac:dyDescent="0.2">
      <c r="B251" s="202" t="s">
        <v>2309</v>
      </c>
      <c r="C251" s="202" t="s">
        <v>2310</v>
      </c>
      <c r="D251" s="202" t="s">
        <v>2311</v>
      </c>
      <c r="E251" s="71"/>
      <c r="F251" s="71" t="str">
        <f ca="1">IFERROR(__xludf.DUMMYFUNCTION("unique(filter($C$5:$C1123,$B$5:$B1123=E251))"),"")</f>
        <v/>
      </c>
      <c r="G251" s="203" t="str">
        <f ca="1">IFERROR(__xludf.DUMMYFUNCTION("unique(filter($D$5:$D1123,$B$5:$B1123=E251))"),"")</f>
        <v/>
      </c>
      <c r="K251" s="48"/>
      <c r="M251" s="205" t="s">
        <v>2312</v>
      </c>
    </row>
    <row r="252" spans="2:13" ht="15.75" customHeight="1" x14ac:dyDescent="0.2">
      <c r="B252" s="202" t="s">
        <v>2313</v>
      </c>
      <c r="C252" s="202" t="s">
        <v>2314</v>
      </c>
      <c r="D252" s="202" t="s">
        <v>2315</v>
      </c>
      <c r="E252" s="71"/>
      <c r="F252" s="71" t="str">
        <f ca="1">IFERROR(__xludf.DUMMYFUNCTION("unique(filter($C$5:$C1123,$B$5:$B1123=E252))"),"")</f>
        <v/>
      </c>
      <c r="G252" s="203" t="str">
        <f ca="1">IFERROR(__xludf.DUMMYFUNCTION("unique(filter($D$5:$D1123,$B$5:$B1123=E252))"),"")</f>
        <v/>
      </c>
      <c r="K252" s="48"/>
      <c r="M252" s="205" t="s">
        <v>2316</v>
      </c>
    </row>
    <row r="253" spans="2:13" ht="15.75" customHeight="1" x14ac:dyDescent="0.2">
      <c r="B253" s="202" t="s">
        <v>2317</v>
      </c>
      <c r="C253" s="202" t="s">
        <v>2318</v>
      </c>
      <c r="D253" s="202" t="s">
        <v>2319</v>
      </c>
      <c r="E253" s="71"/>
      <c r="F253" s="71" t="str">
        <f ca="1">IFERROR(__xludf.DUMMYFUNCTION("unique(filter($C$5:$C1123,$B$5:$B1123=E253))"),"")</f>
        <v/>
      </c>
      <c r="G253" s="203" t="str">
        <f ca="1">IFERROR(__xludf.DUMMYFUNCTION("unique(filter($D$5:$D1123,$B$5:$B1123=E253))"),"")</f>
        <v/>
      </c>
      <c r="K253" s="48"/>
      <c r="M253" s="205" t="s">
        <v>2320</v>
      </c>
    </row>
    <row r="254" spans="2:13" ht="15.75" customHeight="1" x14ac:dyDescent="0.2">
      <c r="B254" s="202" t="s">
        <v>2321</v>
      </c>
      <c r="C254" s="202" t="s">
        <v>2322</v>
      </c>
      <c r="D254" s="202" t="s">
        <v>2323</v>
      </c>
      <c r="E254" s="71"/>
      <c r="F254" s="71" t="str">
        <f ca="1">IFERROR(__xludf.DUMMYFUNCTION("unique(filter($C$5:$C1123,$B$5:$B1123=E254))"),"")</f>
        <v/>
      </c>
      <c r="G254" s="203" t="str">
        <f ca="1">IFERROR(__xludf.DUMMYFUNCTION("unique(filter($D$5:$D1123,$B$5:$B1123=E254))"),"")</f>
        <v/>
      </c>
      <c r="K254" s="48"/>
      <c r="M254" s="205" t="s">
        <v>2324</v>
      </c>
    </row>
    <row r="255" spans="2:13" ht="15.75" customHeight="1" x14ac:dyDescent="0.2">
      <c r="B255" s="202" t="s">
        <v>2325</v>
      </c>
      <c r="C255" s="202" t="s">
        <v>2326</v>
      </c>
      <c r="D255" s="202" t="s">
        <v>2327</v>
      </c>
      <c r="E255" s="71"/>
      <c r="F255" s="71" t="str">
        <f ca="1">IFERROR(__xludf.DUMMYFUNCTION("unique(filter($C$5:$C1123,$B$5:$B1123=E255))"),"")</f>
        <v/>
      </c>
      <c r="G255" s="203" t="str">
        <f ca="1">IFERROR(__xludf.DUMMYFUNCTION("unique(filter($D$5:$D1123,$B$5:$B1123=E255))"),"")</f>
        <v/>
      </c>
      <c r="K255" s="48"/>
      <c r="M255" s="205" t="s">
        <v>2328</v>
      </c>
    </row>
    <row r="256" spans="2:13" ht="15.75" customHeight="1" x14ac:dyDescent="0.2">
      <c r="B256" s="202" t="s">
        <v>2329</v>
      </c>
      <c r="C256" s="202" t="s">
        <v>2330</v>
      </c>
      <c r="D256" s="202" t="s">
        <v>2331</v>
      </c>
      <c r="E256" s="71"/>
      <c r="F256" s="71" t="str">
        <f ca="1">IFERROR(__xludf.DUMMYFUNCTION("unique(filter($C$5:$C1123,$B$5:$B1123=E256))"),"")</f>
        <v/>
      </c>
      <c r="G256" s="203" t="str">
        <f ca="1">IFERROR(__xludf.DUMMYFUNCTION("unique(filter($D$5:$D1123,$B$5:$B1123=E256))"),"")</f>
        <v/>
      </c>
      <c r="K256" s="48"/>
      <c r="M256" s="205" t="s">
        <v>2332</v>
      </c>
    </row>
    <row r="257" spans="2:13" ht="15.75" customHeight="1" x14ac:dyDescent="0.2">
      <c r="B257" s="202" t="s">
        <v>2333</v>
      </c>
      <c r="C257" s="202"/>
      <c r="D257" s="202" t="s">
        <v>2334</v>
      </c>
      <c r="E257" s="71"/>
      <c r="F257" s="71" t="str">
        <f ca="1">IFERROR(__xludf.DUMMYFUNCTION("unique(filter($C$5:$C1123,$B$5:$B1123=E257))"),"")</f>
        <v/>
      </c>
      <c r="G257" s="203" t="str">
        <f ca="1">IFERROR(__xludf.DUMMYFUNCTION("unique(filter($D$5:$D1123,$B$5:$B1123=E257))"),"")</f>
        <v/>
      </c>
      <c r="K257" s="48"/>
      <c r="M257" s="205" t="s">
        <v>2335</v>
      </c>
    </row>
    <row r="258" spans="2:13" ht="15.75" customHeight="1" x14ac:dyDescent="0.2">
      <c r="B258" s="202" t="s">
        <v>2336</v>
      </c>
      <c r="C258" s="202" t="s">
        <v>2337</v>
      </c>
      <c r="D258" s="202" t="s">
        <v>2338</v>
      </c>
      <c r="E258" s="71"/>
      <c r="F258" s="71" t="str">
        <f ca="1">IFERROR(__xludf.DUMMYFUNCTION("unique(filter($C$5:$C1123,$B$5:$B1123=E258))"),"")</f>
        <v/>
      </c>
      <c r="G258" s="203" t="str">
        <f ca="1">IFERROR(__xludf.DUMMYFUNCTION("unique(filter($D$5:$D1123,$B$5:$B1123=E258))"),"")</f>
        <v/>
      </c>
      <c r="K258" s="48"/>
      <c r="M258" s="205" t="s">
        <v>2339</v>
      </c>
    </row>
    <row r="259" spans="2:13" ht="15.75" customHeight="1" x14ac:dyDescent="0.2">
      <c r="B259" s="202" t="s">
        <v>2340</v>
      </c>
      <c r="C259" s="202" t="s">
        <v>2341</v>
      </c>
      <c r="D259" s="202" t="s">
        <v>2342</v>
      </c>
      <c r="E259" s="71"/>
      <c r="F259" s="71" t="str">
        <f ca="1">IFERROR(__xludf.DUMMYFUNCTION("unique(filter($C$5:$C1123,$B$5:$B1123=E259))"),"")</f>
        <v/>
      </c>
      <c r="G259" s="203" t="str">
        <f ca="1">IFERROR(__xludf.DUMMYFUNCTION("unique(filter($D$5:$D1123,$B$5:$B1123=E259))"),"")</f>
        <v/>
      </c>
      <c r="K259" s="48"/>
      <c r="M259" s="205" t="s">
        <v>2343</v>
      </c>
    </row>
    <row r="260" spans="2:13" ht="15.75" customHeight="1" x14ac:dyDescent="0.2">
      <c r="B260" s="202" t="s">
        <v>2344</v>
      </c>
      <c r="C260" s="202"/>
      <c r="D260" s="202" t="s">
        <v>2345</v>
      </c>
      <c r="E260" s="71"/>
      <c r="F260" s="71" t="str">
        <f ca="1">IFERROR(__xludf.DUMMYFUNCTION("unique(filter($C$5:$C1123,$B$5:$B1123=E260))"),"")</f>
        <v/>
      </c>
      <c r="G260" s="203" t="str">
        <f ca="1">IFERROR(__xludf.DUMMYFUNCTION("unique(filter($D$5:$D1123,$B$5:$B1123=E260))"),"")</f>
        <v/>
      </c>
      <c r="K260" s="48"/>
      <c r="M260" s="205" t="s">
        <v>2346</v>
      </c>
    </row>
    <row r="261" spans="2:13" ht="15.75" customHeight="1" x14ac:dyDescent="0.2">
      <c r="B261" s="202" t="s">
        <v>2347</v>
      </c>
      <c r="C261" s="202" t="s">
        <v>2348</v>
      </c>
      <c r="D261" s="202" t="s">
        <v>2349</v>
      </c>
      <c r="E261" s="71"/>
      <c r="F261" s="71" t="str">
        <f ca="1">IFERROR(__xludf.DUMMYFUNCTION("unique(filter($C$5:$C1123,$B$5:$B1123=E261))"),"")</f>
        <v/>
      </c>
      <c r="G261" s="203" t="str">
        <f ca="1">IFERROR(__xludf.DUMMYFUNCTION("unique(filter($D$5:$D1123,$B$5:$B1123=E261))"),"")</f>
        <v/>
      </c>
      <c r="K261" s="48"/>
      <c r="M261" s="205" t="s">
        <v>2350</v>
      </c>
    </row>
    <row r="262" spans="2:13" ht="15.75" customHeight="1" x14ac:dyDescent="0.2">
      <c r="B262" s="202" t="s">
        <v>2351</v>
      </c>
      <c r="C262" s="202" t="s">
        <v>2352</v>
      </c>
      <c r="D262" s="202" t="s">
        <v>2353</v>
      </c>
      <c r="E262" s="71"/>
      <c r="F262" s="71" t="str">
        <f ca="1">IFERROR(__xludf.DUMMYFUNCTION("unique(filter($C$5:$C1123,$B$5:$B1123=E262))"),"")</f>
        <v/>
      </c>
      <c r="G262" s="203" t="str">
        <f ca="1">IFERROR(__xludf.DUMMYFUNCTION("unique(filter($D$5:$D1123,$B$5:$B1123=E262))"),"")</f>
        <v/>
      </c>
      <c r="K262" s="48"/>
      <c r="M262" s="205" t="s">
        <v>2354</v>
      </c>
    </row>
    <row r="263" spans="2:13" ht="15.75" customHeight="1" x14ac:dyDescent="0.2">
      <c r="B263" s="202" t="s">
        <v>2355</v>
      </c>
      <c r="C263" s="202" t="s">
        <v>2356</v>
      </c>
      <c r="D263" s="202" t="s">
        <v>2357</v>
      </c>
      <c r="E263" s="71"/>
      <c r="F263" s="71" t="str">
        <f ca="1">IFERROR(__xludf.DUMMYFUNCTION("unique(filter($C$5:$C1123,$B$5:$B1123=E263))"),"")</f>
        <v/>
      </c>
      <c r="G263" s="203" t="str">
        <f ca="1">IFERROR(__xludf.DUMMYFUNCTION("unique(filter($D$5:$D1123,$B$5:$B1123=E263))"),"")</f>
        <v/>
      </c>
      <c r="K263" s="48"/>
      <c r="M263" s="205" t="s">
        <v>2358</v>
      </c>
    </row>
    <row r="264" spans="2:13" ht="15.75" customHeight="1" x14ac:dyDescent="0.2">
      <c r="B264" s="202" t="s">
        <v>2359</v>
      </c>
      <c r="C264" s="202"/>
      <c r="D264" s="202" t="s">
        <v>2360</v>
      </c>
      <c r="E264" s="71"/>
      <c r="F264" s="71" t="str">
        <f ca="1">IFERROR(__xludf.DUMMYFUNCTION("unique(filter($C$5:$C1123,$B$5:$B1123=E264))"),"")</f>
        <v/>
      </c>
      <c r="G264" s="203" t="str">
        <f ca="1">IFERROR(__xludf.DUMMYFUNCTION("unique(filter($D$5:$D1123,$B$5:$B1123=E264))"),"")</f>
        <v/>
      </c>
      <c r="K264" s="48"/>
      <c r="M264" s="205" t="s">
        <v>2361</v>
      </c>
    </row>
    <row r="265" spans="2:13" ht="15.75" customHeight="1" x14ac:dyDescent="0.2">
      <c r="B265" s="202" t="s">
        <v>2362</v>
      </c>
      <c r="C265" s="202"/>
      <c r="D265" s="202" t="s">
        <v>2363</v>
      </c>
      <c r="E265" s="71"/>
      <c r="F265" s="71" t="str">
        <f ca="1">IFERROR(__xludf.DUMMYFUNCTION("unique(filter($C$5:$C1123,$B$5:$B1123=E265))"),"")</f>
        <v/>
      </c>
      <c r="G265" s="203" t="str">
        <f ca="1">IFERROR(__xludf.DUMMYFUNCTION("unique(filter($D$5:$D1123,$B$5:$B1123=E265))"),"")</f>
        <v/>
      </c>
      <c r="K265" s="48"/>
      <c r="M265" s="205" t="s">
        <v>2364</v>
      </c>
    </row>
    <row r="266" spans="2:13" ht="15.75" customHeight="1" x14ac:dyDescent="0.2">
      <c r="B266" s="202" t="s">
        <v>2365</v>
      </c>
      <c r="C266" s="202" t="s">
        <v>2366</v>
      </c>
      <c r="D266" s="202" t="s">
        <v>2367</v>
      </c>
      <c r="E266" s="71"/>
      <c r="F266" s="71" t="str">
        <f ca="1">IFERROR(__xludf.DUMMYFUNCTION("unique(filter($C$5:$C1123,$B$5:$B1123=E266))"),"")</f>
        <v/>
      </c>
      <c r="G266" s="203" t="str">
        <f ca="1">IFERROR(__xludf.DUMMYFUNCTION("unique(filter($D$5:$D1123,$B$5:$B1123=E266))"),"")</f>
        <v/>
      </c>
      <c r="K266" s="48"/>
      <c r="M266" s="205" t="s">
        <v>2368</v>
      </c>
    </row>
    <row r="267" spans="2:13" ht="15.75" customHeight="1" x14ac:dyDescent="0.2">
      <c r="B267" s="202" t="s">
        <v>2369</v>
      </c>
      <c r="C267" s="202"/>
      <c r="D267" s="202" t="s">
        <v>2370</v>
      </c>
      <c r="E267" s="71"/>
      <c r="F267" s="71" t="str">
        <f ca="1">IFERROR(__xludf.DUMMYFUNCTION("unique(filter($C$5:$C1123,$B$5:$B1123=E267))"),"")</f>
        <v/>
      </c>
      <c r="G267" s="203" t="str">
        <f ca="1">IFERROR(__xludf.DUMMYFUNCTION("unique(filter($D$5:$D1123,$B$5:$B1123=E267))"),"")</f>
        <v/>
      </c>
      <c r="K267" s="48"/>
      <c r="M267" s="205" t="s">
        <v>2371</v>
      </c>
    </row>
    <row r="268" spans="2:13" ht="15.75" customHeight="1" x14ac:dyDescent="0.2">
      <c r="B268" s="202" t="s">
        <v>2372</v>
      </c>
      <c r="C268" s="202"/>
      <c r="D268" s="202" t="s">
        <v>2373</v>
      </c>
      <c r="E268" s="71"/>
      <c r="F268" s="71" t="str">
        <f ca="1">IFERROR(__xludf.DUMMYFUNCTION("unique(filter($C$5:$C1123,$B$5:$B1123=E268))"),"")</f>
        <v/>
      </c>
      <c r="G268" s="203" t="str">
        <f ca="1">IFERROR(__xludf.DUMMYFUNCTION("unique(filter($D$5:$D1123,$B$5:$B1123=E268))"),"")</f>
        <v/>
      </c>
      <c r="K268" s="48"/>
      <c r="M268" s="205" t="s">
        <v>2374</v>
      </c>
    </row>
    <row r="269" spans="2:13" ht="15.75" customHeight="1" x14ac:dyDescent="0.2">
      <c r="B269" s="202" t="s">
        <v>2375</v>
      </c>
      <c r="C269" s="202" t="s">
        <v>2376</v>
      </c>
      <c r="D269" s="202" t="s">
        <v>2377</v>
      </c>
      <c r="E269" s="71"/>
      <c r="F269" s="71" t="str">
        <f ca="1">IFERROR(__xludf.DUMMYFUNCTION("unique(filter($C$5:$C1123,$B$5:$B1123=E269))"),"")</f>
        <v/>
      </c>
      <c r="G269" s="203" t="str">
        <f ca="1">IFERROR(__xludf.DUMMYFUNCTION("unique(filter($D$5:$D1123,$B$5:$B1123=E269))"),"")</f>
        <v/>
      </c>
      <c r="K269" s="48"/>
      <c r="M269" s="205" t="s">
        <v>2378</v>
      </c>
    </row>
    <row r="270" spans="2:13" ht="15.75" customHeight="1" x14ac:dyDescent="0.2">
      <c r="B270" s="202" t="s">
        <v>2379</v>
      </c>
      <c r="C270" s="202" t="s">
        <v>2380</v>
      </c>
      <c r="D270" s="202" t="s">
        <v>2381</v>
      </c>
      <c r="E270" s="71"/>
      <c r="F270" s="71" t="str">
        <f ca="1">IFERROR(__xludf.DUMMYFUNCTION("unique(filter($C$5:$C1123,$B$5:$B1123=E270))"),"")</f>
        <v/>
      </c>
      <c r="G270" s="203" t="str">
        <f ca="1">IFERROR(__xludf.DUMMYFUNCTION("unique(filter($D$5:$D1123,$B$5:$B1123=E270))"),"")</f>
        <v/>
      </c>
      <c r="K270" s="48"/>
      <c r="M270" s="205" t="s">
        <v>2382</v>
      </c>
    </row>
    <row r="271" spans="2:13" ht="15.75" customHeight="1" x14ac:dyDescent="0.2">
      <c r="B271" s="202" t="s">
        <v>2383</v>
      </c>
      <c r="C271" s="202" t="s">
        <v>2384</v>
      </c>
      <c r="D271" s="202" t="s">
        <v>2385</v>
      </c>
      <c r="E271" s="71"/>
      <c r="F271" s="71" t="str">
        <f ca="1">IFERROR(__xludf.DUMMYFUNCTION("unique(filter($C$5:$C1123,$B$5:$B1123=E271))"),"")</f>
        <v/>
      </c>
      <c r="G271" s="203" t="str">
        <f ca="1">IFERROR(__xludf.DUMMYFUNCTION("unique(filter($D$5:$D1123,$B$5:$B1123=E271))"),"")</f>
        <v/>
      </c>
      <c r="K271" s="48"/>
      <c r="M271" s="205" t="s">
        <v>2386</v>
      </c>
    </row>
    <row r="272" spans="2:13" ht="15.75" customHeight="1" x14ac:dyDescent="0.2">
      <c r="B272" s="202" t="s">
        <v>2387</v>
      </c>
      <c r="C272" s="202" t="s">
        <v>2183</v>
      </c>
      <c r="D272" s="202" t="s">
        <v>2388</v>
      </c>
      <c r="E272" s="71"/>
      <c r="F272" s="71" t="str">
        <f ca="1">IFERROR(__xludf.DUMMYFUNCTION("unique(filter($C$5:$C1123,$B$5:$B1123=E272))"),"")</f>
        <v/>
      </c>
      <c r="G272" s="203" t="str">
        <f ca="1">IFERROR(__xludf.DUMMYFUNCTION("unique(filter($D$5:$D1123,$B$5:$B1123=E272))"),"")</f>
        <v/>
      </c>
      <c r="K272" s="48"/>
      <c r="M272" s="205" t="s">
        <v>2389</v>
      </c>
    </row>
    <row r="273" spans="2:13" ht="15.75" customHeight="1" x14ac:dyDescent="0.2">
      <c r="B273" s="202" t="s">
        <v>2390</v>
      </c>
      <c r="C273" s="202" t="s">
        <v>2391</v>
      </c>
      <c r="D273" s="202" t="s">
        <v>2392</v>
      </c>
      <c r="E273" s="71"/>
      <c r="F273" s="71" t="str">
        <f ca="1">IFERROR(__xludf.DUMMYFUNCTION("unique(filter($C$5:$C1123,$B$5:$B1123=E273))"),"")</f>
        <v/>
      </c>
      <c r="G273" s="203" t="str">
        <f ca="1">IFERROR(__xludf.DUMMYFUNCTION("unique(filter($D$5:$D1123,$B$5:$B1123=E273))"),"")</f>
        <v/>
      </c>
      <c r="K273" s="48"/>
      <c r="M273" s="205" t="s">
        <v>2393</v>
      </c>
    </row>
    <row r="274" spans="2:13" ht="15.75" customHeight="1" x14ac:dyDescent="0.2">
      <c r="B274" s="202" t="s">
        <v>2394</v>
      </c>
      <c r="C274" s="202" t="s">
        <v>2395</v>
      </c>
      <c r="D274" s="202" t="s">
        <v>2396</v>
      </c>
      <c r="E274" s="71"/>
      <c r="F274" s="71" t="str">
        <f ca="1">IFERROR(__xludf.DUMMYFUNCTION("unique(filter($C$5:$C1123,$B$5:$B1123=E274))"),"")</f>
        <v/>
      </c>
      <c r="G274" s="203" t="str">
        <f ca="1">IFERROR(__xludf.DUMMYFUNCTION("unique(filter($D$5:$D1123,$B$5:$B1123=E274))"),"")</f>
        <v/>
      </c>
      <c r="K274" s="48"/>
      <c r="M274" s="205" t="s">
        <v>2397</v>
      </c>
    </row>
    <row r="275" spans="2:13" ht="15.75" customHeight="1" x14ac:dyDescent="0.2">
      <c r="B275" s="202" t="s">
        <v>2398</v>
      </c>
      <c r="C275" s="202" t="s">
        <v>2399</v>
      </c>
      <c r="D275" s="202" t="s">
        <v>2400</v>
      </c>
      <c r="E275" s="71"/>
      <c r="F275" s="71" t="str">
        <f ca="1">IFERROR(__xludf.DUMMYFUNCTION("unique(filter($C$5:$C1123,$B$5:$B1123=E275))"),"")</f>
        <v/>
      </c>
      <c r="G275" s="203" t="str">
        <f ca="1">IFERROR(__xludf.DUMMYFUNCTION("unique(filter($D$5:$D1123,$B$5:$B1123=E275))"),"")</f>
        <v/>
      </c>
      <c r="K275" s="48"/>
      <c r="M275" s="205" t="s">
        <v>2401</v>
      </c>
    </row>
    <row r="276" spans="2:13" ht="15.75" customHeight="1" x14ac:dyDescent="0.2">
      <c r="B276" s="202" t="s">
        <v>2402</v>
      </c>
      <c r="C276" s="202" t="s">
        <v>2403</v>
      </c>
      <c r="D276" s="202" t="s">
        <v>2404</v>
      </c>
      <c r="E276" s="71"/>
      <c r="F276" s="71" t="str">
        <f ca="1">IFERROR(__xludf.DUMMYFUNCTION("unique(filter($C$5:$C1123,$B$5:$B1123=E276))"),"")</f>
        <v/>
      </c>
      <c r="G276" s="203" t="str">
        <f ca="1">IFERROR(__xludf.DUMMYFUNCTION("unique(filter($D$5:$D1123,$B$5:$B1123=E276))"),"")</f>
        <v/>
      </c>
      <c r="K276" s="48"/>
      <c r="M276" s="205" t="s">
        <v>2405</v>
      </c>
    </row>
    <row r="277" spans="2:13" ht="15.75" customHeight="1" x14ac:dyDescent="0.2">
      <c r="B277" s="202" t="s">
        <v>2406</v>
      </c>
      <c r="C277" s="202" t="s">
        <v>2406</v>
      </c>
      <c r="D277" s="202" t="s">
        <v>2407</v>
      </c>
      <c r="E277" s="71"/>
      <c r="F277" s="71" t="str">
        <f ca="1">IFERROR(__xludf.DUMMYFUNCTION("unique(filter($C$5:$C1123,$B$5:$B1123=E277))"),"")</f>
        <v/>
      </c>
      <c r="G277" s="203" t="str">
        <f ca="1">IFERROR(__xludf.DUMMYFUNCTION("unique(filter($D$5:$D1123,$B$5:$B1123=E277))"),"")</f>
        <v/>
      </c>
      <c r="K277" s="48"/>
      <c r="M277" s="205" t="s">
        <v>2408</v>
      </c>
    </row>
    <row r="278" spans="2:13" ht="15.75" customHeight="1" x14ac:dyDescent="0.2">
      <c r="B278" s="202" t="s">
        <v>2409</v>
      </c>
      <c r="C278" s="202" t="s">
        <v>2410</v>
      </c>
      <c r="D278" s="202" t="s">
        <v>2411</v>
      </c>
      <c r="E278" s="71"/>
      <c r="F278" s="71" t="str">
        <f ca="1">IFERROR(__xludf.DUMMYFUNCTION("unique(filter($C$5:$C1123,$B$5:$B1123=E278))"),"")</f>
        <v/>
      </c>
      <c r="G278" s="203" t="str">
        <f ca="1">IFERROR(__xludf.DUMMYFUNCTION("unique(filter($D$5:$D1123,$B$5:$B1123=E278))"),"")</f>
        <v/>
      </c>
      <c r="K278" s="48"/>
      <c r="M278" s="205" t="s">
        <v>2412</v>
      </c>
    </row>
    <row r="279" spans="2:13" ht="15.75" customHeight="1" x14ac:dyDescent="0.2">
      <c r="B279" s="202" t="s">
        <v>2413</v>
      </c>
      <c r="C279" s="202" t="s">
        <v>2414</v>
      </c>
      <c r="D279" s="202" t="s">
        <v>2415</v>
      </c>
      <c r="E279" s="71"/>
      <c r="F279" s="71" t="str">
        <f ca="1">IFERROR(__xludf.DUMMYFUNCTION("unique(filter($C$5:$C1123,$B$5:$B1123=E279))"),"")</f>
        <v/>
      </c>
      <c r="G279" s="203" t="str">
        <f ca="1">IFERROR(__xludf.DUMMYFUNCTION("unique(filter($D$5:$D1123,$B$5:$B1123=E279))"),"")</f>
        <v/>
      </c>
      <c r="K279" s="48"/>
      <c r="M279" s="205" t="s">
        <v>2416</v>
      </c>
    </row>
    <row r="280" spans="2:13" ht="15.75" customHeight="1" x14ac:dyDescent="0.2">
      <c r="B280" s="202" t="s">
        <v>2417</v>
      </c>
      <c r="C280" s="202" t="s">
        <v>2418</v>
      </c>
      <c r="D280" s="202" t="s">
        <v>2419</v>
      </c>
      <c r="E280" s="71"/>
      <c r="F280" s="71" t="str">
        <f ca="1">IFERROR(__xludf.DUMMYFUNCTION("unique(filter($C$5:$C1123,$B$5:$B1123=E280))"),"")</f>
        <v/>
      </c>
      <c r="G280" s="203" t="str">
        <f ca="1">IFERROR(__xludf.DUMMYFUNCTION("unique(filter($D$5:$D1123,$B$5:$B1123=E280))"),"")</f>
        <v/>
      </c>
      <c r="K280" s="48"/>
      <c r="M280" s="205" t="s">
        <v>2420</v>
      </c>
    </row>
    <row r="281" spans="2:13" ht="15.75" customHeight="1" x14ac:dyDescent="0.2">
      <c r="B281" s="202" t="s">
        <v>2421</v>
      </c>
      <c r="C281" s="202"/>
      <c r="D281" s="202" t="s">
        <v>2422</v>
      </c>
      <c r="E281" s="71"/>
      <c r="F281" s="71" t="str">
        <f ca="1">IFERROR(__xludf.DUMMYFUNCTION("unique(filter($C$5:$C1123,$B$5:$B1123=E281))"),"")</f>
        <v/>
      </c>
      <c r="G281" s="203" t="str">
        <f ca="1">IFERROR(__xludf.DUMMYFUNCTION("unique(filter($D$5:$D1123,$B$5:$B1123=E281))"),"")</f>
        <v/>
      </c>
      <c r="K281" s="48"/>
      <c r="M281" s="205" t="s">
        <v>2423</v>
      </c>
    </row>
    <row r="282" spans="2:13" ht="15.75" customHeight="1" x14ac:dyDescent="0.2">
      <c r="B282" s="202" t="s">
        <v>2424</v>
      </c>
      <c r="C282" s="202" t="s">
        <v>2425</v>
      </c>
      <c r="D282" s="202" t="s">
        <v>2426</v>
      </c>
      <c r="E282" s="71"/>
      <c r="F282" s="71" t="str">
        <f ca="1">IFERROR(__xludf.DUMMYFUNCTION("unique(filter($C$5:$C1123,$B$5:$B1123=E282))"),"")</f>
        <v/>
      </c>
      <c r="G282" s="203" t="str">
        <f ca="1">IFERROR(__xludf.DUMMYFUNCTION("unique(filter($D$5:$D1123,$B$5:$B1123=E282))"),"")</f>
        <v/>
      </c>
      <c r="K282" s="48"/>
      <c r="M282" s="205" t="s">
        <v>2427</v>
      </c>
    </row>
    <row r="283" spans="2:13" ht="15.75" customHeight="1" x14ac:dyDescent="0.2">
      <c r="B283" s="202" t="s">
        <v>2428</v>
      </c>
      <c r="C283" s="202"/>
      <c r="D283" s="202" t="s">
        <v>2429</v>
      </c>
      <c r="E283" s="71"/>
      <c r="F283" s="71" t="str">
        <f ca="1">IFERROR(__xludf.DUMMYFUNCTION("unique(filter($C$5:$C1123,$B$5:$B1123=E283))"),"")</f>
        <v/>
      </c>
      <c r="G283" s="203" t="str">
        <f ca="1">IFERROR(__xludf.DUMMYFUNCTION("unique(filter($D$5:$D1123,$B$5:$B1123=E283))"),"")</f>
        <v/>
      </c>
      <c r="K283" s="48"/>
      <c r="M283" s="205" t="s">
        <v>2430</v>
      </c>
    </row>
    <row r="284" spans="2:13" ht="15.75" customHeight="1" x14ac:dyDescent="0.2">
      <c r="B284" s="202" t="s">
        <v>2431</v>
      </c>
      <c r="C284" s="202" t="s">
        <v>2432</v>
      </c>
      <c r="D284" s="202" t="s">
        <v>2433</v>
      </c>
      <c r="E284" s="71"/>
      <c r="F284" s="71" t="str">
        <f ca="1">IFERROR(__xludf.DUMMYFUNCTION("unique(filter($C$5:$C1123,$B$5:$B1123=E284))"),"")</f>
        <v/>
      </c>
      <c r="G284" s="203" t="str">
        <f ca="1">IFERROR(__xludf.DUMMYFUNCTION("unique(filter($D$5:$D1123,$B$5:$B1123=E284))"),"")</f>
        <v/>
      </c>
      <c r="K284" s="48"/>
      <c r="M284" s="205" t="s">
        <v>2434</v>
      </c>
    </row>
    <row r="285" spans="2:13" ht="15.75" customHeight="1" x14ac:dyDescent="0.2">
      <c r="B285" s="202" t="s">
        <v>2435</v>
      </c>
      <c r="C285" s="202"/>
      <c r="D285" s="202" t="s">
        <v>2436</v>
      </c>
      <c r="E285" s="71"/>
      <c r="F285" s="71" t="str">
        <f ca="1">IFERROR(__xludf.DUMMYFUNCTION("unique(filter($C$5:$C1123,$B$5:$B1123=E285))"),"")</f>
        <v/>
      </c>
      <c r="G285" s="203" t="str">
        <f ca="1">IFERROR(__xludf.DUMMYFUNCTION("unique(filter($D$5:$D1123,$B$5:$B1123=E285))"),"")</f>
        <v/>
      </c>
      <c r="K285" s="48"/>
      <c r="M285" s="205" t="s">
        <v>2437</v>
      </c>
    </row>
    <row r="286" spans="2:13" ht="15.75" customHeight="1" x14ac:dyDescent="0.2">
      <c r="B286" s="202" t="s">
        <v>2438</v>
      </c>
      <c r="C286" s="202" t="s">
        <v>2439</v>
      </c>
      <c r="D286" s="202" t="s">
        <v>2440</v>
      </c>
      <c r="E286" s="71"/>
      <c r="F286" s="71" t="str">
        <f ca="1">IFERROR(__xludf.DUMMYFUNCTION("unique(filter($C$5:$C1123,$B$5:$B1123=E286))"),"")</f>
        <v/>
      </c>
      <c r="G286" s="203" t="str">
        <f ca="1">IFERROR(__xludf.DUMMYFUNCTION("unique(filter($D$5:$D1123,$B$5:$B1123=E286))"),"")</f>
        <v/>
      </c>
      <c r="K286" s="48"/>
      <c r="M286" s="205" t="s">
        <v>2441</v>
      </c>
    </row>
    <row r="287" spans="2:13" ht="15.75" customHeight="1" x14ac:dyDescent="0.2">
      <c r="B287" s="202" t="s">
        <v>2442</v>
      </c>
      <c r="C287" s="202"/>
      <c r="D287" s="202" t="s">
        <v>2443</v>
      </c>
      <c r="E287" s="71"/>
      <c r="F287" s="71" t="str">
        <f ca="1">IFERROR(__xludf.DUMMYFUNCTION("unique(filter($C$5:$C1123,$B$5:$B1123=E287))"),"")</f>
        <v/>
      </c>
      <c r="G287" s="203" t="str">
        <f ca="1">IFERROR(__xludf.DUMMYFUNCTION("unique(filter($D$5:$D1123,$B$5:$B1123=E287))"),"")</f>
        <v/>
      </c>
      <c r="K287" s="48"/>
      <c r="M287" s="205" t="s">
        <v>2444</v>
      </c>
    </row>
    <row r="288" spans="2:13" ht="15.75" customHeight="1" x14ac:dyDescent="0.2">
      <c r="B288" s="202" t="s">
        <v>2445</v>
      </c>
      <c r="C288" s="202" t="s">
        <v>2446</v>
      </c>
      <c r="D288" s="202" t="s">
        <v>2447</v>
      </c>
      <c r="E288" s="71"/>
      <c r="F288" s="71" t="str">
        <f ca="1">IFERROR(__xludf.DUMMYFUNCTION("unique(filter($C$5:$C1123,$B$5:$B1123=E288))"),"")</f>
        <v/>
      </c>
      <c r="G288" s="203" t="str">
        <f ca="1">IFERROR(__xludf.DUMMYFUNCTION("unique(filter($D$5:$D1123,$B$5:$B1123=E288))"),"")</f>
        <v/>
      </c>
      <c r="K288" s="48"/>
      <c r="M288" s="205" t="s">
        <v>2448</v>
      </c>
    </row>
    <row r="289" spans="1:13" ht="15.75" customHeight="1" x14ac:dyDescent="0.2">
      <c r="B289" s="202" t="s">
        <v>2449</v>
      </c>
      <c r="C289" s="202" t="s">
        <v>2450</v>
      </c>
      <c r="D289" s="202" t="s">
        <v>2451</v>
      </c>
      <c r="E289" s="71"/>
      <c r="F289" s="71" t="str">
        <f ca="1">IFERROR(__xludf.DUMMYFUNCTION("unique(filter($C$5:$C1123,$B$5:$B1123=E289))"),"")</f>
        <v/>
      </c>
      <c r="G289" s="203" t="str">
        <f ca="1">IFERROR(__xludf.DUMMYFUNCTION("unique(filter($D$5:$D1123,$B$5:$B1123=E289))"),"")</f>
        <v/>
      </c>
      <c r="K289" s="48"/>
      <c r="M289" s="205" t="s">
        <v>2452</v>
      </c>
    </row>
    <row r="290" spans="1:13" ht="15.75" customHeight="1" x14ac:dyDescent="0.2">
      <c r="B290" s="202" t="s">
        <v>2453</v>
      </c>
      <c r="C290" s="202"/>
      <c r="D290" s="202" t="s">
        <v>2454</v>
      </c>
      <c r="E290" s="71"/>
      <c r="F290" s="71" t="str">
        <f ca="1">IFERROR(__xludf.DUMMYFUNCTION("unique(filter($C$5:$C1123,$B$5:$B1123=E290))"),"")</f>
        <v/>
      </c>
      <c r="G290" s="203" t="str">
        <f ca="1">IFERROR(__xludf.DUMMYFUNCTION("unique(filter($D$5:$D1123,$B$5:$B1123=E290))"),"")</f>
        <v/>
      </c>
      <c r="K290" s="48"/>
      <c r="M290" s="205" t="s">
        <v>2455</v>
      </c>
    </row>
    <row r="291" spans="1:13" ht="15.75" customHeight="1" x14ac:dyDescent="0.2">
      <c r="B291" s="202" t="s">
        <v>2456</v>
      </c>
      <c r="C291" s="202"/>
      <c r="D291" s="202" t="s">
        <v>2457</v>
      </c>
      <c r="E291" s="71"/>
      <c r="F291" s="71" t="str">
        <f ca="1">IFERROR(__xludf.DUMMYFUNCTION("unique(filter($C$5:$C1123,$B$5:$B1123=E291))"),"")</f>
        <v/>
      </c>
      <c r="G291" s="203" t="str">
        <f ca="1">IFERROR(__xludf.DUMMYFUNCTION("unique(filter($D$5:$D1123,$B$5:$B1123=E291))"),"")</f>
        <v/>
      </c>
      <c r="K291" s="48"/>
      <c r="M291" s="205" t="s">
        <v>2458</v>
      </c>
    </row>
    <row r="292" spans="1:13" ht="15.75" customHeight="1" x14ac:dyDescent="0.2">
      <c r="B292" s="202" t="s">
        <v>2459</v>
      </c>
      <c r="C292" s="202"/>
      <c r="D292" s="202" t="s">
        <v>2460</v>
      </c>
      <c r="E292" s="71"/>
      <c r="F292" s="71" t="str">
        <f ca="1">IFERROR(__xludf.DUMMYFUNCTION("unique(filter($C$5:$C1123,$B$5:$B1123=E292))"),"")</f>
        <v/>
      </c>
      <c r="G292" s="203" t="str">
        <f ca="1">IFERROR(__xludf.DUMMYFUNCTION("unique(filter($D$5:$D1123,$B$5:$B1123=E292))"),"")</f>
        <v/>
      </c>
      <c r="K292" s="48"/>
      <c r="M292" s="205" t="s">
        <v>2461</v>
      </c>
    </row>
    <row r="293" spans="1:13" ht="15.75" customHeight="1" x14ac:dyDescent="0.2">
      <c r="B293" s="202" t="s">
        <v>2462</v>
      </c>
      <c r="C293" s="202"/>
      <c r="D293" s="202" t="s">
        <v>2463</v>
      </c>
      <c r="E293" s="71"/>
      <c r="F293" s="71" t="str">
        <f ca="1">IFERROR(__xludf.DUMMYFUNCTION("unique(filter($C$5:$C1123,$B$5:$B1123=E293))"),"")</f>
        <v/>
      </c>
      <c r="G293" s="203" t="str">
        <f ca="1">IFERROR(__xludf.DUMMYFUNCTION("unique(filter($D$5:$D1123,$B$5:$B1123=E293))"),"")</f>
        <v/>
      </c>
      <c r="K293" s="48"/>
      <c r="M293" s="205" t="s">
        <v>2464</v>
      </c>
    </row>
    <row r="294" spans="1:13" ht="15.75" customHeight="1" x14ac:dyDescent="0.2">
      <c r="B294" s="202" t="s">
        <v>2465</v>
      </c>
      <c r="C294" s="202"/>
      <c r="D294" s="202" t="s">
        <v>2466</v>
      </c>
      <c r="E294" s="71"/>
      <c r="F294" s="71" t="str">
        <f ca="1">IFERROR(__xludf.DUMMYFUNCTION("unique(filter($C$5:$C1123,$B$5:$B1123=E294))"),"")</f>
        <v/>
      </c>
      <c r="G294" s="203" t="str">
        <f ca="1">IFERROR(__xludf.DUMMYFUNCTION("unique(filter($D$5:$D1123,$B$5:$B1123=E294))"),"")</f>
        <v/>
      </c>
      <c r="K294" s="48"/>
      <c r="M294" s="205" t="s">
        <v>2467</v>
      </c>
    </row>
    <row r="295" spans="1:13" ht="15.75" customHeight="1" x14ac:dyDescent="0.2">
      <c r="B295" s="202" t="s">
        <v>2468</v>
      </c>
      <c r="C295" s="202"/>
      <c r="D295" s="202" t="s">
        <v>2469</v>
      </c>
      <c r="E295" s="71"/>
      <c r="F295" s="71" t="str">
        <f ca="1">IFERROR(__xludf.DUMMYFUNCTION("unique(filter($C$5:$C1123,$B$5:$B1123=E295))"),"")</f>
        <v/>
      </c>
      <c r="G295" s="203" t="str">
        <f ca="1">IFERROR(__xludf.DUMMYFUNCTION("unique(filter($D$5:$D1123,$B$5:$B1123=E295))"),"")</f>
        <v/>
      </c>
      <c r="K295" s="48"/>
      <c r="M295" s="205" t="s">
        <v>2470</v>
      </c>
    </row>
    <row r="296" spans="1:13" ht="15.75" customHeight="1" x14ac:dyDescent="0.2">
      <c r="B296" s="202" t="s">
        <v>2471</v>
      </c>
      <c r="C296" s="202"/>
      <c r="D296" s="202" t="s">
        <v>2472</v>
      </c>
      <c r="E296" s="71"/>
      <c r="F296" s="71" t="str">
        <f ca="1">IFERROR(__xludf.DUMMYFUNCTION("unique(filter($C$5:$C1123,$B$5:$B1123=E296))"),"")</f>
        <v/>
      </c>
      <c r="G296" s="203" t="str">
        <f ca="1">IFERROR(__xludf.DUMMYFUNCTION("unique(filter($D$5:$D1123,$B$5:$B1123=E296))"),"")</f>
        <v/>
      </c>
      <c r="K296" s="48"/>
      <c r="M296" s="205" t="s">
        <v>2473</v>
      </c>
    </row>
    <row r="297" spans="1:13" ht="15.75" customHeight="1" x14ac:dyDescent="0.2">
      <c r="B297" s="202" t="s">
        <v>2474</v>
      </c>
      <c r="C297" s="202" t="s">
        <v>2475</v>
      </c>
      <c r="D297" s="202" t="s">
        <v>2476</v>
      </c>
      <c r="E297" s="71"/>
      <c r="F297" s="71" t="str">
        <f ca="1">IFERROR(__xludf.DUMMYFUNCTION("unique(filter($C$5:$C1123,$B$5:$B1123=E297))"),"")</f>
        <v/>
      </c>
      <c r="G297" s="203" t="str">
        <f ca="1">IFERROR(__xludf.DUMMYFUNCTION("unique(filter($D$5:$D1123,$B$5:$B1123=E297))"),"")</f>
        <v/>
      </c>
      <c r="K297" s="48"/>
      <c r="M297" s="205" t="s">
        <v>2477</v>
      </c>
    </row>
    <row r="298" spans="1:13" ht="15.75" customHeight="1" x14ac:dyDescent="0.2">
      <c r="B298" s="202" t="s">
        <v>2478</v>
      </c>
      <c r="C298" s="202" t="s">
        <v>2479</v>
      </c>
      <c r="D298" s="202" t="s">
        <v>2480</v>
      </c>
      <c r="E298" s="71"/>
      <c r="F298" s="71" t="str">
        <f ca="1">IFERROR(__xludf.DUMMYFUNCTION("unique(filter($C$5:$C1123,$B$5:$B1123=E298))"),"")</f>
        <v/>
      </c>
      <c r="G298" s="203" t="str">
        <f ca="1">IFERROR(__xludf.DUMMYFUNCTION("unique(filter($D$5:$D1123,$B$5:$B1123=E298))"),"")</f>
        <v/>
      </c>
      <c r="K298" s="48"/>
      <c r="M298" s="205" t="s">
        <v>2481</v>
      </c>
    </row>
    <row r="299" spans="1:13" ht="15.75" customHeight="1" x14ac:dyDescent="0.2">
      <c r="B299" s="202" t="s">
        <v>2482</v>
      </c>
      <c r="C299" s="208"/>
      <c r="D299" s="218" t="s">
        <v>2483</v>
      </c>
      <c r="E299" s="71"/>
      <c r="F299" s="71" t="str">
        <f ca="1">IFERROR(__xludf.DUMMYFUNCTION("unique(filter($C$5:$C1123,$B$5:$B1123=E299))"),"")</f>
        <v/>
      </c>
      <c r="G299" s="203" t="str">
        <f ca="1">IFERROR(__xludf.DUMMYFUNCTION("unique(filter($D$5:$D1123,$B$5:$B1123=E299))"),"")</f>
        <v/>
      </c>
      <c r="K299" s="48"/>
      <c r="M299" s="205" t="s">
        <v>2484</v>
      </c>
    </row>
    <row r="300" spans="1:13" ht="15.75" customHeight="1" x14ac:dyDescent="0.2">
      <c r="B300" s="202" t="s">
        <v>2485</v>
      </c>
      <c r="C300" s="208"/>
      <c r="D300" s="218" t="s">
        <v>2486</v>
      </c>
      <c r="E300" s="71"/>
      <c r="F300" s="71" t="str">
        <f ca="1">IFERROR(__xludf.DUMMYFUNCTION("unique(filter($C$5:$C1123,$B$5:$B1123=E300))"),"")</f>
        <v/>
      </c>
      <c r="G300" s="203" t="str">
        <f ca="1">IFERROR(__xludf.DUMMYFUNCTION("unique(filter($D$5:$D1123,$B$5:$B1123=E300))"),"")</f>
        <v/>
      </c>
      <c r="K300" s="48"/>
      <c r="M300" s="205" t="s">
        <v>2487</v>
      </c>
    </row>
    <row r="301" spans="1:13" ht="15.75" customHeight="1" x14ac:dyDescent="0.2">
      <c r="B301" s="202" t="s">
        <v>2488</v>
      </c>
      <c r="C301" s="208"/>
      <c r="D301" s="218" t="s">
        <v>2489</v>
      </c>
      <c r="E301" s="71"/>
      <c r="F301" s="71" t="str">
        <f ca="1">IFERROR(__xludf.DUMMYFUNCTION("unique(filter($C$5:$C1123,$B$5:$B1123=E301))"),"")</f>
        <v/>
      </c>
      <c r="G301" s="203" t="str">
        <f ca="1">IFERROR(__xludf.DUMMYFUNCTION("unique(filter($D$5:$D1123,$B$5:$B1123=E301))"),"")</f>
        <v/>
      </c>
      <c r="K301" s="48"/>
      <c r="M301" s="205" t="s">
        <v>2490</v>
      </c>
    </row>
    <row r="302" spans="1:13" ht="15.75" customHeight="1" x14ac:dyDescent="0.2">
      <c r="B302" s="202" t="s">
        <v>2491</v>
      </c>
      <c r="C302" s="218" t="s">
        <v>2492</v>
      </c>
      <c r="D302" s="218" t="s">
        <v>2493</v>
      </c>
      <c r="E302" s="71"/>
      <c r="F302" s="71" t="str">
        <f ca="1">IFERROR(__xludf.DUMMYFUNCTION("unique(filter($C$5:$C1123,$B$5:$B1123=E302))"),"")</f>
        <v/>
      </c>
      <c r="G302" s="203" t="str">
        <f ca="1">IFERROR(__xludf.DUMMYFUNCTION("unique(filter($D$5:$D1123,$B$5:$B1123=E302))"),"")</f>
        <v/>
      </c>
      <c r="K302" s="48"/>
      <c r="M302" s="205" t="s">
        <v>2494</v>
      </c>
    </row>
    <row r="303" spans="1:13" ht="15.75" customHeight="1" x14ac:dyDescent="0.2">
      <c r="A303" s="219"/>
      <c r="B303" s="202" t="s">
        <v>2495</v>
      </c>
      <c r="C303" s="218" t="s">
        <v>2496</v>
      </c>
      <c r="D303" s="218" t="s">
        <v>2497</v>
      </c>
      <c r="E303" s="71"/>
      <c r="F303" s="71" t="str">
        <f ca="1">IFERROR(__xludf.DUMMYFUNCTION("unique(filter($C$5:$C1123,$B$5:$B1123=E303))"),"")</f>
        <v/>
      </c>
      <c r="G303" s="203" t="str">
        <f ca="1">IFERROR(__xludf.DUMMYFUNCTION("unique(filter($D$5:$D1123,$B$5:$B1123=E303))"),"")</f>
        <v/>
      </c>
      <c r="K303" s="48"/>
      <c r="M303" s="205" t="s">
        <v>2498</v>
      </c>
    </row>
    <row r="304" spans="1:13" ht="15.75" customHeight="1" x14ac:dyDescent="0.2">
      <c r="B304" s="220" t="s">
        <v>2499</v>
      </c>
      <c r="C304" s="208"/>
      <c r="D304" s="218" t="s">
        <v>2500</v>
      </c>
      <c r="E304" s="71"/>
      <c r="F304" s="71" t="str">
        <f ca="1">IFERROR(__xludf.DUMMYFUNCTION("unique(filter($C$5:$C1123,$B$5:$B1123=E304))"),"")</f>
        <v/>
      </c>
      <c r="G304" s="203" t="str">
        <f ca="1">IFERROR(__xludf.DUMMYFUNCTION("unique(filter($D$5:$D1123,$B$5:$B1123=E304))"),"")</f>
        <v/>
      </c>
      <c r="K304" s="48"/>
      <c r="M304" s="205" t="s">
        <v>2501</v>
      </c>
    </row>
    <row r="305" spans="2:13" ht="15.75" customHeight="1" x14ac:dyDescent="0.2">
      <c r="B305" s="202" t="s">
        <v>2502</v>
      </c>
      <c r="C305" s="208"/>
      <c r="D305" s="218" t="s">
        <v>2503</v>
      </c>
      <c r="E305" s="71"/>
      <c r="F305" s="71" t="str">
        <f ca="1">IFERROR(__xludf.DUMMYFUNCTION("unique(filter($C$5:$C1123,$B$5:$B1123=E305))"),"")</f>
        <v/>
      </c>
      <c r="G305" s="203" t="str">
        <f ca="1">IFERROR(__xludf.DUMMYFUNCTION("unique(filter($D$5:$D1123,$B$5:$B1123=E305))"),"")</f>
        <v/>
      </c>
      <c r="K305" s="48"/>
      <c r="M305" s="205" t="s">
        <v>2504</v>
      </c>
    </row>
    <row r="306" spans="2:13" ht="15.75" customHeight="1" x14ac:dyDescent="0.2">
      <c r="B306" s="220" t="s">
        <v>2505</v>
      </c>
      <c r="C306" s="208"/>
      <c r="D306" s="218" t="s">
        <v>2506</v>
      </c>
      <c r="E306" s="71"/>
      <c r="F306" s="71" t="str">
        <f ca="1">IFERROR(__xludf.DUMMYFUNCTION("unique(filter($C$5:$C1123,$B$5:$B1123=E306))"),"")</f>
        <v/>
      </c>
      <c r="G306" s="203" t="str">
        <f ca="1">IFERROR(__xludf.DUMMYFUNCTION("unique(filter($D$5:$D1123,$B$5:$B1123=E306))"),"")</f>
        <v/>
      </c>
      <c r="K306" s="48"/>
      <c r="M306" s="205" t="s">
        <v>2507</v>
      </c>
    </row>
    <row r="307" spans="2:13" ht="15.75" customHeight="1" x14ac:dyDescent="0.2">
      <c r="B307" s="220" t="s">
        <v>2508</v>
      </c>
      <c r="C307" s="208"/>
      <c r="D307" s="218" t="s">
        <v>2509</v>
      </c>
      <c r="E307" s="71"/>
      <c r="F307" s="71" t="str">
        <f ca="1">IFERROR(__xludf.DUMMYFUNCTION("unique(filter($C$5:$C1123,$B$5:$B1123=E307))"),"")</f>
        <v/>
      </c>
      <c r="G307" s="203" t="str">
        <f ca="1">IFERROR(__xludf.DUMMYFUNCTION("unique(filter($D$5:$D1123,$B$5:$B1123=E307))"),"")</f>
        <v/>
      </c>
      <c r="K307" s="48"/>
      <c r="M307" s="205" t="s">
        <v>2510</v>
      </c>
    </row>
    <row r="308" spans="2:13" ht="15.75" customHeight="1" x14ac:dyDescent="0.2">
      <c r="B308" s="202" t="s">
        <v>2511</v>
      </c>
      <c r="C308" s="208"/>
      <c r="D308" s="218" t="s">
        <v>2512</v>
      </c>
      <c r="E308" s="71"/>
      <c r="F308" s="71" t="str">
        <f ca="1">IFERROR(__xludf.DUMMYFUNCTION("unique(filter($C$5:$C1123,$B$5:$B1123=E308))"),"")</f>
        <v/>
      </c>
      <c r="G308" s="203" t="str">
        <f ca="1">IFERROR(__xludf.DUMMYFUNCTION("unique(filter($D$5:$D1123,$B$5:$B1123=E308))"),"")</f>
        <v/>
      </c>
      <c r="K308" s="48"/>
      <c r="M308" s="205" t="s">
        <v>2513</v>
      </c>
    </row>
    <row r="309" spans="2:13" ht="15.75" customHeight="1" x14ac:dyDescent="0.2">
      <c r="B309" s="202" t="s">
        <v>2514</v>
      </c>
      <c r="C309" s="208"/>
      <c r="D309" s="218" t="s">
        <v>2515</v>
      </c>
      <c r="E309" s="71"/>
      <c r="F309" s="71" t="str">
        <f ca="1">IFERROR(__xludf.DUMMYFUNCTION("unique(filter($C$5:$C1123,$B$5:$B1123=E309))"),"")</f>
        <v/>
      </c>
      <c r="G309" s="203" t="str">
        <f ca="1">IFERROR(__xludf.DUMMYFUNCTION("unique(filter($D$5:$D1123,$B$5:$B1123=E309))"),"")</f>
        <v/>
      </c>
      <c r="K309" s="48"/>
      <c r="M309" s="205" t="s">
        <v>2516</v>
      </c>
    </row>
    <row r="310" spans="2:13" ht="15.75" customHeight="1" x14ac:dyDescent="0.2">
      <c r="B310" s="221" t="s">
        <v>2517</v>
      </c>
      <c r="C310" s="208"/>
      <c r="D310" s="218" t="s">
        <v>2518</v>
      </c>
      <c r="E310" s="71"/>
      <c r="F310" s="71" t="str">
        <f ca="1">IFERROR(__xludf.DUMMYFUNCTION("unique(filter($C$5:$C1123,$B$5:$B1123=E310))"),"")</f>
        <v/>
      </c>
      <c r="G310" s="203" t="str">
        <f ca="1">IFERROR(__xludf.DUMMYFUNCTION("unique(filter($D$5:$D1123,$B$5:$B1123=E310))"),"")</f>
        <v/>
      </c>
      <c r="K310" s="48"/>
      <c r="M310" s="205" t="s">
        <v>2519</v>
      </c>
    </row>
    <row r="311" spans="2:13" ht="15.75" customHeight="1" x14ac:dyDescent="0.2">
      <c r="B311" s="202" t="s">
        <v>2520</v>
      </c>
      <c r="C311" s="208"/>
      <c r="D311" s="218" t="s">
        <v>2521</v>
      </c>
      <c r="E311" s="71"/>
      <c r="F311" s="71" t="str">
        <f ca="1">IFERROR(__xludf.DUMMYFUNCTION("unique(filter($C$5:$C1123,$B$5:$B1123=E311))"),"")</f>
        <v/>
      </c>
      <c r="G311" s="203" t="str">
        <f ca="1">IFERROR(__xludf.DUMMYFUNCTION("unique(filter($D$5:$D1123,$B$5:$B1123=E311))"),"")</f>
        <v/>
      </c>
      <c r="K311" s="48"/>
      <c r="M311" s="205" t="s">
        <v>2522</v>
      </c>
    </row>
    <row r="312" spans="2:13" ht="15.75" customHeight="1" x14ac:dyDescent="0.2">
      <c r="B312" s="202" t="s">
        <v>2523</v>
      </c>
      <c r="C312" s="218" t="s">
        <v>2524</v>
      </c>
      <c r="D312" s="218" t="s">
        <v>2525</v>
      </c>
      <c r="E312" s="71"/>
      <c r="F312" s="71" t="str">
        <f ca="1">IFERROR(__xludf.DUMMYFUNCTION("unique(filter($C$5:$C1123,$B$5:$B1123=E312))"),"")</f>
        <v/>
      </c>
      <c r="G312" s="203" t="str">
        <f ca="1">IFERROR(__xludf.DUMMYFUNCTION("unique(filter($D$5:$D1123,$B$5:$B1123=E312))"),"")</f>
        <v/>
      </c>
      <c r="K312" s="48"/>
      <c r="M312" s="205" t="s">
        <v>2526</v>
      </c>
    </row>
    <row r="313" spans="2:13" ht="15.75" customHeight="1" x14ac:dyDescent="0.2">
      <c r="B313" s="202" t="s">
        <v>2527</v>
      </c>
      <c r="C313" s="218" t="s">
        <v>2524</v>
      </c>
      <c r="D313" s="218" t="s">
        <v>2528</v>
      </c>
      <c r="E313" s="71"/>
      <c r="F313" s="71" t="str">
        <f ca="1">IFERROR(__xludf.DUMMYFUNCTION("unique(filter($C$5:$C1123,$B$5:$B1123=E313))"),"")</f>
        <v/>
      </c>
      <c r="G313" s="203" t="str">
        <f ca="1">IFERROR(__xludf.DUMMYFUNCTION("unique(filter($D$5:$D1123,$B$5:$B1123=E313))"),"")</f>
        <v/>
      </c>
      <c r="K313" s="48"/>
      <c r="M313" s="205" t="s">
        <v>2529</v>
      </c>
    </row>
    <row r="314" spans="2:13" ht="15.75" customHeight="1" x14ac:dyDescent="0.2">
      <c r="B314" s="202" t="s">
        <v>2530</v>
      </c>
      <c r="C314" s="218" t="s">
        <v>2531</v>
      </c>
      <c r="D314" s="218" t="s">
        <v>2532</v>
      </c>
      <c r="E314" s="71"/>
      <c r="F314" s="71" t="str">
        <f ca="1">IFERROR(__xludf.DUMMYFUNCTION("unique(filter($C$5:$C1123,$B$5:$B1123=E314))"),"")</f>
        <v/>
      </c>
      <c r="G314" s="203" t="str">
        <f ca="1">IFERROR(__xludf.DUMMYFUNCTION("unique(filter($D$5:$D1123,$B$5:$B1123=E314))"),"")</f>
        <v/>
      </c>
      <c r="K314" s="48"/>
      <c r="M314" s="205" t="s">
        <v>2533</v>
      </c>
    </row>
    <row r="315" spans="2:13" ht="15.75" customHeight="1" x14ac:dyDescent="0.2">
      <c r="B315" s="221" t="s">
        <v>2534</v>
      </c>
      <c r="C315" s="218"/>
      <c r="D315" s="218" t="s">
        <v>2535</v>
      </c>
      <c r="E315" s="71"/>
      <c r="F315" s="71" t="str">
        <f ca="1">IFERROR(__xludf.DUMMYFUNCTION("unique(filter($C$5:$C1123,$B$5:$B1123=E315))"),"")</f>
        <v/>
      </c>
      <c r="G315" s="203" t="str">
        <f ca="1">IFERROR(__xludf.DUMMYFUNCTION("unique(filter($D$5:$D1123,$B$5:$B1123=E315))"),"")</f>
        <v/>
      </c>
      <c r="K315" s="48"/>
      <c r="M315" s="205" t="s">
        <v>2536</v>
      </c>
    </row>
    <row r="316" spans="2:13" ht="15.75" customHeight="1" x14ac:dyDescent="0.2">
      <c r="B316" s="221" t="s">
        <v>2537</v>
      </c>
      <c r="C316" s="218" t="s">
        <v>2538</v>
      </c>
      <c r="D316" s="218" t="s">
        <v>2539</v>
      </c>
      <c r="E316" s="71"/>
      <c r="F316" s="71" t="str">
        <f ca="1">IFERROR(__xludf.DUMMYFUNCTION("unique(filter($C$5:$C1123,$B$5:$B1123=E316))"),"")</f>
        <v/>
      </c>
      <c r="G316" s="203" t="str">
        <f ca="1">IFERROR(__xludf.DUMMYFUNCTION("unique(filter($D$5:$D1123,$B$5:$B1123=E316))"),"")</f>
        <v/>
      </c>
      <c r="K316" s="48"/>
      <c r="M316" s="205" t="s">
        <v>2540</v>
      </c>
    </row>
    <row r="317" spans="2:13" ht="15.75" customHeight="1" x14ac:dyDescent="0.2">
      <c r="B317" s="202" t="s">
        <v>2541</v>
      </c>
      <c r="C317" s="208"/>
      <c r="D317" s="218" t="s">
        <v>2542</v>
      </c>
      <c r="E317" s="71"/>
      <c r="F317" s="71" t="str">
        <f ca="1">IFERROR(__xludf.DUMMYFUNCTION("unique(filter($C$5:$C1123,$B$5:$B1123=E317))"),"")</f>
        <v/>
      </c>
      <c r="G317" s="203" t="str">
        <f ca="1">IFERROR(__xludf.DUMMYFUNCTION("unique(filter($D$5:$D1123,$B$5:$B1123=E317))"),"")</f>
        <v/>
      </c>
      <c r="K317" s="48"/>
      <c r="M317" s="205" t="s">
        <v>2543</v>
      </c>
    </row>
    <row r="318" spans="2:13" ht="15.75" customHeight="1" x14ac:dyDescent="0.2">
      <c r="B318" s="202" t="s">
        <v>2544</v>
      </c>
      <c r="C318" s="218"/>
      <c r="D318" s="218" t="s">
        <v>2545</v>
      </c>
      <c r="E318" s="71"/>
      <c r="F318" s="71" t="str">
        <f ca="1">IFERROR(__xludf.DUMMYFUNCTION("unique(filter($C$5:$C1123,$B$5:$B1123=E318))"),"")</f>
        <v/>
      </c>
      <c r="G318" s="203" t="str">
        <f ca="1">IFERROR(__xludf.DUMMYFUNCTION("unique(filter($D$5:$D1123,$B$5:$B1123=E318))"),"")</f>
        <v/>
      </c>
      <c r="K318" s="48"/>
      <c r="M318" s="205" t="s">
        <v>2546</v>
      </c>
    </row>
    <row r="319" spans="2:13" ht="15.75" customHeight="1" x14ac:dyDescent="0.2">
      <c r="B319" s="202" t="s">
        <v>2547</v>
      </c>
      <c r="C319" s="218" t="s">
        <v>2548</v>
      </c>
      <c r="D319" s="218" t="s">
        <v>2549</v>
      </c>
      <c r="E319" s="71"/>
      <c r="F319" s="71" t="str">
        <f ca="1">IFERROR(__xludf.DUMMYFUNCTION("unique(filter($C$5:$C1123,$B$5:$B1123=E319))"),"")</f>
        <v/>
      </c>
      <c r="G319" s="203" t="str">
        <f ca="1">IFERROR(__xludf.DUMMYFUNCTION("unique(filter($D$5:$D1123,$B$5:$B1123=E319))"),"")</f>
        <v/>
      </c>
      <c r="K319" s="48"/>
      <c r="M319" s="205" t="s">
        <v>2550</v>
      </c>
    </row>
    <row r="320" spans="2:13" ht="15.75" customHeight="1" x14ac:dyDescent="0.2">
      <c r="B320" s="202" t="s">
        <v>2551</v>
      </c>
      <c r="C320" s="218"/>
      <c r="D320" s="218" t="s">
        <v>2552</v>
      </c>
      <c r="E320" s="71"/>
      <c r="F320" s="71" t="str">
        <f ca="1">IFERROR(__xludf.DUMMYFUNCTION("unique(filter($C$5:$C1123,$B$5:$B1123=E320))"),"")</f>
        <v/>
      </c>
      <c r="G320" s="203" t="str">
        <f ca="1">IFERROR(__xludf.DUMMYFUNCTION("unique(filter($D$5:$D1123,$B$5:$B1123=E320))"),"")</f>
        <v/>
      </c>
      <c r="K320" s="48"/>
      <c r="M320" s="205" t="s">
        <v>2553</v>
      </c>
    </row>
    <row r="321" spans="2:13" ht="15.75" customHeight="1" x14ac:dyDescent="0.2">
      <c r="B321" s="202" t="s">
        <v>2554</v>
      </c>
      <c r="C321" s="218" t="s">
        <v>2555</v>
      </c>
      <c r="D321" s="218" t="s">
        <v>2556</v>
      </c>
      <c r="E321" s="71"/>
      <c r="F321" s="71" t="str">
        <f ca="1">IFERROR(__xludf.DUMMYFUNCTION("unique(filter($C$5:$C1123,$B$5:$B1123=E321))"),"")</f>
        <v/>
      </c>
      <c r="G321" s="203" t="str">
        <f ca="1">IFERROR(__xludf.DUMMYFUNCTION("unique(filter($D$5:$D1123,$B$5:$B1123=E321))"),"")</f>
        <v/>
      </c>
      <c r="K321" s="48"/>
      <c r="M321" s="205" t="s">
        <v>2557</v>
      </c>
    </row>
    <row r="322" spans="2:13" ht="15.75" customHeight="1" x14ac:dyDescent="0.2">
      <c r="B322" s="202" t="s">
        <v>2558</v>
      </c>
      <c r="C322" s="218"/>
      <c r="D322" s="218" t="s">
        <v>2559</v>
      </c>
      <c r="E322" s="71"/>
      <c r="F322" s="71" t="str">
        <f ca="1">IFERROR(__xludf.DUMMYFUNCTION("unique(filter($C$5:$C1123,$B$5:$B1123=E322))"),"")</f>
        <v/>
      </c>
      <c r="G322" s="203" t="str">
        <f ca="1">IFERROR(__xludf.DUMMYFUNCTION("unique(filter($D$5:$D1123,$B$5:$B1123=E322))"),"")</f>
        <v/>
      </c>
      <c r="K322" s="48"/>
      <c r="M322" s="205" t="s">
        <v>2560</v>
      </c>
    </row>
    <row r="323" spans="2:13" ht="15.75" customHeight="1" x14ac:dyDescent="0.2">
      <c r="B323" s="202" t="s">
        <v>2561</v>
      </c>
      <c r="C323" s="208"/>
      <c r="D323" s="218" t="s">
        <v>2562</v>
      </c>
      <c r="E323" s="71"/>
      <c r="F323" s="71" t="str">
        <f ca="1">IFERROR(__xludf.DUMMYFUNCTION("unique(filter($C$5:$C1123,$B$5:$B1123=E323))"),"")</f>
        <v/>
      </c>
      <c r="G323" s="203" t="str">
        <f ca="1">IFERROR(__xludf.DUMMYFUNCTION("unique(filter($D$5:$D1123,$B$5:$B1123=E323))"),"")</f>
        <v/>
      </c>
      <c r="K323" s="48"/>
      <c r="M323" s="205" t="s">
        <v>2563</v>
      </c>
    </row>
    <row r="324" spans="2:13" ht="15.75" customHeight="1" x14ac:dyDescent="0.2">
      <c r="B324" s="220" t="s">
        <v>2564</v>
      </c>
      <c r="C324" s="218"/>
      <c r="D324" s="218" t="s">
        <v>2565</v>
      </c>
      <c r="E324" s="71"/>
      <c r="F324" s="71" t="str">
        <f ca="1">IFERROR(__xludf.DUMMYFUNCTION("unique(filter($C$5:$C1123,$B$5:$B1123=E324))"),"")</f>
        <v/>
      </c>
      <c r="G324" s="203" t="str">
        <f ca="1">IFERROR(__xludf.DUMMYFUNCTION("unique(filter($D$5:$D1123,$B$5:$B1123=E324))"),"")</f>
        <v/>
      </c>
      <c r="K324" s="48"/>
      <c r="M324" s="205" t="s">
        <v>2566</v>
      </c>
    </row>
    <row r="325" spans="2:13" ht="15.75" customHeight="1" x14ac:dyDescent="0.2">
      <c r="B325" s="202" t="s">
        <v>2567</v>
      </c>
      <c r="C325" s="218"/>
      <c r="D325" s="218" t="s">
        <v>2568</v>
      </c>
      <c r="E325" s="71"/>
      <c r="F325" s="71" t="str">
        <f ca="1">IFERROR(__xludf.DUMMYFUNCTION("unique(filter($C$5:$C1123,$B$5:$B1123=E325))"),"")</f>
        <v/>
      </c>
      <c r="G325" s="203" t="str">
        <f ca="1">IFERROR(__xludf.DUMMYFUNCTION("unique(filter($D$5:$D1123,$B$5:$B1123=E325))"),"")</f>
        <v/>
      </c>
      <c r="K325" s="48"/>
      <c r="M325" s="205" t="s">
        <v>2569</v>
      </c>
    </row>
    <row r="326" spans="2:13" ht="15.75" customHeight="1" x14ac:dyDescent="0.2">
      <c r="B326" s="202" t="s">
        <v>2570</v>
      </c>
      <c r="C326" s="218" t="s">
        <v>2571</v>
      </c>
      <c r="D326" s="218" t="s">
        <v>2572</v>
      </c>
      <c r="E326" s="71"/>
      <c r="F326" s="71" t="str">
        <f ca="1">IFERROR(__xludf.DUMMYFUNCTION("unique(filter($C$5:$C1123,$B$5:$B1123=E326))"),"")</f>
        <v/>
      </c>
      <c r="G326" s="203" t="str">
        <f ca="1">IFERROR(__xludf.DUMMYFUNCTION("unique(filter($D$5:$D1123,$B$5:$B1123=E326))"),"")</f>
        <v/>
      </c>
      <c r="K326" s="48"/>
      <c r="M326" s="205" t="s">
        <v>2573</v>
      </c>
    </row>
    <row r="327" spans="2:13" ht="15.75" customHeight="1" x14ac:dyDescent="0.2">
      <c r="B327" s="202" t="s">
        <v>2574</v>
      </c>
      <c r="C327" s="222" t="s">
        <v>2575</v>
      </c>
      <c r="D327" s="218" t="s">
        <v>2576</v>
      </c>
      <c r="E327" s="71"/>
      <c r="F327" s="71" t="str">
        <f ca="1">IFERROR(__xludf.DUMMYFUNCTION("unique(filter($C$5:$C1123,$B$5:$B1123=E327))"),"")</f>
        <v/>
      </c>
      <c r="G327" s="203" t="str">
        <f ca="1">IFERROR(__xludf.DUMMYFUNCTION("unique(filter($D$5:$D1123,$B$5:$B1123=E327))"),"")</f>
        <v/>
      </c>
      <c r="K327" s="48"/>
      <c r="M327" s="205" t="s">
        <v>2577</v>
      </c>
    </row>
    <row r="328" spans="2:13" ht="15.75" customHeight="1" x14ac:dyDescent="0.2">
      <c r="B328" s="202" t="s">
        <v>2578</v>
      </c>
      <c r="C328" s="218"/>
      <c r="D328" s="218" t="s">
        <v>2579</v>
      </c>
      <c r="E328" s="71"/>
      <c r="F328" s="71" t="str">
        <f ca="1">IFERROR(__xludf.DUMMYFUNCTION("unique(filter($C$5:$C1123,$B$5:$B1123=E328))"),"")</f>
        <v/>
      </c>
      <c r="G328" s="203" t="str">
        <f ca="1">IFERROR(__xludf.DUMMYFUNCTION("unique(filter($D$5:$D1123,$B$5:$B1123=E328))"),"")</f>
        <v/>
      </c>
      <c r="K328" s="48"/>
      <c r="M328" s="205" t="s">
        <v>2580</v>
      </c>
    </row>
    <row r="329" spans="2:13" ht="15.75" customHeight="1" x14ac:dyDescent="0.2">
      <c r="B329" s="202" t="s">
        <v>2581</v>
      </c>
      <c r="C329" s="218"/>
      <c r="D329" s="218" t="s">
        <v>2582</v>
      </c>
      <c r="E329" s="71"/>
      <c r="F329" s="71" t="str">
        <f ca="1">IFERROR(__xludf.DUMMYFUNCTION("unique(filter($C$5:$C1123,$B$5:$B1123=E329))"),"")</f>
        <v/>
      </c>
      <c r="G329" s="203" t="str">
        <f ca="1">IFERROR(__xludf.DUMMYFUNCTION("unique(filter($D$5:$D1123,$B$5:$B1123=E329))"),"")</f>
        <v/>
      </c>
      <c r="K329" s="48"/>
      <c r="M329" s="205" t="s">
        <v>2583</v>
      </c>
    </row>
    <row r="330" spans="2:13" ht="15.75" customHeight="1" x14ac:dyDescent="0.2">
      <c r="B330" s="202" t="s">
        <v>2584</v>
      </c>
      <c r="C330" s="218" t="s">
        <v>2585</v>
      </c>
      <c r="D330" s="218" t="s">
        <v>2586</v>
      </c>
      <c r="E330" s="71"/>
      <c r="F330" s="71" t="str">
        <f ca="1">IFERROR(__xludf.DUMMYFUNCTION("unique(filter($C$5:$C1123,$B$5:$B1123=E330))"),"")</f>
        <v/>
      </c>
      <c r="G330" s="203" t="str">
        <f ca="1">IFERROR(__xludf.DUMMYFUNCTION("unique(filter($D$5:$D1123,$B$5:$B1123=E330))"),"")</f>
        <v/>
      </c>
      <c r="K330" s="48"/>
      <c r="M330" s="205" t="s">
        <v>2587</v>
      </c>
    </row>
    <row r="331" spans="2:13" ht="15.75" customHeight="1" x14ac:dyDescent="0.2">
      <c r="B331" s="202" t="s">
        <v>2588</v>
      </c>
      <c r="C331" s="218" t="s">
        <v>2589</v>
      </c>
      <c r="D331" s="218" t="s">
        <v>2590</v>
      </c>
      <c r="E331" s="71"/>
      <c r="F331" s="71" t="str">
        <f ca="1">IFERROR(__xludf.DUMMYFUNCTION("unique(filter($C$5:$C1123,$B$5:$B1123=E331))"),"")</f>
        <v/>
      </c>
      <c r="G331" s="203" t="str">
        <f ca="1">IFERROR(__xludf.DUMMYFUNCTION("unique(filter($D$5:$D1123,$B$5:$B1123=E331))"),"")</f>
        <v/>
      </c>
      <c r="K331" s="48"/>
      <c r="M331" s="205" t="s">
        <v>2591</v>
      </c>
    </row>
    <row r="332" spans="2:13" ht="15.75" customHeight="1" x14ac:dyDescent="0.2">
      <c r="B332" s="202" t="s">
        <v>2592</v>
      </c>
      <c r="C332" s="218"/>
      <c r="D332" s="218" t="s">
        <v>2593</v>
      </c>
      <c r="E332" s="71"/>
      <c r="F332" s="71" t="str">
        <f ca="1">IFERROR(__xludf.DUMMYFUNCTION("unique(filter($C$5:$C1123,$B$5:$B1123=E332))"),"")</f>
        <v/>
      </c>
      <c r="G332" s="203" t="str">
        <f ca="1">IFERROR(__xludf.DUMMYFUNCTION("unique(filter($D$5:$D1123,$B$5:$B1123=E332))"),"")</f>
        <v/>
      </c>
      <c r="K332" s="48"/>
      <c r="M332" s="205" t="s">
        <v>2594</v>
      </c>
    </row>
    <row r="333" spans="2:13" ht="15.75" customHeight="1" x14ac:dyDescent="0.2">
      <c r="B333" s="202" t="s">
        <v>2595</v>
      </c>
      <c r="C333" s="218"/>
      <c r="D333" s="218" t="s">
        <v>2596</v>
      </c>
      <c r="E333" s="71"/>
      <c r="F333" s="71" t="str">
        <f ca="1">IFERROR(__xludf.DUMMYFUNCTION("unique(filter($C$5:$C1123,$B$5:$B1123=E333))"),"")</f>
        <v/>
      </c>
      <c r="G333" s="203" t="str">
        <f ca="1">IFERROR(__xludf.DUMMYFUNCTION("unique(filter($D$5:$D1123,$B$5:$B1123=E333))"),"")</f>
        <v/>
      </c>
      <c r="K333" s="48"/>
      <c r="M333" s="205" t="s">
        <v>2597</v>
      </c>
    </row>
    <row r="334" spans="2:13" ht="15.75" customHeight="1" x14ac:dyDescent="0.2">
      <c r="B334" s="202" t="s">
        <v>2598</v>
      </c>
      <c r="C334" s="218"/>
      <c r="D334" s="218" t="s">
        <v>2599</v>
      </c>
      <c r="E334" s="71"/>
      <c r="F334" s="71" t="str">
        <f ca="1">IFERROR(__xludf.DUMMYFUNCTION("unique(filter($C$5:$C1123,$B$5:$B1123=E334))"),"")</f>
        <v/>
      </c>
      <c r="G334" s="203" t="str">
        <f ca="1">IFERROR(__xludf.DUMMYFUNCTION("unique(filter($D$5:$D1123,$B$5:$B1123=E334))"),"")</f>
        <v/>
      </c>
      <c r="K334" s="48"/>
      <c r="M334" s="205" t="s">
        <v>2600</v>
      </c>
    </row>
    <row r="335" spans="2:13" ht="15.75" customHeight="1" x14ac:dyDescent="0.2">
      <c r="B335" s="202" t="s">
        <v>2601</v>
      </c>
      <c r="C335" s="202"/>
      <c r="D335" s="218" t="s">
        <v>2602</v>
      </c>
      <c r="E335" s="71"/>
      <c r="F335" s="71" t="str">
        <f ca="1">IFERROR(__xludf.DUMMYFUNCTION("unique(filter($C$5:$C1123,$B$5:$B1123=E335))"),"")</f>
        <v/>
      </c>
      <c r="G335" s="203" t="str">
        <f ca="1">IFERROR(__xludf.DUMMYFUNCTION("unique(filter($D$5:$D1123,$B$5:$B1123=E335))"),"")</f>
        <v/>
      </c>
      <c r="K335" s="48"/>
      <c r="M335" s="205" t="s">
        <v>2603</v>
      </c>
    </row>
    <row r="336" spans="2:13" ht="15.75" customHeight="1" x14ac:dyDescent="0.2">
      <c r="B336" s="202" t="s">
        <v>2604</v>
      </c>
      <c r="C336" s="218" t="s">
        <v>2605</v>
      </c>
      <c r="D336" s="218" t="s">
        <v>2606</v>
      </c>
      <c r="E336" s="71"/>
      <c r="F336" s="71" t="str">
        <f ca="1">IFERROR(__xludf.DUMMYFUNCTION("unique(filter($C$5:$C1123,$B$5:$B1123=E336))"),"")</f>
        <v/>
      </c>
      <c r="G336" s="203" t="str">
        <f ca="1">IFERROR(__xludf.DUMMYFUNCTION("unique(filter($D$5:$D1123,$B$5:$B1123=E336))"),"")</f>
        <v/>
      </c>
      <c r="K336" s="48"/>
      <c r="M336" s="205" t="s">
        <v>2607</v>
      </c>
    </row>
    <row r="337" spans="2:13" ht="15.75" customHeight="1" x14ac:dyDescent="0.2">
      <c r="B337" s="202" t="s">
        <v>2608</v>
      </c>
      <c r="C337" s="202"/>
      <c r="D337" s="218" t="s">
        <v>2609</v>
      </c>
      <c r="E337" s="71"/>
      <c r="F337" s="71" t="str">
        <f ca="1">IFERROR(__xludf.DUMMYFUNCTION("unique(filter($C$5:$C1123,$B$5:$B1123=E337))"),"")</f>
        <v/>
      </c>
      <c r="G337" s="203" t="str">
        <f ca="1">IFERROR(__xludf.DUMMYFUNCTION("unique(filter($D$5:$D1123,$B$5:$B1123=E337))"),"")</f>
        <v/>
      </c>
      <c r="K337" s="48"/>
      <c r="M337" s="205" t="s">
        <v>2610</v>
      </c>
    </row>
    <row r="338" spans="2:13" ht="15.75" customHeight="1" x14ac:dyDescent="0.2">
      <c r="B338" s="218" t="s">
        <v>2611</v>
      </c>
      <c r="C338" s="218" t="s">
        <v>2612</v>
      </c>
      <c r="D338" s="218" t="s">
        <v>2613</v>
      </c>
      <c r="E338" s="71"/>
      <c r="F338" s="71" t="str">
        <f ca="1">IFERROR(__xludf.DUMMYFUNCTION("unique(filter($C$5:$C1123,$B$5:$B1123=E338))"),"")</f>
        <v/>
      </c>
      <c r="G338" s="203" t="str">
        <f ca="1">IFERROR(__xludf.DUMMYFUNCTION("unique(filter($D$5:$D1123,$B$5:$B1123=E338))"),"")</f>
        <v/>
      </c>
      <c r="K338" s="48"/>
      <c r="M338" s="205" t="s">
        <v>2614</v>
      </c>
    </row>
    <row r="339" spans="2:13" ht="15.75" customHeight="1" x14ac:dyDescent="0.2">
      <c r="B339" s="218" t="s">
        <v>2615</v>
      </c>
      <c r="C339" s="218"/>
      <c r="D339" s="218" t="s">
        <v>2616</v>
      </c>
      <c r="E339" s="71"/>
      <c r="F339" s="71" t="str">
        <f ca="1">IFERROR(__xludf.DUMMYFUNCTION("unique(filter($C$5:$C1123,$B$5:$B1123=E339))"),"")</f>
        <v/>
      </c>
      <c r="G339" s="203" t="str">
        <f ca="1">IFERROR(__xludf.DUMMYFUNCTION("unique(filter($D$5:$D1123,$B$5:$B1123=E339))"),"")</f>
        <v/>
      </c>
      <c r="K339" s="48"/>
      <c r="M339" s="205" t="s">
        <v>2617</v>
      </c>
    </row>
    <row r="340" spans="2:13" ht="15.75" customHeight="1" x14ac:dyDescent="0.2">
      <c r="B340" s="218" t="s">
        <v>2618</v>
      </c>
      <c r="C340" s="218"/>
      <c r="D340" s="218" t="s">
        <v>2619</v>
      </c>
      <c r="E340" s="71"/>
      <c r="F340" s="71" t="str">
        <f ca="1">IFERROR(__xludf.DUMMYFUNCTION("unique(filter($C$5:$C1123,$B$5:$B1123=E340))"),"")</f>
        <v/>
      </c>
      <c r="G340" s="203" t="str">
        <f ca="1">IFERROR(__xludf.DUMMYFUNCTION("unique(filter($D$5:$D1123,$B$5:$B1123=E340))"),"")</f>
        <v/>
      </c>
      <c r="K340" s="48"/>
      <c r="M340" s="205" t="s">
        <v>2620</v>
      </c>
    </row>
    <row r="341" spans="2:13" ht="15.75" customHeight="1" x14ac:dyDescent="0.2">
      <c r="B341" s="218" t="s">
        <v>2621</v>
      </c>
      <c r="C341" s="218" t="s">
        <v>2622</v>
      </c>
      <c r="D341" s="218" t="s">
        <v>2623</v>
      </c>
      <c r="E341" s="71"/>
      <c r="F341" s="71" t="str">
        <f ca="1">IFERROR(__xludf.DUMMYFUNCTION("unique(filter($C$5:$C1123,$B$5:$B1123=E341))"),"")</f>
        <v/>
      </c>
      <c r="G341" s="203" t="str">
        <f ca="1">IFERROR(__xludf.DUMMYFUNCTION("unique(filter($D$5:$D1123,$B$5:$B1123=E341))"),"")</f>
        <v/>
      </c>
      <c r="K341" s="48"/>
      <c r="M341" s="205" t="s">
        <v>2624</v>
      </c>
    </row>
    <row r="342" spans="2:13" ht="15.75" customHeight="1" x14ac:dyDescent="0.2">
      <c r="B342" s="218" t="s">
        <v>2625</v>
      </c>
      <c r="C342" s="218"/>
      <c r="D342" s="218" t="s">
        <v>2626</v>
      </c>
      <c r="E342" s="71"/>
      <c r="F342" s="71" t="str">
        <f ca="1">IFERROR(__xludf.DUMMYFUNCTION("unique(filter($C$5:$C1123,$B$5:$B1123=E342))"),"")</f>
        <v/>
      </c>
      <c r="G342" s="203" t="str">
        <f ca="1">IFERROR(__xludf.DUMMYFUNCTION("unique(filter($D$5:$D1123,$B$5:$B1123=E342))"),"")</f>
        <v/>
      </c>
      <c r="K342" s="48"/>
      <c r="M342" s="205" t="s">
        <v>2627</v>
      </c>
    </row>
    <row r="343" spans="2:13" ht="15.75" customHeight="1" x14ac:dyDescent="0.2">
      <c r="B343" s="218" t="s">
        <v>2628</v>
      </c>
      <c r="C343" s="218"/>
      <c r="D343" s="218" t="s">
        <v>2629</v>
      </c>
      <c r="E343" s="71"/>
      <c r="F343" s="71" t="str">
        <f ca="1">IFERROR(__xludf.DUMMYFUNCTION("unique(filter($C$5:$C1123,$B$5:$B1123=E343))"),"")</f>
        <v/>
      </c>
      <c r="G343" s="203" t="str">
        <f ca="1">IFERROR(__xludf.DUMMYFUNCTION("unique(filter($D$5:$D1123,$B$5:$B1123=E343))"),"")</f>
        <v/>
      </c>
      <c r="K343" s="48"/>
      <c r="M343" s="205" t="s">
        <v>2630</v>
      </c>
    </row>
    <row r="344" spans="2:13" ht="15.75" customHeight="1" x14ac:dyDescent="0.2">
      <c r="B344" s="218" t="s">
        <v>2631</v>
      </c>
      <c r="C344" s="218"/>
      <c r="D344" s="218" t="s">
        <v>2632</v>
      </c>
      <c r="E344" s="71"/>
      <c r="F344" s="71" t="str">
        <f ca="1">IFERROR(__xludf.DUMMYFUNCTION("unique(filter($C$5:$C1123,$B$5:$B1123=E344))"),"")</f>
        <v/>
      </c>
      <c r="G344" s="203" t="str">
        <f ca="1">IFERROR(__xludf.DUMMYFUNCTION("unique(filter($D$5:$D1123,$B$5:$B1123=E344))"),"")</f>
        <v/>
      </c>
      <c r="K344" s="48"/>
      <c r="M344" s="205" t="s">
        <v>2633</v>
      </c>
    </row>
    <row r="345" spans="2:13" ht="15.75" customHeight="1" x14ac:dyDescent="0.2">
      <c r="B345" s="218" t="s">
        <v>2634</v>
      </c>
      <c r="C345" s="218"/>
      <c r="D345" s="218" t="s">
        <v>2635</v>
      </c>
      <c r="E345" s="71"/>
      <c r="F345" s="71" t="str">
        <f ca="1">IFERROR(__xludf.DUMMYFUNCTION("unique(filter($C$5:$C1123,$B$5:$B1123=E345))"),"")</f>
        <v/>
      </c>
      <c r="G345" s="203" t="str">
        <f ca="1">IFERROR(__xludf.DUMMYFUNCTION("unique(filter($D$5:$D1123,$B$5:$B1123=E345))"),"")</f>
        <v/>
      </c>
      <c r="K345" s="48"/>
      <c r="M345" s="205" t="s">
        <v>2636</v>
      </c>
    </row>
    <row r="346" spans="2:13" ht="15.75" customHeight="1" x14ac:dyDescent="0.2">
      <c r="B346" s="218" t="s">
        <v>2637</v>
      </c>
      <c r="C346" s="218" t="s">
        <v>2638</v>
      </c>
      <c r="D346" s="218" t="s">
        <v>2639</v>
      </c>
      <c r="E346" s="71"/>
      <c r="F346" s="71" t="str">
        <f ca="1">IFERROR(__xludf.DUMMYFUNCTION("unique(filter($C$5:$C1123,$B$5:$B1123=E346))"),"")</f>
        <v/>
      </c>
      <c r="G346" s="203" t="str">
        <f ca="1">IFERROR(__xludf.DUMMYFUNCTION("unique(filter($D$5:$D1123,$B$5:$B1123=E346))"),"")</f>
        <v/>
      </c>
      <c r="K346" s="48"/>
      <c r="M346" s="205" t="s">
        <v>2640</v>
      </c>
    </row>
    <row r="347" spans="2:13" ht="15.75" customHeight="1" x14ac:dyDescent="0.2">
      <c r="B347" s="218" t="s">
        <v>2641</v>
      </c>
      <c r="C347" s="218"/>
      <c r="D347" s="218" t="s">
        <v>2642</v>
      </c>
      <c r="E347" s="71"/>
      <c r="F347" s="71" t="str">
        <f ca="1">IFERROR(__xludf.DUMMYFUNCTION("unique(filter($C$5:$C1123,$B$5:$B1123=E347))"),"")</f>
        <v/>
      </c>
      <c r="G347" s="203" t="str">
        <f ca="1">IFERROR(__xludf.DUMMYFUNCTION("unique(filter($D$5:$D1123,$B$5:$B1123=E347))"),"")</f>
        <v/>
      </c>
      <c r="K347" s="48"/>
      <c r="M347" s="205" t="s">
        <v>2643</v>
      </c>
    </row>
    <row r="348" spans="2:13" ht="15.75" customHeight="1" x14ac:dyDescent="0.2">
      <c r="B348" s="218" t="s">
        <v>2644</v>
      </c>
      <c r="C348" s="218" t="s">
        <v>2645</v>
      </c>
      <c r="D348" s="218" t="s">
        <v>2646</v>
      </c>
      <c r="E348" s="71"/>
      <c r="F348" s="71" t="str">
        <f ca="1">IFERROR(__xludf.DUMMYFUNCTION("unique(filter($C$5:$C1123,$B$5:$B1123=E348))"),"")</f>
        <v/>
      </c>
      <c r="G348" s="203" t="str">
        <f ca="1">IFERROR(__xludf.DUMMYFUNCTION("unique(filter($D$5:$D1123,$B$5:$B1123=E348))"),"")</f>
        <v/>
      </c>
      <c r="K348" s="48"/>
      <c r="M348" s="205" t="s">
        <v>2647</v>
      </c>
    </row>
    <row r="349" spans="2:13" ht="15.75" customHeight="1" x14ac:dyDescent="0.2">
      <c r="B349" s="218" t="s">
        <v>2648</v>
      </c>
      <c r="C349" s="218" t="s">
        <v>2649</v>
      </c>
      <c r="D349" s="218" t="s">
        <v>2650</v>
      </c>
      <c r="E349" s="71"/>
      <c r="F349" s="71" t="str">
        <f ca="1">IFERROR(__xludf.DUMMYFUNCTION("unique(filter($C$5:$C1123,$B$5:$B1123=E349))"),"")</f>
        <v/>
      </c>
      <c r="G349" s="203" t="str">
        <f ca="1">IFERROR(__xludf.DUMMYFUNCTION("unique(filter($D$5:$D1123,$B$5:$B1123=E349))"),"")</f>
        <v/>
      </c>
      <c r="K349" s="48"/>
      <c r="M349" s="205" t="s">
        <v>2651</v>
      </c>
    </row>
    <row r="350" spans="2:13" ht="15.75" customHeight="1" x14ac:dyDescent="0.2">
      <c r="B350" s="218" t="s">
        <v>2652</v>
      </c>
      <c r="C350" s="218" t="s">
        <v>2653</v>
      </c>
      <c r="D350" s="218" t="s">
        <v>2654</v>
      </c>
      <c r="E350" s="71"/>
      <c r="F350" s="71" t="str">
        <f ca="1">IFERROR(__xludf.DUMMYFUNCTION("unique(filter($C$5:$C1123,$B$5:$B1123=E350))"),"")</f>
        <v/>
      </c>
      <c r="G350" s="203" t="str">
        <f ca="1">IFERROR(__xludf.DUMMYFUNCTION("unique(filter($D$5:$D1123,$B$5:$B1123=E350))"),"")</f>
        <v/>
      </c>
      <c r="K350" s="48"/>
      <c r="M350" s="205" t="s">
        <v>2655</v>
      </c>
    </row>
    <row r="351" spans="2:13" ht="15.75" customHeight="1" x14ac:dyDescent="0.2">
      <c r="B351" s="218" t="s">
        <v>2656</v>
      </c>
      <c r="C351" s="218"/>
      <c r="D351" s="218" t="s">
        <v>2657</v>
      </c>
      <c r="E351" s="71"/>
      <c r="F351" s="71" t="str">
        <f ca="1">IFERROR(__xludf.DUMMYFUNCTION("unique(filter($C$5:$C1123,$B$5:$B1123=E351))"),"")</f>
        <v/>
      </c>
      <c r="G351" s="203" t="str">
        <f ca="1">IFERROR(__xludf.DUMMYFUNCTION("unique(filter($D$5:$D1123,$B$5:$B1123=E351))"),"")</f>
        <v/>
      </c>
      <c r="K351" s="48"/>
      <c r="M351" s="205" t="s">
        <v>2658</v>
      </c>
    </row>
    <row r="352" spans="2:13" ht="15.75" customHeight="1" x14ac:dyDescent="0.2">
      <c r="B352" s="218" t="s">
        <v>2659</v>
      </c>
      <c r="C352" s="218"/>
      <c r="D352" s="218" t="s">
        <v>2660</v>
      </c>
      <c r="E352" s="71"/>
      <c r="F352" s="71" t="str">
        <f ca="1">IFERROR(__xludf.DUMMYFUNCTION("unique(filter($C$5:$C1123,$B$5:$B1123=E352))"),"")</f>
        <v/>
      </c>
      <c r="G352" s="203" t="str">
        <f ca="1">IFERROR(__xludf.DUMMYFUNCTION("unique(filter($D$5:$D1123,$B$5:$B1123=E352))"),"")</f>
        <v/>
      </c>
      <c r="K352" s="48"/>
      <c r="M352" s="205" t="s">
        <v>2661</v>
      </c>
    </row>
    <row r="353" spans="2:13" ht="15.75" customHeight="1" x14ac:dyDescent="0.2">
      <c r="B353" s="218" t="s">
        <v>2662</v>
      </c>
      <c r="C353" s="218"/>
      <c r="D353" s="218" t="s">
        <v>2663</v>
      </c>
      <c r="E353" s="71"/>
      <c r="F353" s="71" t="str">
        <f ca="1">IFERROR(__xludf.DUMMYFUNCTION("unique(filter($C$5:$C1123,$B$5:$B1123=E353))"),"")</f>
        <v/>
      </c>
      <c r="G353" s="203" t="str">
        <f ca="1">IFERROR(__xludf.DUMMYFUNCTION("unique(filter($D$5:$D1123,$B$5:$B1123=E353))"),"")</f>
        <v/>
      </c>
      <c r="K353" s="48"/>
      <c r="M353" s="205" t="s">
        <v>2664</v>
      </c>
    </row>
    <row r="354" spans="2:13" ht="15.75" customHeight="1" x14ac:dyDescent="0.2">
      <c r="B354" s="218"/>
      <c r="C354" s="218"/>
      <c r="D354" s="208"/>
      <c r="E354" s="71"/>
      <c r="F354" s="71" t="str">
        <f ca="1">IFERROR(__xludf.DUMMYFUNCTION("unique(filter($C$5:$C1123,$B$5:$B1123=E354))"),"")</f>
        <v/>
      </c>
      <c r="G354" s="203" t="str">
        <f ca="1">IFERROR(__xludf.DUMMYFUNCTION("unique(filter($D$5:$D1123,$B$5:$B1123=E354))"),"")</f>
        <v/>
      </c>
      <c r="K354" s="48"/>
      <c r="M354" s="205" t="s">
        <v>2665</v>
      </c>
    </row>
    <row r="355" spans="2:13" ht="15.75" customHeight="1" x14ac:dyDescent="0.2">
      <c r="B355" s="46"/>
      <c r="E355" s="71"/>
      <c r="F355" s="71" t="str">
        <f ca="1">IFERROR(__xludf.DUMMYFUNCTION("unique(filter($C$5:$C1123,$B$5:$B1123=E355))"),"")</f>
        <v/>
      </c>
      <c r="G355" s="203" t="str">
        <f ca="1">IFERROR(__xludf.DUMMYFUNCTION("unique(filter($D$5:$D1123,$B$5:$B1123=E355))"),"")</f>
        <v/>
      </c>
      <c r="K355" s="48"/>
      <c r="M355" s="205" t="s">
        <v>2666</v>
      </c>
    </row>
    <row r="356" spans="2:13" ht="15.75" customHeight="1" x14ac:dyDescent="0.2">
      <c r="B356" s="46"/>
      <c r="E356" s="71"/>
      <c r="F356" s="71" t="str">
        <f ca="1">IFERROR(__xludf.DUMMYFUNCTION("unique(filter($C$5:$C1123,$B$5:$B1123=E356))"),"")</f>
        <v/>
      </c>
      <c r="G356" s="203" t="str">
        <f ca="1">IFERROR(__xludf.DUMMYFUNCTION("unique(filter($D$5:$D1123,$B$5:$B1123=E356))"),"")</f>
        <v/>
      </c>
      <c r="K356" s="48"/>
      <c r="M356" s="205" t="s">
        <v>2667</v>
      </c>
    </row>
    <row r="357" spans="2:13" ht="15.75" customHeight="1" x14ac:dyDescent="0.2">
      <c r="B357" s="46"/>
      <c r="E357" s="71"/>
      <c r="F357" s="71" t="str">
        <f ca="1">IFERROR(__xludf.DUMMYFUNCTION("unique(filter($C$5:$C1123,$B$5:$B1123=E357))"),"")</f>
        <v/>
      </c>
      <c r="G357" s="203" t="str">
        <f ca="1">IFERROR(__xludf.DUMMYFUNCTION("unique(filter($D$5:$D1123,$B$5:$B1123=E357))"),"")</f>
        <v/>
      </c>
      <c r="K357" s="48"/>
      <c r="M357" s="205" t="s">
        <v>2668</v>
      </c>
    </row>
    <row r="358" spans="2:13" ht="15.75" customHeight="1" x14ac:dyDescent="0.2">
      <c r="B358" s="46"/>
      <c r="E358" s="71"/>
      <c r="F358" s="71" t="str">
        <f ca="1">IFERROR(__xludf.DUMMYFUNCTION("unique(filter($C$5:$C1123,$B$5:$B1123=E358))"),"")</f>
        <v/>
      </c>
      <c r="G358" s="203" t="str">
        <f ca="1">IFERROR(__xludf.DUMMYFUNCTION("unique(filter($D$5:$D1123,$B$5:$B1123=E358))"),"")</f>
        <v/>
      </c>
      <c r="K358" s="48"/>
      <c r="M358" s="205" t="s">
        <v>2669</v>
      </c>
    </row>
    <row r="359" spans="2:13" ht="15.75" customHeight="1" x14ac:dyDescent="0.2">
      <c r="B359" s="46"/>
      <c r="E359" s="71"/>
      <c r="F359" s="71" t="str">
        <f ca="1">IFERROR(__xludf.DUMMYFUNCTION("unique(filter($C$5:$C1123,$B$5:$B1123=E359))"),"")</f>
        <v/>
      </c>
      <c r="G359" s="203" t="str">
        <f ca="1">IFERROR(__xludf.DUMMYFUNCTION("unique(filter($D$5:$D1123,$B$5:$B1123=E359))"),"")</f>
        <v/>
      </c>
      <c r="K359" s="48"/>
      <c r="M359" s="205" t="s">
        <v>2670</v>
      </c>
    </row>
    <row r="360" spans="2:13" ht="15.75" customHeight="1" x14ac:dyDescent="0.2">
      <c r="B360" s="46"/>
      <c r="E360" s="71"/>
      <c r="F360" s="71" t="str">
        <f ca="1">IFERROR(__xludf.DUMMYFUNCTION("unique(filter($C$5:$C1123,$B$5:$B1123=E360))"),"")</f>
        <v/>
      </c>
      <c r="G360" s="203" t="str">
        <f ca="1">IFERROR(__xludf.DUMMYFUNCTION("unique(filter($D$5:$D1123,$B$5:$B1123=E360))"),"")</f>
        <v/>
      </c>
      <c r="K360" s="48"/>
      <c r="M360" s="205" t="s">
        <v>2671</v>
      </c>
    </row>
    <row r="361" spans="2:13" ht="15.75" customHeight="1" x14ac:dyDescent="0.2">
      <c r="B361" s="46"/>
      <c r="E361" s="71"/>
      <c r="F361" s="71" t="str">
        <f ca="1">IFERROR(__xludf.DUMMYFUNCTION("unique(filter($C$5:$C1123,$B$5:$B1123=E361))"),"")</f>
        <v/>
      </c>
      <c r="G361" s="203" t="str">
        <f ca="1">IFERROR(__xludf.DUMMYFUNCTION("unique(filter($D$5:$D1123,$B$5:$B1123=E361))"),"")</f>
        <v/>
      </c>
      <c r="K361" s="48"/>
      <c r="M361" s="205" t="s">
        <v>2672</v>
      </c>
    </row>
    <row r="362" spans="2:13" ht="15.75" customHeight="1" x14ac:dyDescent="0.2">
      <c r="B362" s="46"/>
      <c r="E362" s="71"/>
      <c r="F362" s="71" t="str">
        <f ca="1">IFERROR(__xludf.DUMMYFUNCTION("unique(filter($C$5:$C1123,$B$5:$B1123=E362))"),"")</f>
        <v/>
      </c>
      <c r="G362" s="203" t="str">
        <f ca="1">IFERROR(__xludf.DUMMYFUNCTION("unique(filter($D$5:$D1123,$B$5:$B1123=E362))"),"")</f>
        <v/>
      </c>
      <c r="K362" s="48"/>
      <c r="M362" s="205" t="s">
        <v>2673</v>
      </c>
    </row>
    <row r="363" spans="2:13" ht="15.75" customHeight="1" x14ac:dyDescent="0.2">
      <c r="B363" s="46"/>
      <c r="E363" s="71"/>
      <c r="F363" s="71" t="str">
        <f ca="1">IFERROR(__xludf.DUMMYFUNCTION("unique(filter($C$5:$C1123,$B$5:$B1123=E363))"),"")</f>
        <v/>
      </c>
      <c r="G363" s="203" t="str">
        <f ca="1">IFERROR(__xludf.DUMMYFUNCTION("unique(filter($D$5:$D1123,$B$5:$B1123=E363))"),"")</f>
        <v/>
      </c>
      <c r="K363" s="48"/>
      <c r="M363" s="205" t="s">
        <v>2674</v>
      </c>
    </row>
    <row r="364" spans="2:13" ht="15.75" customHeight="1" x14ac:dyDescent="0.2">
      <c r="B364" s="46"/>
      <c r="E364" s="71"/>
      <c r="F364" s="71" t="str">
        <f ca="1">IFERROR(__xludf.DUMMYFUNCTION("unique(filter($C$5:$C1123,$B$5:$B1123=E364))"),"")</f>
        <v/>
      </c>
      <c r="G364" s="203" t="str">
        <f ca="1">IFERROR(__xludf.DUMMYFUNCTION("unique(filter($D$5:$D1123,$B$5:$B1123=E364))"),"")</f>
        <v/>
      </c>
      <c r="K364" s="48"/>
      <c r="M364" s="205" t="s">
        <v>2675</v>
      </c>
    </row>
    <row r="365" spans="2:13" ht="15.75" customHeight="1" x14ac:dyDescent="0.2">
      <c r="B365" s="46"/>
      <c r="E365" s="71"/>
      <c r="F365" s="71" t="str">
        <f ca="1">IFERROR(__xludf.DUMMYFUNCTION("unique(filter($C$5:$C1123,$B$5:$B1123=E365))"),"")</f>
        <v/>
      </c>
      <c r="G365" s="203" t="str">
        <f ca="1">IFERROR(__xludf.DUMMYFUNCTION("unique(filter($D$5:$D1123,$B$5:$B1123=E365))"),"")</f>
        <v/>
      </c>
      <c r="K365" s="48"/>
      <c r="M365" s="205" t="s">
        <v>2676</v>
      </c>
    </row>
    <row r="366" spans="2:13" ht="15.75" customHeight="1" x14ac:dyDescent="0.2">
      <c r="B366" s="46"/>
      <c r="E366" s="71"/>
      <c r="F366" s="71" t="str">
        <f ca="1">IFERROR(__xludf.DUMMYFUNCTION("unique(filter($C$5:$C1123,$B$5:$B1123=E366))"),"")</f>
        <v/>
      </c>
      <c r="G366" s="203" t="str">
        <f ca="1">IFERROR(__xludf.DUMMYFUNCTION("unique(filter($D$5:$D1123,$B$5:$B1123=E366))"),"")</f>
        <v/>
      </c>
      <c r="K366" s="48"/>
      <c r="M366" s="205" t="s">
        <v>2677</v>
      </c>
    </row>
    <row r="367" spans="2:13" ht="15.75" customHeight="1" x14ac:dyDescent="0.2">
      <c r="B367" s="46"/>
      <c r="E367" s="71"/>
      <c r="F367" s="71" t="str">
        <f ca="1">IFERROR(__xludf.DUMMYFUNCTION("unique(filter($C$5:$C1123,$B$5:$B1123=E367))"),"")</f>
        <v/>
      </c>
      <c r="G367" s="203" t="str">
        <f ca="1">IFERROR(__xludf.DUMMYFUNCTION("unique(filter($D$5:$D1123,$B$5:$B1123=E367))"),"")</f>
        <v/>
      </c>
      <c r="K367" s="48"/>
      <c r="M367" s="205" t="s">
        <v>2678</v>
      </c>
    </row>
    <row r="368" spans="2:13" ht="15.75" customHeight="1" x14ac:dyDescent="0.2">
      <c r="B368" s="46"/>
      <c r="E368" s="71"/>
      <c r="F368" s="71" t="str">
        <f ca="1">IFERROR(__xludf.DUMMYFUNCTION("unique(filter($C$5:$C1123,$B$5:$B1123=E368))"),"")</f>
        <v/>
      </c>
      <c r="G368" s="203" t="str">
        <f ca="1">IFERROR(__xludf.DUMMYFUNCTION("unique(filter($D$5:$D1123,$B$5:$B1123=E368))"),"")</f>
        <v/>
      </c>
      <c r="K368" s="48"/>
      <c r="M368" s="205" t="s">
        <v>2679</v>
      </c>
    </row>
    <row r="369" spans="2:13" ht="15.75" customHeight="1" x14ac:dyDescent="0.2">
      <c r="B369" s="46"/>
      <c r="E369" s="71"/>
      <c r="F369" s="71" t="str">
        <f ca="1">IFERROR(__xludf.DUMMYFUNCTION("unique(filter($C$5:$C1123,$B$5:$B1123=E369))"),"")</f>
        <v/>
      </c>
      <c r="G369" s="203" t="str">
        <f ca="1">IFERROR(__xludf.DUMMYFUNCTION("unique(filter($D$5:$D1123,$B$5:$B1123=E369))"),"")</f>
        <v/>
      </c>
      <c r="K369" s="48"/>
      <c r="M369" s="205" t="s">
        <v>2680</v>
      </c>
    </row>
    <row r="370" spans="2:13" ht="15.75" customHeight="1" x14ac:dyDescent="0.2">
      <c r="B370" s="46"/>
      <c r="E370" s="71"/>
      <c r="F370" s="71" t="str">
        <f ca="1">IFERROR(__xludf.DUMMYFUNCTION("unique(filter($C$5:$C1123,$B$5:$B1123=E370))"),"")</f>
        <v/>
      </c>
      <c r="G370" s="203" t="str">
        <f ca="1">IFERROR(__xludf.DUMMYFUNCTION("unique(filter($D$5:$D1123,$B$5:$B1123=E370))"),"")</f>
        <v/>
      </c>
      <c r="K370" s="48"/>
      <c r="M370" s="205" t="s">
        <v>2681</v>
      </c>
    </row>
    <row r="371" spans="2:13" ht="15.75" customHeight="1" x14ac:dyDescent="0.2">
      <c r="B371" s="46"/>
      <c r="E371" s="71"/>
      <c r="F371" s="71" t="str">
        <f ca="1">IFERROR(__xludf.DUMMYFUNCTION("unique(filter($C$5:$C1123,$B$5:$B1123=E371))"),"")</f>
        <v/>
      </c>
      <c r="G371" s="203" t="str">
        <f ca="1">IFERROR(__xludf.DUMMYFUNCTION("unique(filter($D$5:$D1123,$B$5:$B1123=E371))"),"")</f>
        <v/>
      </c>
      <c r="K371" s="48"/>
      <c r="M371" s="205" t="s">
        <v>2682</v>
      </c>
    </row>
    <row r="372" spans="2:13" ht="15.75" customHeight="1" x14ac:dyDescent="0.2">
      <c r="B372" s="46"/>
      <c r="E372" s="71"/>
      <c r="F372" s="71" t="str">
        <f ca="1">IFERROR(__xludf.DUMMYFUNCTION("unique(filter($C$5:$C1123,$B$5:$B1123=E372))"),"")</f>
        <v/>
      </c>
      <c r="G372" s="203" t="str">
        <f ca="1">IFERROR(__xludf.DUMMYFUNCTION("unique(filter($D$5:$D1123,$B$5:$B1123=E372))"),"")</f>
        <v/>
      </c>
      <c r="K372" s="48"/>
      <c r="M372" s="205" t="s">
        <v>2683</v>
      </c>
    </row>
    <row r="373" spans="2:13" ht="15.75" customHeight="1" x14ac:dyDescent="0.2">
      <c r="B373" s="46"/>
      <c r="E373" s="71"/>
      <c r="F373" s="71" t="str">
        <f ca="1">IFERROR(__xludf.DUMMYFUNCTION("unique(filter($C$5:$C1123,$B$5:$B1123=E373))"),"")</f>
        <v/>
      </c>
      <c r="G373" s="203" t="str">
        <f ca="1">IFERROR(__xludf.DUMMYFUNCTION("unique(filter($D$5:$D1123,$B$5:$B1123=E373))"),"")</f>
        <v/>
      </c>
      <c r="K373" s="48"/>
      <c r="M373" s="205" t="s">
        <v>2684</v>
      </c>
    </row>
    <row r="374" spans="2:13" ht="15.75" customHeight="1" x14ac:dyDescent="0.2">
      <c r="B374" s="46"/>
      <c r="E374" s="71"/>
      <c r="F374" s="71" t="str">
        <f ca="1">IFERROR(__xludf.DUMMYFUNCTION("unique(filter($C$5:$C1123,$B$5:$B1123=E374))"),"")</f>
        <v/>
      </c>
      <c r="G374" s="203" t="str">
        <f ca="1">IFERROR(__xludf.DUMMYFUNCTION("unique(filter($D$5:$D1123,$B$5:$B1123=E374))"),"")</f>
        <v/>
      </c>
      <c r="K374" s="48"/>
      <c r="M374" s="205" t="s">
        <v>2685</v>
      </c>
    </row>
    <row r="375" spans="2:13" ht="15.75" customHeight="1" x14ac:dyDescent="0.2">
      <c r="B375" s="46"/>
      <c r="E375" s="71"/>
      <c r="F375" s="71" t="str">
        <f ca="1">IFERROR(__xludf.DUMMYFUNCTION("unique(filter($C$5:$C1123,$B$5:$B1123=E375))"),"")</f>
        <v/>
      </c>
      <c r="G375" s="203" t="str">
        <f ca="1">IFERROR(__xludf.DUMMYFUNCTION("unique(filter($D$5:$D1123,$B$5:$B1123=E375))"),"")</f>
        <v/>
      </c>
      <c r="K375" s="48"/>
      <c r="M375" s="205" t="s">
        <v>2686</v>
      </c>
    </row>
    <row r="376" spans="2:13" ht="15.75" customHeight="1" x14ac:dyDescent="0.2">
      <c r="B376" s="46"/>
      <c r="E376" s="71"/>
      <c r="F376" s="71" t="str">
        <f ca="1">IFERROR(__xludf.DUMMYFUNCTION("unique(filter($C$5:$C1123,$B$5:$B1123=E376))"),"")</f>
        <v/>
      </c>
      <c r="G376" s="203" t="str">
        <f ca="1">IFERROR(__xludf.DUMMYFUNCTION("unique(filter($D$5:$D1123,$B$5:$B1123=E376))"),"")</f>
        <v/>
      </c>
      <c r="K376" s="48"/>
      <c r="M376" s="205" t="s">
        <v>2687</v>
      </c>
    </row>
    <row r="377" spans="2:13" ht="15.75" customHeight="1" x14ac:dyDescent="0.2">
      <c r="B377" s="46"/>
      <c r="E377" s="71"/>
      <c r="F377" s="71" t="str">
        <f ca="1">IFERROR(__xludf.DUMMYFUNCTION("unique(filter($C$5:$C1123,$B$5:$B1123=E377))"),"")</f>
        <v/>
      </c>
      <c r="G377" s="203" t="str">
        <f ca="1">IFERROR(__xludf.DUMMYFUNCTION("unique(filter($D$5:$D1123,$B$5:$B1123=E377))"),"")</f>
        <v/>
      </c>
      <c r="K377" s="48"/>
      <c r="M377" s="205" t="s">
        <v>2688</v>
      </c>
    </row>
    <row r="378" spans="2:13" ht="15.75" customHeight="1" x14ac:dyDescent="0.2">
      <c r="B378" s="46"/>
      <c r="E378" s="71"/>
      <c r="F378" s="71" t="str">
        <f ca="1">IFERROR(__xludf.DUMMYFUNCTION("unique(filter($C$5:$C1123,$B$5:$B1123=E378))"),"")</f>
        <v/>
      </c>
      <c r="G378" s="203" t="str">
        <f ca="1">IFERROR(__xludf.DUMMYFUNCTION("unique(filter($D$5:$D1123,$B$5:$B1123=E378))"),"")</f>
        <v/>
      </c>
      <c r="K378" s="48"/>
      <c r="M378" s="205" t="s">
        <v>2689</v>
      </c>
    </row>
    <row r="379" spans="2:13" ht="15.75" customHeight="1" x14ac:dyDescent="0.2">
      <c r="B379" s="46"/>
      <c r="E379" s="71"/>
      <c r="F379" s="71" t="str">
        <f ca="1">IFERROR(__xludf.DUMMYFUNCTION("unique(filter($C$5:$C1123,$B$5:$B1123=E379))"),"")</f>
        <v/>
      </c>
      <c r="G379" s="203" t="str">
        <f ca="1">IFERROR(__xludf.DUMMYFUNCTION("unique(filter($D$5:$D1123,$B$5:$B1123=E379))"),"")</f>
        <v/>
      </c>
      <c r="K379" s="48"/>
      <c r="M379" s="205" t="s">
        <v>2690</v>
      </c>
    </row>
    <row r="380" spans="2:13" ht="15.75" customHeight="1" x14ac:dyDescent="0.2">
      <c r="B380" s="46"/>
      <c r="E380" s="71"/>
      <c r="F380" s="71" t="str">
        <f ca="1">IFERROR(__xludf.DUMMYFUNCTION("unique(filter($C$5:$C1123,$B$5:$B1123=E380))"),"")</f>
        <v/>
      </c>
      <c r="G380" s="203" t="str">
        <f ca="1">IFERROR(__xludf.DUMMYFUNCTION("unique(filter($D$5:$D1123,$B$5:$B1123=E380))"),"")</f>
        <v/>
      </c>
      <c r="K380" s="48"/>
      <c r="M380" s="205" t="s">
        <v>2691</v>
      </c>
    </row>
    <row r="381" spans="2:13" ht="15.75" customHeight="1" x14ac:dyDescent="0.2">
      <c r="B381" s="46"/>
      <c r="E381" s="71"/>
      <c r="F381" s="71" t="str">
        <f ca="1">IFERROR(__xludf.DUMMYFUNCTION("unique(filter($C$5:$C1123,$B$5:$B1123=E381))"),"")</f>
        <v/>
      </c>
      <c r="G381" s="203" t="str">
        <f ca="1">IFERROR(__xludf.DUMMYFUNCTION("unique(filter($D$5:$D1123,$B$5:$B1123=E381))"),"")</f>
        <v/>
      </c>
      <c r="K381" s="48"/>
      <c r="M381" s="205" t="s">
        <v>2692</v>
      </c>
    </row>
    <row r="382" spans="2:13" ht="15.75" customHeight="1" x14ac:dyDescent="0.2">
      <c r="B382" s="46"/>
      <c r="E382" s="71"/>
      <c r="F382" s="71" t="str">
        <f ca="1">IFERROR(__xludf.DUMMYFUNCTION("unique(filter($C$5:$C1123,$B$5:$B1123=E382))"),"")</f>
        <v/>
      </c>
      <c r="G382" s="203" t="str">
        <f ca="1">IFERROR(__xludf.DUMMYFUNCTION("unique(filter($D$5:$D1123,$B$5:$B1123=E382))"),"")</f>
        <v/>
      </c>
      <c r="K382" s="48"/>
      <c r="M382" s="205" t="s">
        <v>2693</v>
      </c>
    </row>
    <row r="383" spans="2:13" ht="15.75" customHeight="1" x14ac:dyDescent="0.2">
      <c r="B383" s="46"/>
      <c r="E383" s="71"/>
      <c r="F383" s="71" t="str">
        <f ca="1">IFERROR(__xludf.DUMMYFUNCTION("unique(filter($C$5:$C1123,$B$5:$B1123=E383))"),"")</f>
        <v/>
      </c>
      <c r="G383" s="203" t="str">
        <f ca="1">IFERROR(__xludf.DUMMYFUNCTION("unique(filter($D$5:$D1123,$B$5:$B1123=E383))"),"")</f>
        <v/>
      </c>
      <c r="K383" s="48"/>
      <c r="M383" s="205" t="s">
        <v>2694</v>
      </c>
    </row>
    <row r="384" spans="2:13" ht="15.75" customHeight="1" x14ac:dyDescent="0.2">
      <c r="B384" s="46"/>
      <c r="E384" s="71"/>
      <c r="F384" s="71" t="str">
        <f ca="1">IFERROR(__xludf.DUMMYFUNCTION("unique(filter($C$5:$C1123,$B$5:$B1123=E384))"),"")</f>
        <v/>
      </c>
      <c r="G384" s="203" t="str">
        <f ca="1">IFERROR(__xludf.DUMMYFUNCTION("unique(filter($D$5:$D1123,$B$5:$B1123=E384))"),"")</f>
        <v/>
      </c>
      <c r="K384" s="48"/>
      <c r="M384" s="205" t="s">
        <v>2695</v>
      </c>
    </row>
    <row r="385" spans="2:13" ht="15.75" customHeight="1" x14ac:dyDescent="0.2">
      <c r="B385" s="46"/>
      <c r="E385" s="71"/>
      <c r="F385" s="71" t="str">
        <f ca="1">IFERROR(__xludf.DUMMYFUNCTION("unique(filter($C$5:$C1123,$B$5:$B1123=E385))"),"")</f>
        <v/>
      </c>
      <c r="G385" s="203" t="str">
        <f ca="1">IFERROR(__xludf.DUMMYFUNCTION("unique(filter($D$5:$D1123,$B$5:$B1123=E385))"),"")</f>
        <v/>
      </c>
      <c r="K385" s="48"/>
      <c r="M385" s="205" t="s">
        <v>2696</v>
      </c>
    </row>
    <row r="386" spans="2:13" ht="15.75" customHeight="1" x14ac:dyDescent="0.2">
      <c r="B386" s="46"/>
      <c r="E386" s="71"/>
      <c r="F386" s="71" t="str">
        <f ca="1">IFERROR(__xludf.DUMMYFUNCTION("unique(filter($C$5:$C1123,$B$5:$B1123=E386))"),"")</f>
        <v/>
      </c>
      <c r="G386" s="203" t="str">
        <f ca="1">IFERROR(__xludf.DUMMYFUNCTION("unique(filter($D$5:$D1123,$B$5:$B1123=E386))"),"")</f>
        <v/>
      </c>
      <c r="K386" s="48"/>
      <c r="M386" s="205" t="s">
        <v>2697</v>
      </c>
    </row>
    <row r="387" spans="2:13" ht="15.75" customHeight="1" x14ac:dyDescent="0.2">
      <c r="B387" s="46"/>
      <c r="E387" s="71"/>
      <c r="F387" s="71" t="str">
        <f ca="1">IFERROR(__xludf.DUMMYFUNCTION("unique(filter($C$5:$C1123,$B$5:$B1123=E387))"),"")</f>
        <v/>
      </c>
      <c r="G387" s="203" t="str">
        <f ca="1">IFERROR(__xludf.DUMMYFUNCTION("unique(filter($D$5:$D1123,$B$5:$B1123=E387))"),"")</f>
        <v/>
      </c>
      <c r="K387" s="48"/>
      <c r="M387" s="205" t="s">
        <v>2698</v>
      </c>
    </row>
    <row r="388" spans="2:13" ht="15.75" customHeight="1" x14ac:dyDescent="0.2">
      <c r="B388" s="46"/>
      <c r="E388" s="71"/>
      <c r="F388" s="71" t="str">
        <f ca="1">IFERROR(__xludf.DUMMYFUNCTION("unique(filter($C$5:$C1123,$B$5:$B1123=E388))"),"")</f>
        <v/>
      </c>
      <c r="G388" s="203" t="str">
        <f ca="1">IFERROR(__xludf.DUMMYFUNCTION("unique(filter($D$5:$D1123,$B$5:$B1123=E388))"),"")</f>
        <v/>
      </c>
      <c r="K388" s="48"/>
      <c r="M388" s="205" t="s">
        <v>2699</v>
      </c>
    </row>
    <row r="389" spans="2:13" ht="15.75" customHeight="1" x14ac:dyDescent="0.2">
      <c r="B389" s="46"/>
      <c r="E389" s="71"/>
      <c r="F389" s="71" t="str">
        <f ca="1">IFERROR(__xludf.DUMMYFUNCTION("unique(filter($C$5:$C1123,$B$5:$B1123=E389))"),"")</f>
        <v/>
      </c>
      <c r="G389" s="203" t="str">
        <f ca="1">IFERROR(__xludf.DUMMYFUNCTION("unique(filter($D$5:$D1123,$B$5:$B1123=E389))"),"")</f>
        <v/>
      </c>
      <c r="K389" s="48"/>
      <c r="M389" s="205" t="s">
        <v>2700</v>
      </c>
    </row>
    <row r="390" spans="2:13" ht="15.75" customHeight="1" x14ac:dyDescent="0.2">
      <c r="B390" s="46"/>
      <c r="E390" s="71"/>
      <c r="F390" s="71" t="str">
        <f ca="1">IFERROR(__xludf.DUMMYFUNCTION("unique(filter($C$5:$C1123,$B$5:$B1123=E390))"),"")</f>
        <v/>
      </c>
      <c r="G390" s="203" t="str">
        <f ca="1">IFERROR(__xludf.DUMMYFUNCTION("unique(filter($D$5:$D1123,$B$5:$B1123=E390))"),"")</f>
        <v/>
      </c>
      <c r="K390" s="48"/>
      <c r="M390" s="205" t="s">
        <v>2701</v>
      </c>
    </row>
    <row r="391" spans="2:13" ht="15.75" customHeight="1" x14ac:dyDescent="0.2">
      <c r="B391" s="46"/>
      <c r="E391" s="71"/>
      <c r="F391" s="71" t="str">
        <f ca="1">IFERROR(__xludf.DUMMYFUNCTION("unique(filter($C$5:$C1123,$B$5:$B1123=E391))"),"")</f>
        <v/>
      </c>
      <c r="G391" s="203" t="str">
        <f ca="1">IFERROR(__xludf.DUMMYFUNCTION("unique(filter($D$5:$D1123,$B$5:$B1123=E391))"),"")</f>
        <v/>
      </c>
      <c r="K391" s="48"/>
      <c r="M391" s="205" t="s">
        <v>2702</v>
      </c>
    </row>
    <row r="392" spans="2:13" ht="15.75" customHeight="1" x14ac:dyDescent="0.2">
      <c r="B392" s="46"/>
      <c r="E392" s="71"/>
      <c r="F392" s="71" t="str">
        <f ca="1">IFERROR(__xludf.DUMMYFUNCTION("unique(filter($C$5:$C1123,$B$5:$B1123=E392))"),"")</f>
        <v/>
      </c>
      <c r="G392" s="203" t="str">
        <f ca="1">IFERROR(__xludf.DUMMYFUNCTION("unique(filter($D$5:$D1123,$B$5:$B1123=E392))"),"")</f>
        <v/>
      </c>
      <c r="K392" s="48"/>
      <c r="M392" s="205" t="s">
        <v>2703</v>
      </c>
    </row>
    <row r="393" spans="2:13" ht="15.75" customHeight="1" x14ac:dyDescent="0.2">
      <c r="B393" s="46"/>
      <c r="E393" s="71"/>
      <c r="F393" s="71" t="str">
        <f ca="1">IFERROR(__xludf.DUMMYFUNCTION("unique(filter($C$5:$C1123,$B$5:$B1123=E393))"),"")</f>
        <v/>
      </c>
      <c r="G393" s="203" t="str">
        <f ca="1">IFERROR(__xludf.DUMMYFUNCTION("unique(filter($D$5:$D1123,$B$5:$B1123=E393))"),"")</f>
        <v/>
      </c>
      <c r="K393" s="48"/>
      <c r="M393" s="205" t="s">
        <v>2704</v>
      </c>
    </row>
    <row r="394" spans="2:13" ht="15.75" customHeight="1" x14ac:dyDescent="0.2">
      <c r="B394" s="46"/>
      <c r="E394" s="71"/>
      <c r="F394" s="71" t="str">
        <f ca="1">IFERROR(__xludf.DUMMYFUNCTION("unique(filter($C$5:$C1123,$B$5:$B1123=E394))"),"")</f>
        <v/>
      </c>
      <c r="G394" s="203" t="str">
        <f ca="1">IFERROR(__xludf.DUMMYFUNCTION("unique(filter($D$5:$D1123,$B$5:$B1123=E394))"),"")</f>
        <v/>
      </c>
      <c r="K394" s="48"/>
      <c r="M394" s="205" t="s">
        <v>2705</v>
      </c>
    </row>
    <row r="395" spans="2:13" ht="15.75" customHeight="1" x14ac:dyDescent="0.2">
      <c r="B395" s="46"/>
      <c r="E395" s="71"/>
      <c r="F395" s="71" t="str">
        <f ca="1">IFERROR(__xludf.DUMMYFUNCTION("unique(filter($C$5:$C1123,$B$5:$B1123=E395))"),"")</f>
        <v/>
      </c>
      <c r="G395" s="203" t="str">
        <f ca="1">IFERROR(__xludf.DUMMYFUNCTION("unique(filter($D$5:$D1123,$B$5:$B1123=E395))"),"")</f>
        <v/>
      </c>
      <c r="K395" s="48"/>
      <c r="M395" s="205" t="s">
        <v>2706</v>
      </c>
    </row>
    <row r="396" spans="2:13" ht="15.75" customHeight="1" x14ac:dyDescent="0.2">
      <c r="B396" s="46"/>
      <c r="E396" s="71"/>
      <c r="F396" s="71" t="str">
        <f ca="1">IFERROR(__xludf.DUMMYFUNCTION("unique(filter($C$5:$C1123,$B$5:$B1123=E396))"),"")</f>
        <v/>
      </c>
      <c r="G396" s="203" t="str">
        <f ca="1">IFERROR(__xludf.DUMMYFUNCTION("unique(filter($D$5:$D1123,$B$5:$B1123=E396))"),"")</f>
        <v/>
      </c>
      <c r="K396" s="48"/>
      <c r="M396" s="205" t="s">
        <v>2707</v>
      </c>
    </row>
    <row r="397" spans="2:13" ht="15.75" customHeight="1" x14ac:dyDescent="0.2">
      <c r="B397" s="46"/>
      <c r="E397" s="71"/>
      <c r="F397" s="71" t="str">
        <f ca="1">IFERROR(__xludf.DUMMYFUNCTION("unique(filter($C$5:$C1123,$B$5:$B1123=E397))"),"")</f>
        <v/>
      </c>
      <c r="G397" s="203" t="str">
        <f ca="1">IFERROR(__xludf.DUMMYFUNCTION("unique(filter($D$5:$D1123,$B$5:$B1123=E397))"),"")</f>
        <v/>
      </c>
      <c r="K397" s="48"/>
      <c r="M397" s="205" t="s">
        <v>2708</v>
      </c>
    </row>
    <row r="398" spans="2:13" ht="15.75" customHeight="1" x14ac:dyDescent="0.2">
      <c r="B398" s="46"/>
      <c r="E398" s="71"/>
      <c r="F398" s="71" t="str">
        <f ca="1">IFERROR(__xludf.DUMMYFUNCTION("unique(filter($C$5:$C1123,$B$5:$B1123=E398))"),"")</f>
        <v/>
      </c>
      <c r="G398" s="203" t="str">
        <f ca="1">IFERROR(__xludf.DUMMYFUNCTION("unique(filter($D$5:$D1123,$B$5:$B1123=E398))"),"")</f>
        <v/>
      </c>
      <c r="K398" s="48"/>
      <c r="M398" s="205" t="s">
        <v>2709</v>
      </c>
    </row>
    <row r="399" spans="2:13" ht="15.75" customHeight="1" x14ac:dyDescent="0.2">
      <c r="B399" s="46"/>
      <c r="E399" s="71"/>
      <c r="F399" s="71" t="str">
        <f ca="1">IFERROR(__xludf.DUMMYFUNCTION("unique(filter($C$5:$C1123,$B$5:$B1123=E399))"),"")</f>
        <v/>
      </c>
      <c r="G399" s="203" t="str">
        <f ca="1">IFERROR(__xludf.DUMMYFUNCTION("unique(filter($D$5:$D1123,$B$5:$B1123=E399))"),"")</f>
        <v/>
      </c>
      <c r="K399" s="48"/>
      <c r="M399" s="205" t="s">
        <v>2710</v>
      </c>
    </row>
    <row r="400" spans="2:13" ht="15.75" customHeight="1" x14ac:dyDescent="0.2">
      <c r="B400" s="46"/>
      <c r="E400" s="71"/>
      <c r="F400" s="71" t="str">
        <f ca="1">IFERROR(__xludf.DUMMYFUNCTION("unique(filter($C$5:$C1123,$B$5:$B1123=E400))"),"")</f>
        <v/>
      </c>
      <c r="G400" s="203" t="str">
        <f ca="1">IFERROR(__xludf.DUMMYFUNCTION("unique(filter($D$5:$D1123,$B$5:$B1123=E400))"),"")</f>
        <v/>
      </c>
      <c r="K400" s="48"/>
      <c r="M400" s="205" t="s">
        <v>2711</v>
      </c>
    </row>
    <row r="401" spans="2:13" ht="15.75" customHeight="1" x14ac:dyDescent="0.2">
      <c r="B401" s="46"/>
      <c r="E401" s="71"/>
      <c r="F401" s="71" t="str">
        <f ca="1">IFERROR(__xludf.DUMMYFUNCTION("unique(filter($C$5:$C1123,$B$5:$B1123=E401))"),"")</f>
        <v/>
      </c>
      <c r="G401" s="203" t="str">
        <f ca="1">IFERROR(__xludf.DUMMYFUNCTION("unique(filter($D$5:$D1123,$B$5:$B1123=E401))"),"")</f>
        <v/>
      </c>
      <c r="K401" s="48"/>
      <c r="M401" s="205" t="s">
        <v>2712</v>
      </c>
    </row>
    <row r="402" spans="2:13" ht="15.75" customHeight="1" x14ac:dyDescent="0.2">
      <c r="B402" s="46"/>
      <c r="E402" s="71"/>
      <c r="F402" s="71" t="str">
        <f ca="1">IFERROR(__xludf.DUMMYFUNCTION("unique(filter($C$5:$C1123,$B$5:$B1123=E402))"),"")</f>
        <v/>
      </c>
      <c r="G402" s="203" t="str">
        <f ca="1">IFERROR(__xludf.DUMMYFUNCTION("unique(filter($D$5:$D1123,$B$5:$B1123=E402))"),"")</f>
        <v/>
      </c>
      <c r="K402" s="48"/>
      <c r="M402" s="205" t="s">
        <v>2713</v>
      </c>
    </row>
    <row r="403" spans="2:13" ht="15.75" customHeight="1" x14ac:dyDescent="0.2">
      <c r="B403" s="46"/>
      <c r="E403" s="71"/>
      <c r="F403" s="71" t="str">
        <f ca="1">IFERROR(__xludf.DUMMYFUNCTION("unique(filter($C$5:$C1123,$B$5:$B1123=E403))"),"")</f>
        <v/>
      </c>
      <c r="G403" s="203" t="str">
        <f ca="1">IFERROR(__xludf.DUMMYFUNCTION("unique(filter($D$5:$D1123,$B$5:$B1123=E403))"),"")</f>
        <v/>
      </c>
      <c r="K403" s="48"/>
      <c r="M403" s="205" t="s">
        <v>2714</v>
      </c>
    </row>
    <row r="404" spans="2:13" ht="15.75" customHeight="1" x14ac:dyDescent="0.2">
      <c r="B404" s="46"/>
      <c r="E404" s="71"/>
      <c r="F404" s="71" t="str">
        <f ca="1">IFERROR(__xludf.DUMMYFUNCTION("unique(filter($C$5:$C1123,$B$5:$B1123=E404))"),"")</f>
        <v/>
      </c>
      <c r="G404" s="203" t="str">
        <f ca="1">IFERROR(__xludf.DUMMYFUNCTION("unique(filter($D$5:$D1123,$B$5:$B1123=E404))"),"")</f>
        <v/>
      </c>
      <c r="K404" s="48"/>
      <c r="M404" s="205" t="s">
        <v>2715</v>
      </c>
    </row>
    <row r="405" spans="2:13" ht="15.75" customHeight="1" x14ac:dyDescent="0.2">
      <c r="B405" s="46"/>
      <c r="E405" s="71"/>
      <c r="F405" s="71" t="str">
        <f ca="1">IFERROR(__xludf.DUMMYFUNCTION("unique(filter($C$5:$C1123,$B$5:$B1123=E405))"),"")</f>
        <v/>
      </c>
      <c r="G405" s="203" t="str">
        <f ca="1">IFERROR(__xludf.DUMMYFUNCTION("unique(filter($D$5:$D1123,$B$5:$B1123=E405))"),"")</f>
        <v/>
      </c>
      <c r="K405" s="48"/>
      <c r="M405" s="205" t="s">
        <v>2716</v>
      </c>
    </row>
    <row r="406" spans="2:13" ht="15.75" customHeight="1" x14ac:dyDescent="0.2">
      <c r="B406" s="46"/>
      <c r="E406" s="71"/>
      <c r="F406" s="71" t="str">
        <f ca="1">IFERROR(__xludf.DUMMYFUNCTION("unique(filter($C$5:$C1123,$B$5:$B1123=E406))"),"")</f>
        <v/>
      </c>
      <c r="G406" s="203" t="str">
        <f ca="1">IFERROR(__xludf.DUMMYFUNCTION("unique(filter($D$5:$D1123,$B$5:$B1123=E406))"),"")</f>
        <v/>
      </c>
      <c r="K406" s="48"/>
      <c r="M406" s="205" t="s">
        <v>2717</v>
      </c>
    </row>
    <row r="407" spans="2:13" ht="15.75" customHeight="1" x14ac:dyDescent="0.2">
      <c r="B407" s="46"/>
      <c r="E407" s="71"/>
      <c r="F407" s="71" t="str">
        <f ca="1">IFERROR(__xludf.DUMMYFUNCTION("unique(filter($C$5:$C1123,$B$5:$B1123=E407))"),"")</f>
        <v/>
      </c>
      <c r="G407" s="203" t="str">
        <f ca="1">IFERROR(__xludf.DUMMYFUNCTION("unique(filter($D$5:$D1123,$B$5:$B1123=E407))"),"")</f>
        <v/>
      </c>
      <c r="K407" s="48"/>
      <c r="M407" s="205" t="s">
        <v>2718</v>
      </c>
    </row>
    <row r="408" spans="2:13" ht="15.75" customHeight="1" x14ac:dyDescent="0.2">
      <c r="B408" s="46"/>
      <c r="E408" s="71"/>
      <c r="F408" s="71" t="str">
        <f ca="1">IFERROR(__xludf.DUMMYFUNCTION("unique(filter($C$5:$C1123,$B$5:$B1123=E408))"),"")</f>
        <v/>
      </c>
      <c r="G408" s="203" t="str">
        <f ca="1">IFERROR(__xludf.DUMMYFUNCTION("unique(filter($D$5:$D1123,$B$5:$B1123=E408))"),"")</f>
        <v/>
      </c>
      <c r="K408" s="48"/>
      <c r="M408" s="205" t="s">
        <v>2719</v>
      </c>
    </row>
    <row r="409" spans="2:13" ht="15.75" customHeight="1" x14ac:dyDescent="0.2">
      <c r="B409" s="46"/>
      <c r="E409" s="71"/>
      <c r="F409" s="71" t="str">
        <f ca="1">IFERROR(__xludf.DUMMYFUNCTION("unique(filter($C$5:$C1123,$B$5:$B1123=E409))"),"")</f>
        <v/>
      </c>
      <c r="G409" s="203" t="str">
        <f ca="1">IFERROR(__xludf.DUMMYFUNCTION("unique(filter($D$5:$D1123,$B$5:$B1123=E409))"),"")</f>
        <v/>
      </c>
      <c r="K409" s="48"/>
      <c r="M409" s="205" t="s">
        <v>2720</v>
      </c>
    </row>
    <row r="410" spans="2:13" ht="15.75" customHeight="1" x14ac:dyDescent="0.2">
      <c r="B410" s="46"/>
      <c r="E410" s="71"/>
      <c r="F410" s="71" t="str">
        <f ca="1">IFERROR(__xludf.DUMMYFUNCTION("unique(filter($C$5:$C1123,$B$5:$B1123=E410))"),"")</f>
        <v/>
      </c>
      <c r="G410" s="203" t="str">
        <f ca="1">IFERROR(__xludf.DUMMYFUNCTION("unique(filter($D$5:$D1123,$B$5:$B1123=E410))"),"")</f>
        <v/>
      </c>
      <c r="K410" s="48"/>
      <c r="M410" s="205" t="s">
        <v>2721</v>
      </c>
    </row>
    <row r="411" spans="2:13" ht="15.75" customHeight="1" x14ac:dyDescent="0.2">
      <c r="B411" s="46"/>
      <c r="E411" s="71"/>
      <c r="F411" s="71" t="str">
        <f ca="1">IFERROR(__xludf.DUMMYFUNCTION("unique(filter($C$5:$C1123,$B$5:$B1123=E411))"),"")</f>
        <v/>
      </c>
      <c r="G411" s="203" t="str">
        <f ca="1">IFERROR(__xludf.DUMMYFUNCTION("unique(filter($D$5:$D1123,$B$5:$B1123=E411))"),"")</f>
        <v/>
      </c>
      <c r="K411" s="48"/>
      <c r="M411" s="205" t="s">
        <v>2722</v>
      </c>
    </row>
    <row r="412" spans="2:13" ht="15.75" customHeight="1" x14ac:dyDescent="0.2">
      <c r="B412" s="46"/>
      <c r="E412" s="71"/>
      <c r="F412" s="71" t="str">
        <f ca="1">IFERROR(__xludf.DUMMYFUNCTION("unique(filter($C$5:$C1123,$B$5:$B1123=E412))"),"")</f>
        <v/>
      </c>
      <c r="G412" s="203" t="str">
        <f ca="1">IFERROR(__xludf.DUMMYFUNCTION("unique(filter($D$5:$D1123,$B$5:$B1123=E412))"),"")</f>
        <v/>
      </c>
      <c r="K412" s="48"/>
      <c r="M412" s="205" t="s">
        <v>2723</v>
      </c>
    </row>
    <row r="413" spans="2:13" ht="15.75" customHeight="1" x14ac:dyDescent="0.2">
      <c r="B413" s="46"/>
      <c r="E413" s="71"/>
      <c r="F413" s="71" t="str">
        <f ca="1">IFERROR(__xludf.DUMMYFUNCTION("unique(filter($C$5:$C1123,$B$5:$B1123=E413))"),"")</f>
        <v/>
      </c>
      <c r="G413" s="203" t="str">
        <f ca="1">IFERROR(__xludf.DUMMYFUNCTION("unique(filter($D$5:$D1123,$B$5:$B1123=E413))"),"")</f>
        <v/>
      </c>
      <c r="K413" s="48"/>
      <c r="M413" s="205" t="s">
        <v>2724</v>
      </c>
    </row>
    <row r="414" spans="2:13" ht="15.75" customHeight="1" x14ac:dyDescent="0.2">
      <c r="B414" s="46"/>
      <c r="E414" s="71"/>
      <c r="F414" s="71" t="str">
        <f ca="1">IFERROR(__xludf.DUMMYFUNCTION("unique(filter($C$5:$C1123,$B$5:$B1123=E414))"),"")</f>
        <v/>
      </c>
      <c r="G414" s="203" t="str">
        <f ca="1">IFERROR(__xludf.DUMMYFUNCTION("unique(filter($D$5:$D1123,$B$5:$B1123=E414))"),"")</f>
        <v/>
      </c>
      <c r="K414" s="48"/>
      <c r="M414" s="205" t="s">
        <v>2725</v>
      </c>
    </row>
    <row r="415" spans="2:13" ht="15.75" customHeight="1" x14ac:dyDescent="0.2">
      <c r="B415" s="46"/>
      <c r="E415" s="71"/>
      <c r="F415" s="71" t="str">
        <f ca="1">IFERROR(__xludf.DUMMYFUNCTION("unique(filter($C$5:$C1123,$B$5:$B1123=E415))"),"")</f>
        <v/>
      </c>
      <c r="G415" s="203" t="str">
        <f ca="1">IFERROR(__xludf.DUMMYFUNCTION("unique(filter($D$5:$D1123,$B$5:$B1123=E415))"),"")</f>
        <v/>
      </c>
      <c r="K415" s="48"/>
      <c r="M415" s="205" t="s">
        <v>2726</v>
      </c>
    </row>
    <row r="416" spans="2:13" ht="15.75" customHeight="1" x14ac:dyDescent="0.2">
      <c r="B416" s="46"/>
      <c r="E416" s="71"/>
      <c r="F416" s="71" t="str">
        <f ca="1">IFERROR(__xludf.DUMMYFUNCTION("unique(filter($C$5:$C1123,$B$5:$B1123=E416))"),"")</f>
        <v/>
      </c>
      <c r="G416" s="203" t="str">
        <f ca="1">IFERROR(__xludf.DUMMYFUNCTION("unique(filter($D$5:$D1123,$B$5:$B1123=E416))"),"")</f>
        <v/>
      </c>
      <c r="K416" s="48"/>
      <c r="M416" s="205" t="s">
        <v>2727</v>
      </c>
    </row>
    <row r="417" spans="2:13" ht="15.75" customHeight="1" x14ac:dyDescent="0.2">
      <c r="B417" s="46"/>
      <c r="E417" s="71"/>
      <c r="F417" s="71" t="str">
        <f ca="1">IFERROR(__xludf.DUMMYFUNCTION("unique(filter($C$5:$C1123,$B$5:$B1123=E417))"),"")</f>
        <v/>
      </c>
      <c r="G417" s="203" t="str">
        <f ca="1">IFERROR(__xludf.DUMMYFUNCTION("unique(filter($D$5:$D1123,$B$5:$B1123=E417))"),"")</f>
        <v/>
      </c>
      <c r="K417" s="48"/>
      <c r="M417" s="205" t="s">
        <v>2728</v>
      </c>
    </row>
    <row r="418" spans="2:13" ht="15.75" customHeight="1" x14ac:dyDescent="0.2">
      <c r="B418" s="46"/>
      <c r="E418" s="71"/>
      <c r="F418" s="71" t="str">
        <f ca="1">IFERROR(__xludf.DUMMYFUNCTION("unique(filter($C$5:$C1123,$B$5:$B1123=E418))"),"")</f>
        <v/>
      </c>
      <c r="G418" s="203" t="str">
        <f ca="1">IFERROR(__xludf.DUMMYFUNCTION("unique(filter($D$5:$D1123,$B$5:$B1123=E418))"),"")</f>
        <v/>
      </c>
      <c r="K418" s="48"/>
      <c r="M418" s="205" t="s">
        <v>2729</v>
      </c>
    </row>
    <row r="419" spans="2:13" ht="15.75" customHeight="1" x14ac:dyDescent="0.2">
      <c r="B419" s="46"/>
      <c r="E419" s="71"/>
      <c r="F419" s="71" t="str">
        <f ca="1">IFERROR(__xludf.DUMMYFUNCTION("unique(filter($C$5:$C1123,$B$5:$B1123=E419))"),"")</f>
        <v/>
      </c>
      <c r="G419" s="203" t="str">
        <f ca="1">IFERROR(__xludf.DUMMYFUNCTION("unique(filter($D$5:$D1123,$B$5:$B1123=E419))"),"")</f>
        <v/>
      </c>
      <c r="K419" s="48"/>
      <c r="M419" s="205" t="s">
        <v>2730</v>
      </c>
    </row>
    <row r="420" spans="2:13" ht="15.75" customHeight="1" x14ac:dyDescent="0.2">
      <c r="B420" s="46"/>
      <c r="E420" s="71"/>
      <c r="F420" s="71" t="str">
        <f ca="1">IFERROR(__xludf.DUMMYFUNCTION("unique(filter($C$5:$C1123,$B$5:$B1123=E420))"),"")</f>
        <v/>
      </c>
      <c r="G420" s="203" t="str">
        <f ca="1">IFERROR(__xludf.DUMMYFUNCTION("unique(filter($D$5:$D1123,$B$5:$B1123=E420))"),"")</f>
        <v/>
      </c>
      <c r="K420" s="48"/>
      <c r="M420" s="205" t="s">
        <v>2731</v>
      </c>
    </row>
    <row r="421" spans="2:13" ht="15.75" customHeight="1" x14ac:dyDescent="0.2">
      <c r="B421" s="46"/>
      <c r="E421" s="71"/>
      <c r="F421" s="71" t="str">
        <f ca="1">IFERROR(__xludf.DUMMYFUNCTION("unique(filter($C$5:$C1123,$B$5:$B1123=E421))"),"")</f>
        <v/>
      </c>
      <c r="G421" s="203" t="str">
        <f ca="1">IFERROR(__xludf.DUMMYFUNCTION("unique(filter($D$5:$D1123,$B$5:$B1123=E421))"),"")</f>
        <v/>
      </c>
      <c r="K421" s="48"/>
      <c r="M421" s="205" t="s">
        <v>2732</v>
      </c>
    </row>
    <row r="422" spans="2:13" ht="15.75" customHeight="1" x14ac:dyDescent="0.2">
      <c r="B422" s="46"/>
      <c r="E422" s="71"/>
      <c r="F422" s="71" t="str">
        <f ca="1">IFERROR(__xludf.DUMMYFUNCTION("unique(filter($C$5:$C1123,$B$5:$B1123=E422))"),"")</f>
        <v/>
      </c>
      <c r="G422" s="203" t="str">
        <f ca="1">IFERROR(__xludf.DUMMYFUNCTION("unique(filter($D$5:$D1123,$B$5:$B1123=E422))"),"")</f>
        <v/>
      </c>
      <c r="K422" s="48"/>
      <c r="M422" s="205" t="s">
        <v>2733</v>
      </c>
    </row>
    <row r="423" spans="2:13" ht="15.75" customHeight="1" x14ac:dyDescent="0.2">
      <c r="B423" s="46"/>
      <c r="E423" s="71"/>
      <c r="F423" s="71" t="str">
        <f ca="1">IFERROR(__xludf.DUMMYFUNCTION("unique(filter($C$5:$C1123,$B$5:$B1123=E423))"),"")</f>
        <v/>
      </c>
      <c r="G423" s="203" t="str">
        <f ca="1">IFERROR(__xludf.DUMMYFUNCTION("unique(filter($D$5:$D1123,$B$5:$B1123=E423))"),"")</f>
        <v/>
      </c>
      <c r="K423" s="48"/>
      <c r="M423" s="205" t="s">
        <v>2734</v>
      </c>
    </row>
    <row r="424" spans="2:13" ht="15.75" customHeight="1" x14ac:dyDescent="0.2">
      <c r="B424" s="46"/>
      <c r="E424" s="71"/>
      <c r="F424" s="71" t="str">
        <f ca="1">IFERROR(__xludf.DUMMYFUNCTION("unique(filter($C$5:$C1123,$B$5:$B1123=E424))"),"")</f>
        <v/>
      </c>
      <c r="G424" s="203" t="str">
        <f ca="1">IFERROR(__xludf.DUMMYFUNCTION("unique(filter($D$5:$D1123,$B$5:$B1123=E424))"),"")</f>
        <v/>
      </c>
      <c r="K424" s="48"/>
      <c r="M424" s="205" t="s">
        <v>2735</v>
      </c>
    </row>
    <row r="425" spans="2:13" ht="15.75" customHeight="1" x14ac:dyDescent="0.2">
      <c r="B425" s="46"/>
      <c r="E425" s="71"/>
      <c r="F425" s="71" t="str">
        <f ca="1">IFERROR(__xludf.DUMMYFUNCTION("unique(filter($C$5:$C1123,$B$5:$B1123=E425))"),"")</f>
        <v/>
      </c>
      <c r="G425" s="203" t="str">
        <f ca="1">IFERROR(__xludf.DUMMYFUNCTION("unique(filter($D$5:$D1123,$B$5:$B1123=E425))"),"")</f>
        <v/>
      </c>
      <c r="K425" s="48"/>
      <c r="M425" s="205" t="s">
        <v>2736</v>
      </c>
    </row>
    <row r="426" spans="2:13" ht="15.75" customHeight="1" x14ac:dyDescent="0.2">
      <c r="B426" s="46"/>
      <c r="E426" s="71"/>
      <c r="F426" s="71" t="str">
        <f ca="1">IFERROR(__xludf.DUMMYFUNCTION("unique(filter($C$5:$C1123,$B$5:$B1123=E426))"),"")</f>
        <v/>
      </c>
      <c r="G426" s="203" t="str">
        <f ca="1">IFERROR(__xludf.DUMMYFUNCTION("unique(filter($D$5:$D1123,$B$5:$B1123=E426))"),"")</f>
        <v/>
      </c>
      <c r="K426" s="48"/>
      <c r="M426" s="205" t="s">
        <v>2737</v>
      </c>
    </row>
    <row r="427" spans="2:13" ht="15.75" customHeight="1" x14ac:dyDescent="0.2">
      <c r="B427" s="46"/>
      <c r="E427" s="71"/>
      <c r="F427" s="71" t="str">
        <f ca="1">IFERROR(__xludf.DUMMYFUNCTION("unique(filter($C$5:$C1123,$B$5:$B1123=E427))"),"")</f>
        <v/>
      </c>
      <c r="G427" s="203" t="str">
        <f ca="1">IFERROR(__xludf.DUMMYFUNCTION("unique(filter($D$5:$D1123,$B$5:$B1123=E427))"),"")</f>
        <v/>
      </c>
      <c r="K427" s="48"/>
      <c r="M427" s="205" t="s">
        <v>2738</v>
      </c>
    </row>
    <row r="428" spans="2:13" ht="15.75" customHeight="1" x14ac:dyDescent="0.2">
      <c r="B428" s="46"/>
      <c r="E428" s="71"/>
      <c r="F428" s="71" t="str">
        <f ca="1">IFERROR(__xludf.DUMMYFUNCTION("unique(filter($C$5:$C1123,$B$5:$B1123=E428))"),"")</f>
        <v/>
      </c>
      <c r="G428" s="203" t="str">
        <f ca="1">IFERROR(__xludf.DUMMYFUNCTION("unique(filter($D$5:$D1123,$B$5:$B1123=E428))"),"")</f>
        <v/>
      </c>
      <c r="K428" s="48"/>
      <c r="M428" s="205" t="s">
        <v>2739</v>
      </c>
    </row>
    <row r="429" spans="2:13" ht="15.75" customHeight="1" x14ac:dyDescent="0.2">
      <c r="B429" s="46"/>
      <c r="E429" s="71"/>
      <c r="F429" s="71" t="str">
        <f ca="1">IFERROR(__xludf.DUMMYFUNCTION("unique(filter($C$5:$C1123,$B$5:$B1123=E429))"),"")</f>
        <v/>
      </c>
      <c r="G429" s="203" t="str">
        <f ca="1">IFERROR(__xludf.DUMMYFUNCTION("unique(filter($D$5:$D1123,$B$5:$B1123=E429))"),"")</f>
        <v/>
      </c>
      <c r="K429" s="48"/>
      <c r="M429" s="205" t="s">
        <v>2740</v>
      </c>
    </row>
    <row r="430" spans="2:13" ht="15.75" customHeight="1" x14ac:dyDescent="0.2">
      <c r="B430" s="46"/>
      <c r="E430" s="71"/>
      <c r="F430" s="71" t="str">
        <f ca="1">IFERROR(__xludf.DUMMYFUNCTION("unique(filter($C$5:$C1123,$B$5:$B1123=E430))"),"")</f>
        <v/>
      </c>
      <c r="G430" s="203" t="str">
        <f ca="1">IFERROR(__xludf.DUMMYFUNCTION("unique(filter($D$5:$D1123,$B$5:$B1123=E430))"),"")</f>
        <v/>
      </c>
      <c r="K430" s="48"/>
      <c r="M430" s="205" t="s">
        <v>2741</v>
      </c>
    </row>
    <row r="431" spans="2:13" ht="15.75" customHeight="1" x14ac:dyDescent="0.2">
      <c r="B431" s="46"/>
      <c r="E431" s="71"/>
      <c r="F431" s="71" t="str">
        <f ca="1">IFERROR(__xludf.DUMMYFUNCTION("unique(filter($C$5:$C1123,$B$5:$B1123=E431))"),"")</f>
        <v/>
      </c>
      <c r="G431" s="203" t="str">
        <f ca="1">IFERROR(__xludf.DUMMYFUNCTION("unique(filter($D$5:$D1123,$B$5:$B1123=E431))"),"")</f>
        <v/>
      </c>
      <c r="K431" s="48"/>
      <c r="M431" s="205" t="s">
        <v>2742</v>
      </c>
    </row>
    <row r="432" spans="2:13" ht="15.75" customHeight="1" x14ac:dyDescent="0.2">
      <c r="B432" s="46"/>
      <c r="E432" s="71"/>
      <c r="F432" s="71" t="str">
        <f ca="1">IFERROR(__xludf.DUMMYFUNCTION("unique(filter($C$5:$C1123,$B$5:$B1123=E432))"),"")</f>
        <v/>
      </c>
      <c r="G432" s="203" t="str">
        <f ca="1">IFERROR(__xludf.DUMMYFUNCTION("unique(filter($D$5:$D1123,$B$5:$B1123=E432))"),"")</f>
        <v/>
      </c>
      <c r="K432" s="48"/>
      <c r="M432" s="205" t="s">
        <v>2743</v>
      </c>
    </row>
    <row r="433" spans="2:13" ht="15.75" customHeight="1" x14ac:dyDescent="0.2">
      <c r="B433" s="46"/>
      <c r="E433" s="71"/>
      <c r="F433" s="71" t="str">
        <f ca="1">IFERROR(__xludf.DUMMYFUNCTION("unique(filter($C$5:$C1123,$B$5:$B1123=E433))"),"")</f>
        <v/>
      </c>
      <c r="G433" s="203" t="str">
        <f ca="1">IFERROR(__xludf.DUMMYFUNCTION("unique(filter($D$5:$D1123,$B$5:$B1123=E433))"),"")</f>
        <v/>
      </c>
      <c r="K433" s="48"/>
      <c r="M433" s="205" t="s">
        <v>2744</v>
      </c>
    </row>
    <row r="434" spans="2:13" ht="15.75" customHeight="1" x14ac:dyDescent="0.2">
      <c r="B434" s="46"/>
      <c r="E434" s="71"/>
      <c r="F434" s="71" t="str">
        <f ca="1">IFERROR(__xludf.DUMMYFUNCTION("unique(filter($C$5:$C1123,$B$5:$B1123=E434))"),"")</f>
        <v/>
      </c>
      <c r="G434" s="203" t="str">
        <f ca="1">IFERROR(__xludf.DUMMYFUNCTION("unique(filter($D$5:$D1123,$B$5:$B1123=E434))"),"")</f>
        <v/>
      </c>
      <c r="K434" s="48"/>
      <c r="M434" s="205" t="s">
        <v>2745</v>
      </c>
    </row>
    <row r="435" spans="2:13" ht="15.75" customHeight="1" x14ac:dyDescent="0.2">
      <c r="B435" s="46"/>
      <c r="E435" s="71"/>
      <c r="F435" s="71" t="str">
        <f ca="1">IFERROR(__xludf.DUMMYFUNCTION("unique(filter($C$5:$C1123,$B$5:$B1123=E435))"),"")</f>
        <v/>
      </c>
      <c r="G435" s="203" t="str">
        <f ca="1">IFERROR(__xludf.DUMMYFUNCTION("unique(filter($D$5:$D1123,$B$5:$B1123=E435))"),"")</f>
        <v/>
      </c>
      <c r="K435" s="48"/>
      <c r="M435" s="205" t="s">
        <v>2746</v>
      </c>
    </row>
    <row r="436" spans="2:13" ht="15.75" customHeight="1" x14ac:dyDescent="0.2">
      <c r="B436" s="46"/>
      <c r="E436" s="71"/>
      <c r="F436" s="71" t="str">
        <f ca="1">IFERROR(__xludf.DUMMYFUNCTION("unique(filter($C$5:$C1123,$B$5:$B1123=E436))"),"")</f>
        <v/>
      </c>
      <c r="G436" s="203" t="str">
        <f ca="1">IFERROR(__xludf.DUMMYFUNCTION("unique(filter($D$5:$D1123,$B$5:$B1123=E436))"),"")</f>
        <v/>
      </c>
      <c r="K436" s="48"/>
      <c r="M436" s="205" t="s">
        <v>2747</v>
      </c>
    </row>
    <row r="437" spans="2:13" ht="15.75" customHeight="1" x14ac:dyDescent="0.2">
      <c r="B437" s="46"/>
      <c r="E437" s="71"/>
      <c r="F437" s="71" t="str">
        <f ca="1">IFERROR(__xludf.DUMMYFUNCTION("unique(filter($C$5:$C1123,$B$5:$B1123=E437))"),"")</f>
        <v/>
      </c>
      <c r="G437" s="203" t="str">
        <f ca="1">IFERROR(__xludf.DUMMYFUNCTION("unique(filter($D$5:$D1123,$B$5:$B1123=E437))"),"")</f>
        <v/>
      </c>
      <c r="K437" s="48"/>
      <c r="M437" s="205" t="s">
        <v>2748</v>
      </c>
    </row>
    <row r="438" spans="2:13" ht="15.75" customHeight="1" x14ac:dyDescent="0.2">
      <c r="B438" s="46"/>
      <c r="E438" s="71"/>
      <c r="F438" s="71" t="str">
        <f ca="1">IFERROR(__xludf.DUMMYFUNCTION("unique(filter($C$5:$C1123,$B$5:$B1123=E438))"),"")</f>
        <v/>
      </c>
      <c r="G438" s="203" t="str">
        <f ca="1">IFERROR(__xludf.DUMMYFUNCTION("unique(filter($D$5:$D1123,$B$5:$B1123=E438))"),"")</f>
        <v/>
      </c>
      <c r="K438" s="48"/>
      <c r="M438" s="205" t="s">
        <v>2749</v>
      </c>
    </row>
    <row r="439" spans="2:13" ht="15.75" customHeight="1" x14ac:dyDescent="0.2">
      <c r="B439" s="46"/>
      <c r="E439" s="71"/>
      <c r="F439" s="71" t="str">
        <f ca="1">IFERROR(__xludf.DUMMYFUNCTION("unique(filter($C$5:$C1123,$B$5:$B1123=E439))"),"")</f>
        <v/>
      </c>
      <c r="G439" s="203" t="str">
        <f ca="1">IFERROR(__xludf.DUMMYFUNCTION("unique(filter($D$5:$D1123,$B$5:$B1123=E439))"),"")</f>
        <v/>
      </c>
      <c r="K439" s="48"/>
      <c r="M439" s="205" t="s">
        <v>2750</v>
      </c>
    </row>
    <row r="440" spans="2:13" ht="15.75" customHeight="1" x14ac:dyDescent="0.2">
      <c r="B440" s="46"/>
      <c r="E440" s="71"/>
      <c r="F440" s="71" t="str">
        <f ca="1">IFERROR(__xludf.DUMMYFUNCTION("unique(filter($C$5:$C1123,$B$5:$B1123=E440))"),"")</f>
        <v/>
      </c>
      <c r="G440" s="203" t="str">
        <f ca="1">IFERROR(__xludf.DUMMYFUNCTION("unique(filter($D$5:$D1123,$B$5:$B1123=E440))"),"")</f>
        <v/>
      </c>
      <c r="K440" s="48"/>
      <c r="M440" s="205" t="s">
        <v>2751</v>
      </c>
    </row>
    <row r="441" spans="2:13" ht="15.75" customHeight="1" x14ac:dyDescent="0.2">
      <c r="B441" s="46"/>
      <c r="E441" s="71"/>
      <c r="F441" s="71" t="str">
        <f ca="1">IFERROR(__xludf.DUMMYFUNCTION("unique(filter($C$5:$C1123,$B$5:$B1123=E441))"),"")</f>
        <v/>
      </c>
      <c r="G441" s="203" t="str">
        <f ca="1">IFERROR(__xludf.DUMMYFUNCTION("unique(filter($D$5:$D1123,$B$5:$B1123=E441))"),"")</f>
        <v/>
      </c>
      <c r="K441" s="48"/>
      <c r="M441" s="205" t="s">
        <v>2752</v>
      </c>
    </row>
    <row r="442" spans="2:13" ht="15.75" customHeight="1" x14ac:dyDescent="0.2">
      <c r="B442" s="46"/>
      <c r="E442" s="71"/>
      <c r="F442" s="71" t="str">
        <f ca="1">IFERROR(__xludf.DUMMYFUNCTION("unique(filter($C$5:$C1123,$B$5:$B1123=E442))"),"")</f>
        <v/>
      </c>
      <c r="G442" s="203" t="str">
        <f ca="1">IFERROR(__xludf.DUMMYFUNCTION("unique(filter($D$5:$D1123,$B$5:$B1123=E442))"),"")</f>
        <v/>
      </c>
      <c r="K442" s="48"/>
      <c r="M442" s="205" t="s">
        <v>2753</v>
      </c>
    </row>
    <row r="443" spans="2:13" ht="15.75" customHeight="1" x14ac:dyDescent="0.2">
      <c r="B443" s="46"/>
      <c r="E443" s="71"/>
      <c r="F443" s="71" t="str">
        <f ca="1">IFERROR(__xludf.DUMMYFUNCTION("unique(filter($C$5:$C1123,$B$5:$B1123=E443))"),"")</f>
        <v/>
      </c>
      <c r="G443" s="203" t="str">
        <f ca="1">IFERROR(__xludf.DUMMYFUNCTION("unique(filter($D$5:$D1123,$B$5:$B1123=E443))"),"")</f>
        <v/>
      </c>
      <c r="K443" s="48"/>
      <c r="M443" s="205" t="s">
        <v>2754</v>
      </c>
    </row>
    <row r="444" spans="2:13" ht="15.75" customHeight="1" x14ac:dyDescent="0.2">
      <c r="B444" s="46"/>
      <c r="E444" s="71"/>
      <c r="F444" s="71" t="str">
        <f ca="1">IFERROR(__xludf.DUMMYFUNCTION("unique(filter($C$5:$C1123,$B$5:$B1123=E444))"),"")</f>
        <v/>
      </c>
      <c r="G444" s="203" t="str">
        <f ca="1">IFERROR(__xludf.DUMMYFUNCTION("unique(filter($D$5:$D1123,$B$5:$B1123=E444))"),"")</f>
        <v/>
      </c>
      <c r="K444" s="48"/>
      <c r="M444" s="205" t="s">
        <v>2755</v>
      </c>
    </row>
    <row r="445" spans="2:13" ht="15.75" customHeight="1" x14ac:dyDescent="0.2">
      <c r="B445" s="46"/>
      <c r="E445" s="71"/>
      <c r="F445" s="71" t="str">
        <f ca="1">IFERROR(__xludf.DUMMYFUNCTION("unique(filter($C$5:$C1123,$B$5:$B1123=E445))"),"")</f>
        <v/>
      </c>
      <c r="G445" s="203" t="str">
        <f ca="1">IFERROR(__xludf.DUMMYFUNCTION("unique(filter($D$5:$D1123,$B$5:$B1123=E445))"),"")</f>
        <v/>
      </c>
      <c r="K445" s="48"/>
      <c r="M445" s="205" t="s">
        <v>2756</v>
      </c>
    </row>
    <row r="446" spans="2:13" ht="15.75" customHeight="1" x14ac:dyDescent="0.2">
      <c r="B446" s="46"/>
      <c r="E446" s="71"/>
      <c r="F446" s="71" t="str">
        <f ca="1">IFERROR(__xludf.DUMMYFUNCTION("unique(filter($C$5:$C1123,$B$5:$B1123=E446))"),"")</f>
        <v/>
      </c>
      <c r="G446" s="203" t="str">
        <f ca="1">IFERROR(__xludf.DUMMYFUNCTION("unique(filter($D$5:$D1123,$B$5:$B1123=E446))"),"")</f>
        <v/>
      </c>
      <c r="K446" s="48"/>
      <c r="M446" s="205" t="s">
        <v>2757</v>
      </c>
    </row>
    <row r="447" spans="2:13" ht="15.75" customHeight="1" x14ac:dyDescent="0.2">
      <c r="B447" s="46"/>
      <c r="E447" s="71"/>
      <c r="F447" s="71" t="str">
        <f ca="1">IFERROR(__xludf.DUMMYFUNCTION("unique(filter($C$5:$C1123,$B$5:$B1123=E447))"),"")</f>
        <v/>
      </c>
      <c r="G447" s="203" t="str">
        <f ca="1">IFERROR(__xludf.DUMMYFUNCTION("unique(filter($D$5:$D1123,$B$5:$B1123=E447))"),"")</f>
        <v/>
      </c>
      <c r="K447" s="48"/>
      <c r="M447" s="205" t="s">
        <v>2758</v>
      </c>
    </row>
    <row r="448" spans="2:13" ht="15.75" customHeight="1" x14ac:dyDescent="0.2">
      <c r="B448" s="46"/>
      <c r="E448" s="71"/>
      <c r="F448" s="71" t="str">
        <f ca="1">IFERROR(__xludf.DUMMYFUNCTION("unique(filter($C$5:$C1123,$B$5:$B1123=E448))"),"")</f>
        <v/>
      </c>
      <c r="G448" s="203" t="str">
        <f ca="1">IFERROR(__xludf.DUMMYFUNCTION("unique(filter($D$5:$D1123,$B$5:$B1123=E448))"),"")</f>
        <v/>
      </c>
      <c r="K448" s="48"/>
      <c r="M448" s="205" t="s">
        <v>2759</v>
      </c>
    </row>
    <row r="449" spans="2:13" ht="15.75" customHeight="1" x14ac:dyDescent="0.2">
      <c r="B449" s="46"/>
      <c r="E449" s="71"/>
      <c r="F449" s="71" t="str">
        <f ca="1">IFERROR(__xludf.DUMMYFUNCTION("unique(filter($C$5:$C1123,$B$5:$B1123=E449))"),"")</f>
        <v/>
      </c>
      <c r="G449" s="203" t="str">
        <f ca="1">IFERROR(__xludf.DUMMYFUNCTION("unique(filter($D$5:$D1123,$B$5:$B1123=E449))"),"")</f>
        <v/>
      </c>
      <c r="K449" s="48"/>
      <c r="M449" s="205" t="s">
        <v>2760</v>
      </c>
    </row>
    <row r="450" spans="2:13" ht="15.75" customHeight="1" x14ac:dyDescent="0.2">
      <c r="B450" s="46"/>
      <c r="E450" s="71"/>
      <c r="F450" s="71" t="str">
        <f ca="1">IFERROR(__xludf.DUMMYFUNCTION("unique(filter($C$5:$C1123,$B$5:$B1123=E450))"),"")</f>
        <v/>
      </c>
      <c r="G450" s="203" t="str">
        <f ca="1">IFERROR(__xludf.DUMMYFUNCTION("unique(filter($D$5:$D1123,$B$5:$B1123=E450))"),"")</f>
        <v/>
      </c>
      <c r="K450" s="48"/>
      <c r="M450" s="205" t="s">
        <v>2761</v>
      </c>
    </row>
    <row r="451" spans="2:13" ht="15.75" customHeight="1" x14ac:dyDescent="0.2">
      <c r="B451" s="46"/>
      <c r="E451" s="71"/>
      <c r="F451" s="71" t="str">
        <f ca="1">IFERROR(__xludf.DUMMYFUNCTION("unique(filter($C$5:$C1123,$B$5:$B1123=E451))"),"")</f>
        <v/>
      </c>
      <c r="G451" s="203" t="str">
        <f ca="1">IFERROR(__xludf.DUMMYFUNCTION("unique(filter($D$5:$D1123,$B$5:$B1123=E451))"),"")</f>
        <v/>
      </c>
      <c r="K451" s="48"/>
      <c r="M451" s="205" t="s">
        <v>2762</v>
      </c>
    </row>
    <row r="452" spans="2:13" ht="15.75" customHeight="1" x14ac:dyDescent="0.2">
      <c r="B452" s="46"/>
      <c r="E452" s="71"/>
      <c r="F452" s="71" t="str">
        <f ca="1">IFERROR(__xludf.DUMMYFUNCTION("unique(filter($C$5:$C1123,$B$5:$B1123=E452))"),"")</f>
        <v/>
      </c>
      <c r="G452" s="203" t="str">
        <f ca="1">IFERROR(__xludf.DUMMYFUNCTION("unique(filter($D$5:$D1123,$B$5:$B1123=E452))"),"")</f>
        <v/>
      </c>
      <c r="K452" s="48"/>
      <c r="M452" s="205" t="s">
        <v>2763</v>
      </c>
    </row>
    <row r="453" spans="2:13" ht="15.75" customHeight="1" x14ac:dyDescent="0.2">
      <c r="B453" s="46"/>
      <c r="E453" s="71"/>
      <c r="F453" s="71" t="str">
        <f ca="1">IFERROR(__xludf.DUMMYFUNCTION("unique(filter($C$5:$C1123,$B$5:$B1123=E453))"),"")</f>
        <v/>
      </c>
      <c r="G453" s="203" t="str">
        <f ca="1">IFERROR(__xludf.DUMMYFUNCTION("unique(filter($D$5:$D1123,$B$5:$B1123=E453))"),"")</f>
        <v/>
      </c>
      <c r="K453" s="48"/>
      <c r="M453" s="205" t="s">
        <v>2764</v>
      </c>
    </row>
    <row r="454" spans="2:13" ht="15.75" customHeight="1" x14ac:dyDescent="0.2">
      <c r="B454" s="46"/>
      <c r="E454" s="71"/>
      <c r="F454" s="71" t="str">
        <f ca="1">IFERROR(__xludf.DUMMYFUNCTION("unique(filter($C$5:$C1123,$B$5:$B1123=E454))"),"")</f>
        <v/>
      </c>
      <c r="G454" s="203" t="str">
        <f ca="1">IFERROR(__xludf.DUMMYFUNCTION("unique(filter($D$5:$D1123,$B$5:$B1123=E454))"),"")</f>
        <v/>
      </c>
      <c r="K454" s="48"/>
      <c r="M454" s="205" t="s">
        <v>2765</v>
      </c>
    </row>
    <row r="455" spans="2:13" ht="15.75" customHeight="1" x14ac:dyDescent="0.2">
      <c r="B455" s="46"/>
      <c r="E455" s="71"/>
      <c r="F455" s="71" t="str">
        <f ca="1">IFERROR(__xludf.DUMMYFUNCTION("unique(filter($C$5:$C1123,$B$5:$B1123=E455))"),"")</f>
        <v/>
      </c>
      <c r="G455" s="203" t="str">
        <f ca="1">IFERROR(__xludf.DUMMYFUNCTION("unique(filter($D$5:$D1123,$B$5:$B1123=E455))"),"")</f>
        <v/>
      </c>
      <c r="K455" s="48"/>
      <c r="M455" s="205" t="s">
        <v>2766</v>
      </c>
    </row>
    <row r="456" spans="2:13" ht="15.75" customHeight="1" x14ac:dyDescent="0.2">
      <c r="B456" s="46"/>
      <c r="E456" s="71"/>
      <c r="F456" s="71" t="str">
        <f ca="1">IFERROR(__xludf.DUMMYFUNCTION("unique(filter($C$5:$C1123,$B$5:$B1123=E456))"),"")</f>
        <v/>
      </c>
      <c r="G456" s="203" t="str">
        <f ca="1">IFERROR(__xludf.DUMMYFUNCTION("unique(filter($D$5:$D1123,$B$5:$B1123=E456))"),"")</f>
        <v/>
      </c>
      <c r="K456" s="48"/>
      <c r="M456" s="205" t="s">
        <v>2767</v>
      </c>
    </row>
    <row r="457" spans="2:13" ht="15.75" customHeight="1" x14ac:dyDescent="0.2">
      <c r="B457" s="46"/>
      <c r="E457" s="71"/>
      <c r="F457" s="71" t="str">
        <f ca="1">IFERROR(__xludf.DUMMYFUNCTION("unique(filter($C$5:$C1123,$B$5:$B1123=E457))"),"")</f>
        <v/>
      </c>
      <c r="G457" s="203" t="str">
        <f ca="1">IFERROR(__xludf.DUMMYFUNCTION("unique(filter($D$5:$D1123,$B$5:$B1123=E457))"),"")</f>
        <v/>
      </c>
      <c r="K457" s="48"/>
      <c r="M457" s="205" t="s">
        <v>2768</v>
      </c>
    </row>
    <row r="458" spans="2:13" ht="15.75" customHeight="1" x14ac:dyDescent="0.2">
      <c r="B458" s="46"/>
      <c r="E458" s="71"/>
      <c r="F458" s="71" t="str">
        <f ca="1">IFERROR(__xludf.DUMMYFUNCTION("unique(filter($C$5:$C1123,$B$5:$B1123=E458))"),"")</f>
        <v/>
      </c>
      <c r="G458" s="203" t="str">
        <f ca="1">IFERROR(__xludf.DUMMYFUNCTION("unique(filter($D$5:$D1123,$B$5:$B1123=E458))"),"")</f>
        <v/>
      </c>
      <c r="K458" s="48"/>
      <c r="M458" s="205" t="s">
        <v>2769</v>
      </c>
    </row>
    <row r="459" spans="2:13" ht="15.75" customHeight="1" x14ac:dyDescent="0.2">
      <c r="B459" s="46"/>
      <c r="E459" s="71"/>
      <c r="F459" s="71" t="str">
        <f ca="1">IFERROR(__xludf.DUMMYFUNCTION("unique(filter($C$5:$C1123,$B$5:$B1123=E459))"),"")</f>
        <v/>
      </c>
      <c r="G459" s="203" t="str">
        <f ca="1">IFERROR(__xludf.DUMMYFUNCTION("unique(filter($D$5:$D1123,$B$5:$B1123=E459))"),"")</f>
        <v/>
      </c>
      <c r="K459" s="48"/>
      <c r="M459" s="205" t="s">
        <v>2770</v>
      </c>
    </row>
    <row r="460" spans="2:13" ht="15.75" customHeight="1" x14ac:dyDescent="0.2">
      <c r="B460" s="46"/>
      <c r="E460" s="71"/>
      <c r="F460" s="71" t="str">
        <f ca="1">IFERROR(__xludf.DUMMYFUNCTION("unique(filter($C$5:$C1123,$B$5:$B1123=E460))"),"")</f>
        <v/>
      </c>
      <c r="G460" s="203" t="str">
        <f ca="1">IFERROR(__xludf.DUMMYFUNCTION("unique(filter($D$5:$D1123,$B$5:$B1123=E460))"),"")</f>
        <v/>
      </c>
      <c r="K460" s="48"/>
      <c r="M460" s="205" t="s">
        <v>2771</v>
      </c>
    </row>
    <row r="461" spans="2:13" ht="15.75" customHeight="1" x14ac:dyDescent="0.2">
      <c r="B461" s="46"/>
      <c r="E461" s="71"/>
      <c r="F461" s="71" t="str">
        <f ca="1">IFERROR(__xludf.DUMMYFUNCTION("unique(filter($C$5:$C1123,$B$5:$B1123=E461))"),"")</f>
        <v/>
      </c>
      <c r="G461" s="203" t="str">
        <f ca="1">IFERROR(__xludf.DUMMYFUNCTION("unique(filter($D$5:$D1123,$B$5:$B1123=E461))"),"")</f>
        <v/>
      </c>
      <c r="K461" s="48"/>
      <c r="M461" s="205" t="s">
        <v>2772</v>
      </c>
    </row>
    <row r="462" spans="2:13" ht="15.75" customHeight="1" x14ac:dyDescent="0.2">
      <c r="B462" s="46"/>
      <c r="E462" s="71"/>
      <c r="F462" s="71" t="str">
        <f ca="1">IFERROR(__xludf.DUMMYFUNCTION("unique(filter($C$5:$C1123,$B$5:$B1123=E462))"),"")</f>
        <v/>
      </c>
      <c r="G462" s="203" t="str">
        <f ca="1">IFERROR(__xludf.DUMMYFUNCTION("unique(filter($D$5:$D1123,$B$5:$B1123=E462))"),"")</f>
        <v/>
      </c>
      <c r="K462" s="48"/>
      <c r="M462" s="205" t="s">
        <v>2773</v>
      </c>
    </row>
    <row r="463" spans="2:13" ht="15.75" customHeight="1" x14ac:dyDescent="0.2">
      <c r="B463" s="46"/>
      <c r="E463" s="71"/>
      <c r="F463" s="71" t="str">
        <f ca="1">IFERROR(__xludf.DUMMYFUNCTION("unique(filter($C$5:$C1123,$B$5:$B1123=E463))"),"")</f>
        <v/>
      </c>
      <c r="G463" s="203" t="str">
        <f ca="1">IFERROR(__xludf.DUMMYFUNCTION("unique(filter($D$5:$D1123,$B$5:$B1123=E463))"),"")</f>
        <v/>
      </c>
      <c r="K463" s="48"/>
      <c r="M463" s="205" t="s">
        <v>2774</v>
      </c>
    </row>
    <row r="464" spans="2:13" ht="15.75" customHeight="1" x14ac:dyDescent="0.2">
      <c r="B464" s="46"/>
      <c r="E464" s="71"/>
      <c r="F464" s="71" t="str">
        <f ca="1">IFERROR(__xludf.DUMMYFUNCTION("unique(filter($C$5:$C1123,$B$5:$B1123=E464))"),"")</f>
        <v/>
      </c>
      <c r="G464" s="203" t="str">
        <f ca="1">IFERROR(__xludf.DUMMYFUNCTION("unique(filter($D$5:$D1123,$B$5:$B1123=E464))"),"")</f>
        <v/>
      </c>
      <c r="K464" s="48"/>
      <c r="M464" s="205" t="s">
        <v>2775</v>
      </c>
    </row>
    <row r="465" spans="2:13" ht="15.75" customHeight="1" x14ac:dyDescent="0.2">
      <c r="B465" s="46"/>
      <c r="E465" s="71"/>
      <c r="F465" s="71" t="str">
        <f ca="1">IFERROR(__xludf.DUMMYFUNCTION("unique(filter($C$5:$C1123,$B$5:$B1123=E465))"),"")</f>
        <v/>
      </c>
      <c r="G465" s="203" t="str">
        <f ca="1">IFERROR(__xludf.DUMMYFUNCTION("unique(filter($D$5:$D1123,$B$5:$B1123=E465))"),"")</f>
        <v/>
      </c>
      <c r="K465" s="48"/>
      <c r="M465" s="205" t="s">
        <v>2776</v>
      </c>
    </row>
    <row r="466" spans="2:13" ht="15.75" customHeight="1" x14ac:dyDescent="0.2">
      <c r="B466" s="46"/>
      <c r="E466" s="71"/>
      <c r="F466" s="71" t="str">
        <f ca="1">IFERROR(__xludf.DUMMYFUNCTION("unique(filter($C$5:$C1123,$B$5:$B1123=E466))"),"")</f>
        <v/>
      </c>
      <c r="G466" s="203" t="str">
        <f ca="1">IFERROR(__xludf.DUMMYFUNCTION("unique(filter($D$5:$D1123,$B$5:$B1123=E466))"),"")</f>
        <v/>
      </c>
      <c r="K466" s="48"/>
      <c r="M466" s="205" t="s">
        <v>2777</v>
      </c>
    </row>
    <row r="467" spans="2:13" ht="15.75" customHeight="1" x14ac:dyDescent="0.2">
      <c r="B467" s="46"/>
      <c r="E467" s="71"/>
      <c r="F467" s="71" t="str">
        <f ca="1">IFERROR(__xludf.DUMMYFUNCTION("unique(filter($C$5:$C1123,$B$5:$B1123=E467))"),"")</f>
        <v/>
      </c>
      <c r="G467" s="203" t="str">
        <f ca="1">IFERROR(__xludf.DUMMYFUNCTION("unique(filter($D$5:$D1123,$B$5:$B1123=E467))"),"")</f>
        <v/>
      </c>
      <c r="K467" s="48"/>
      <c r="M467" s="205" t="s">
        <v>2778</v>
      </c>
    </row>
    <row r="468" spans="2:13" ht="15.75" customHeight="1" x14ac:dyDescent="0.2">
      <c r="B468" s="46"/>
      <c r="E468" s="71"/>
      <c r="F468" s="71" t="str">
        <f ca="1">IFERROR(__xludf.DUMMYFUNCTION("unique(filter($C$5:$C1123,$B$5:$B1123=E468))"),"")</f>
        <v/>
      </c>
      <c r="G468" s="203" t="str">
        <f ca="1">IFERROR(__xludf.DUMMYFUNCTION("unique(filter($D$5:$D1123,$B$5:$B1123=E468))"),"")</f>
        <v/>
      </c>
      <c r="K468" s="48"/>
      <c r="M468" s="205" t="s">
        <v>2779</v>
      </c>
    </row>
    <row r="469" spans="2:13" ht="15.75" customHeight="1" x14ac:dyDescent="0.2">
      <c r="B469" s="46"/>
      <c r="E469" s="71"/>
      <c r="F469" s="71" t="str">
        <f ca="1">IFERROR(__xludf.DUMMYFUNCTION("unique(filter($C$5:$C1123,$B$5:$B1123=E469))"),"")</f>
        <v/>
      </c>
      <c r="G469" s="203" t="str">
        <f ca="1">IFERROR(__xludf.DUMMYFUNCTION("unique(filter($D$5:$D1123,$B$5:$B1123=E469))"),"")</f>
        <v/>
      </c>
      <c r="K469" s="48"/>
      <c r="M469" s="205" t="s">
        <v>2780</v>
      </c>
    </row>
    <row r="470" spans="2:13" ht="15.75" customHeight="1" x14ac:dyDescent="0.2">
      <c r="B470" s="46"/>
      <c r="E470" s="71"/>
      <c r="F470" s="71" t="str">
        <f ca="1">IFERROR(__xludf.DUMMYFUNCTION("unique(filter($C$5:$C1123,$B$5:$B1123=E470))"),"")</f>
        <v/>
      </c>
      <c r="G470" s="203" t="str">
        <f ca="1">IFERROR(__xludf.DUMMYFUNCTION("unique(filter($D$5:$D1123,$B$5:$B1123=E470))"),"")</f>
        <v/>
      </c>
      <c r="K470" s="48"/>
      <c r="M470" s="205" t="s">
        <v>2781</v>
      </c>
    </row>
    <row r="471" spans="2:13" ht="15.75" customHeight="1" x14ac:dyDescent="0.2">
      <c r="B471" s="46"/>
      <c r="E471" s="71"/>
      <c r="F471" s="71" t="str">
        <f ca="1">IFERROR(__xludf.DUMMYFUNCTION("unique(filter($C$5:$C1123,$B$5:$B1123=E471))"),"")</f>
        <v/>
      </c>
      <c r="G471" s="203" t="str">
        <f ca="1">IFERROR(__xludf.DUMMYFUNCTION("unique(filter($D$5:$D1123,$B$5:$B1123=E471))"),"")</f>
        <v/>
      </c>
      <c r="K471" s="48"/>
      <c r="M471" s="205" t="s">
        <v>2782</v>
      </c>
    </row>
    <row r="472" spans="2:13" ht="15.75" customHeight="1" x14ac:dyDescent="0.2">
      <c r="B472" s="46"/>
      <c r="E472" s="71"/>
      <c r="F472" s="71" t="str">
        <f ca="1">IFERROR(__xludf.DUMMYFUNCTION("unique(filter($C$5:$C1123,$B$5:$B1123=E472))"),"")</f>
        <v/>
      </c>
      <c r="G472" s="203" t="str">
        <f ca="1">IFERROR(__xludf.DUMMYFUNCTION("unique(filter($D$5:$D1123,$B$5:$B1123=E472))"),"")</f>
        <v/>
      </c>
      <c r="K472" s="48"/>
      <c r="M472" s="205" t="s">
        <v>2783</v>
      </c>
    </row>
    <row r="473" spans="2:13" ht="15.75" customHeight="1" x14ac:dyDescent="0.2">
      <c r="B473" s="46"/>
      <c r="E473" s="71"/>
      <c r="F473" s="71" t="str">
        <f ca="1">IFERROR(__xludf.DUMMYFUNCTION("unique(filter($C$5:$C1123,$B$5:$B1123=E473))"),"")</f>
        <v/>
      </c>
      <c r="G473" s="203" t="str">
        <f ca="1">IFERROR(__xludf.DUMMYFUNCTION("unique(filter($D$5:$D1123,$B$5:$B1123=E473))"),"")</f>
        <v/>
      </c>
      <c r="K473" s="48"/>
      <c r="M473" s="205" t="s">
        <v>2784</v>
      </c>
    </row>
    <row r="474" spans="2:13" ht="15.75" customHeight="1" x14ac:dyDescent="0.2">
      <c r="B474" s="46"/>
      <c r="E474" s="71"/>
      <c r="F474" s="71" t="str">
        <f ca="1">IFERROR(__xludf.DUMMYFUNCTION("unique(filter($C$5:$C1123,$B$5:$B1123=E474))"),"")</f>
        <v/>
      </c>
      <c r="G474" s="203" t="str">
        <f ca="1">IFERROR(__xludf.DUMMYFUNCTION("unique(filter($D$5:$D1123,$B$5:$B1123=E474))"),"")</f>
        <v/>
      </c>
      <c r="K474" s="48"/>
      <c r="M474" s="205" t="s">
        <v>2785</v>
      </c>
    </row>
    <row r="475" spans="2:13" ht="15.75" customHeight="1" x14ac:dyDescent="0.2">
      <c r="B475" s="46"/>
      <c r="E475" s="71"/>
      <c r="F475" s="71" t="str">
        <f ca="1">IFERROR(__xludf.DUMMYFUNCTION("unique(filter($C$5:$C1123,$B$5:$B1123=E475))"),"")</f>
        <v/>
      </c>
      <c r="G475" s="203" t="str">
        <f ca="1">IFERROR(__xludf.DUMMYFUNCTION("unique(filter($D$5:$D1123,$B$5:$B1123=E475))"),"")</f>
        <v/>
      </c>
      <c r="K475" s="48"/>
      <c r="M475" s="205" t="s">
        <v>2786</v>
      </c>
    </row>
    <row r="476" spans="2:13" ht="15.75" customHeight="1" x14ac:dyDescent="0.2">
      <c r="B476" s="46"/>
      <c r="E476" s="71"/>
      <c r="F476" s="71" t="str">
        <f ca="1">IFERROR(__xludf.DUMMYFUNCTION("unique(filter($C$5:$C1123,$B$5:$B1123=E476))"),"")</f>
        <v/>
      </c>
      <c r="G476" s="203" t="str">
        <f ca="1">IFERROR(__xludf.DUMMYFUNCTION("unique(filter($D$5:$D1123,$B$5:$B1123=E476))"),"")</f>
        <v/>
      </c>
      <c r="K476" s="48"/>
      <c r="M476" s="205" t="s">
        <v>2787</v>
      </c>
    </row>
    <row r="477" spans="2:13" ht="15.75" customHeight="1" x14ac:dyDescent="0.2">
      <c r="B477" s="46"/>
      <c r="E477" s="71"/>
      <c r="F477" s="71" t="str">
        <f ca="1">IFERROR(__xludf.DUMMYFUNCTION("unique(filter($C$5:$C1123,$B$5:$B1123=E477))"),"")</f>
        <v/>
      </c>
      <c r="G477" s="203" t="str">
        <f ca="1">IFERROR(__xludf.DUMMYFUNCTION("unique(filter($D$5:$D1123,$B$5:$B1123=E477))"),"")</f>
        <v/>
      </c>
      <c r="K477" s="48"/>
      <c r="M477" s="205" t="s">
        <v>2788</v>
      </c>
    </row>
    <row r="478" spans="2:13" ht="15.75" customHeight="1" x14ac:dyDescent="0.2">
      <c r="B478" s="46"/>
      <c r="E478" s="71"/>
      <c r="F478" s="71" t="str">
        <f ca="1">IFERROR(__xludf.DUMMYFUNCTION("unique(filter($C$5:$C1123,$B$5:$B1123=E478))"),"")</f>
        <v/>
      </c>
      <c r="G478" s="203" t="str">
        <f ca="1">IFERROR(__xludf.DUMMYFUNCTION("unique(filter($D$5:$D1123,$B$5:$B1123=E478))"),"")</f>
        <v/>
      </c>
      <c r="K478" s="48"/>
      <c r="M478" s="205" t="s">
        <v>2789</v>
      </c>
    </row>
    <row r="479" spans="2:13" ht="15.75" customHeight="1" x14ac:dyDescent="0.2">
      <c r="B479" s="46"/>
      <c r="E479" s="71"/>
      <c r="F479" s="71" t="str">
        <f ca="1">IFERROR(__xludf.DUMMYFUNCTION("unique(filter($C$5:$C1123,$B$5:$B1123=E479))"),"")</f>
        <v/>
      </c>
      <c r="G479" s="203" t="str">
        <f ca="1">IFERROR(__xludf.DUMMYFUNCTION("unique(filter($D$5:$D1123,$B$5:$B1123=E479))"),"")</f>
        <v/>
      </c>
      <c r="K479" s="48"/>
      <c r="M479" s="205" t="s">
        <v>2790</v>
      </c>
    </row>
    <row r="480" spans="2:13" ht="15.75" customHeight="1" x14ac:dyDescent="0.2">
      <c r="B480" s="46"/>
      <c r="E480" s="71"/>
      <c r="F480" s="71" t="str">
        <f ca="1">IFERROR(__xludf.DUMMYFUNCTION("unique(filter($C$5:$C1123,$B$5:$B1123=E480))"),"")</f>
        <v/>
      </c>
      <c r="G480" s="203" t="str">
        <f ca="1">IFERROR(__xludf.DUMMYFUNCTION("unique(filter($D$5:$D1123,$B$5:$B1123=E480))"),"")</f>
        <v/>
      </c>
      <c r="K480" s="48"/>
      <c r="M480" s="205" t="s">
        <v>2791</v>
      </c>
    </row>
    <row r="481" spans="2:13" ht="15.75" customHeight="1" x14ac:dyDescent="0.2">
      <c r="B481" s="46"/>
      <c r="E481" s="71"/>
      <c r="F481" s="71" t="str">
        <f ca="1">IFERROR(__xludf.DUMMYFUNCTION("unique(filter($C$5:$C1123,$B$5:$B1123=E481))"),"")</f>
        <v/>
      </c>
      <c r="G481" s="203" t="str">
        <f ca="1">IFERROR(__xludf.DUMMYFUNCTION("unique(filter($D$5:$D1123,$B$5:$B1123=E481))"),"")</f>
        <v/>
      </c>
      <c r="K481" s="48"/>
      <c r="M481" s="205" t="s">
        <v>2792</v>
      </c>
    </row>
    <row r="482" spans="2:13" ht="15.75" customHeight="1" x14ac:dyDescent="0.2">
      <c r="B482" s="46"/>
      <c r="E482" s="71"/>
      <c r="F482" s="71" t="str">
        <f ca="1">IFERROR(__xludf.DUMMYFUNCTION("unique(filter($C$5:$C1123,$B$5:$B1123=E482))"),"")</f>
        <v/>
      </c>
      <c r="G482" s="203" t="str">
        <f ca="1">IFERROR(__xludf.DUMMYFUNCTION("unique(filter($D$5:$D1123,$B$5:$B1123=E482))"),"")</f>
        <v/>
      </c>
      <c r="K482" s="48"/>
      <c r="M482" s="205" t="s">
        <v>2793</v>
      </c>
    </row>
    <row r="483" spans="2:13" ht="15.75" customHeight="1" x14ac:dyDescent="0.2">
      <c r="B483" s="46"/>
      <c r="E483" s="71"/>
      <c r="F483" s="71" t="str">
        <f ca="1">IFERROR(__xludf.DUMMYFUNCTION("unique(filter($C$5:$C1123,$B$5:$B1123=E483))"),"")</f>
        <v/>
      </c>
      <c r="G483" s="203" t="str">
        <f ca="1">IFERROR(__xludf.DUMMYFUNCTION("unique(filter($D$5:$D1123,$B$5:$B1123=E483))"),"")</f>
        <v/>
      </c>
      <c r="K483" s="48"/>
      <c r="M483" s="205" t="s">
        <v>2794</v>
      </c>
    </row>
    <row r="484" spans="2:13" ht="15.75" customHeight="1" x14ac:dyDescent="0.2">
      <c r="B484" s="46"/>
      <c r="E484" s="71"/>
      <c r="F484" s="71" t="str">
        <f ca="1">IFERROR(__xludf.DUMMYFUNCTION("unique(filter($C$5:$C1123,$B$5:$B1123=E484))"),"")</f>
        <v/>
      </c>
      <c r="G484" s="203" t="str">
        <f ca="1">IFERROR(__xludf.DUMMYFUNCTION("unique(filter($D$5:$D1123,$B$5:$B1123=E484))"),"")</f>
        <v/>
      </c>
      <c r="K484" s="48"/>
      <c r="M484" s="205" t="s">
        <v>2795</v>
      </c>
    </row>
    <row r="485" spans="2:13" ht="15.75" customHeight="1" x14ac:dyDescent="0.2">
      <c r="B485" s="46"/>
      <c r="E485" s="71"/>
      <c r="F485" s="71" t="str">
        <f ca="1">IFERROR(__xludf.DUMMYFUNCTION("unique(filter($C$5:$C1123,$B$5:$B1123=E485))"),"")</f>
        <v/>
      </c>
      <c r="G485" s="203" t="str">
        <f ca="1">IFERROR(__xludf.DUMMYFUNCTION("unique(filter($D$5:$D1123,$B$5:$B1123=E485))"),"")</f>
        <v/>
      </c>
      <c r="K485" s="48"/>
      <c r="M485" s="205" t="s">
        <v>2796</v>
      </c>
    </row>
    <row r="486" spans="2:13" ht="15.75" customHeight="1" x14ac:dyDescent="0.2">
      <c r="B486" s="46"/>
      <c r="E486" s="71"/>
      <c r="F486" s="71" t="str">
        <f ca="1">IFERROR(__xludf.DUMMYFUNCTION("unique(filter($C$5:$C1123,$B$5:$B1123=E486))"),"")</f>
        <v/>
      </c>
      <c r="G486" s="203" t="str">
        <f ca="1">IFERROR(__xludf.DUMMYFUNCTION("unique(filter($D$5:$D1123,$B$5:$B1123=E486))"),"")</f>
        <v/>
      </c>
      <c r="K486" s="48"/>
      <c r="M486" s="205" t="s">
        <v>2797</v>
      </c>
    </row>
    <row r="487" spans="2:13" ht="15.75" customHeight="1" x14ac:dyDescent="0.2">
      <c r="B487" s="46"/>
      <c r="E487" s="71"/>
      <c r="F487" s="71" t="str">
        <f ca="1">IFERROR(__xludf.DUMMYFUNCTION("unique(filter($C$5:$C1123,$B$5:$B1123=E487))"),"")</f>
        <v/>
      </c>
      <c r="G487" s="203" t="str">
        <f ca="1">IFERROR(__xludf.DUMMYFUNCTION("unique(filter($D$5:$D1123,$B$5:$B1123=E487))"),"")</f>
        <v/>
      </c>
      <c r="K487" s="48"/>
      <c r="M487" s="205" t="s">
        <v>2798</v>
      </c>
    </row>
    <row r="488" spans="2:13" ht="15.75" customHeight="1" x14ac:dyDescent="0.2">
      <c r="B488" s="46"/>
      <c r="E488" s="71"/>
      <c r="F488" s="71" t="str">
        <f ca="1">IFERROR(__xludf.DUMMYFUNCTION("unique(filter($C$5:$C1123,$B$5:$B1123=E488))"),"")</f>
        <v/>
      </c>
      <c r="G488" s="203" t="str">
        <f ca="1">IFERROR(__xludf.DUMMYFUNCTION("unique(filter($D$5:$D1123,$B$5:$B1123=E488))"),"")</f>
        <v/>
      </c>
      <c r="K488" s="48"/>
      <c r="M488" s="205" t="s">
        <v>2799</v>
      </c>
    </row>
    <row r="489" spans="2:13" ht="15.75" customHeight="1" x14ac:dyDescent="0.2">
      <c r="B489" s="46"/>
      <c r="E489" s="71"/>
      <c r="F489" s="71" t="str">
        <f ca="1">IFERROR(__xludf.DUMMYFUNCTION("unique(filter($C$5:$C1123,$B$5:$B1123=E489))"),"")</f>
        <v/>
      </c>
      <c r="G489" s="203" t="str">
        <f ca="1">IFERROR(__xludf.DUMMYFUNCTION("unique(filter($D$5:$D1123,$B$5:$B1123=E489))"),"")</f>
        <v/>
      </c>
      <c r="K489" s="48"/>
      <c r="M489" s="205" t="s">
        <v>2800</v>
      </c>
    </row>
    <row r="490" spans="2:13" ht="15.75" customHeight="1" x14ac:dyDescent="0.2">
      <c r="B490" s="46"/>
      <c r="E490" s="71"/>
      <c r="F490" s="71" t="str">
        <f ca="1">IFERROR(__xludf.DUMMYFUNCTION("unique(filter($C$5:$C1123,$B$5:$B1123=E490))"),"")</f>
        <v/>
      </c>
      <c r="G490" s="203" t="str">
        <f ca="1">IFERROR(__xludf.DUMMYFUNCTION("unique(filter($D$5:$D1123,$B$5:$B1123=E490))"),"")</f>
        <v/>
      </c>
      <c r="K490" s="48"/>
      <c r="M490" s="205" t="s">
        <v>2801</v>
      </c>
    </row>
    <row r="491" spans="2:13" ht="15.75" customHeight="1" x14ac:dyDescent="0.2">
      <c r="B491" s="46"/>
      <c r="E491" s="71"/>
      <c r="F491" s="71" t="str">
        <f ca="1">IFERROR(__xludf.DUMMYFUNCTION("unique(filter($C$5:$C1123,$B$5:$B1123=E491))"),"")</f>
        <v/>
      </c>
      <c r="G491" s="203" t="str">
        <f ca="1">IFERROR(__xludf.DUMMYFUNCTION("unique(filter($D$5:$D1123,$B$5:$B1123=E491))"),"")</f>
        <v/>
      </c>
      <c r="K491" s="48"/>
      <c r="M491" s="205" t="s">
        <v>2802</v>
      </c>
    </row>
    <row r="492" spans="2:13" ht="15.75" customHeight="1" x14ac:dyDescent="0.2">
      <c r="B492" s="46"/>
      <c r="E492" s="71"/>
      <c r="F492" s="71" t="str">
        <f ca="1">IFERROR(__xludf.DUMMYFUNCTION("unique(filter($C$5:$C1123,$B$5:$B1123=E492))"),"")</f>
        <v/>
      </c>
      <c r="G492" s="203" t="str">
        <f ca="1">IFERROR(__xludf.DUMMYFUNCTION("unique(filter($D$5:$D1123,$B$5:$B1123=E492))"),"")</f>
        <v/>
      </c>
      <c r="K492" s="48"/>
      <c r="M492" s="205" t="s">
        <v>2803</v>
      </c>
    </row>
    <row r="493" spans="2:13" ht="15.75" customHeight="1" x14ac:dyDescent="0.2">
      <c r="B493" s="46"/>
      <c r="E493" s="71"/>
      <c r="F493" s="71" t="str">
        <f ca="1">IFERROR(__xludf.DUMMYFUNCTION("unique(filter($C$5:$C1123,$B$5:$B1123=E493))"),"")</f>
        <v/>
      </c>
      <c r="G493" s="203" t="str">
        <f ca="1">IFERROR(__xludf.DUMMYFUNCTION("unique(filter($D$5:$D1123,$B$5:$B1123=E493))"),"")</f>
        <v/>
      </c>
      <c r="K493" s="48"/>
      <c r="M493" s="205" t="s">
        <v>2804</v>
      </c>
    </row>
    <row r="494" spans="2:13" ht="15.75" customHeight="1" x14ac:dyDescent="0.2">
      <c r="B494" s="46"/>
      <c r="E494" s="71"/>
      <c r="F494" s="71" t="str">
        <f ca="1">IFERROR(__xludf.DUMMYFUNCTION("unique(filter($C$5:$C1123,$B$5:$B1123=E494))"),"")</f>
        <v/>
      </c>
      <c r="G494" s="203" t="str">
        <f ca="1">IFERROR(__xludf.DUMMYFUNCTION("unique(filter($D$5:$D1123,$B$5:$B1123=E494))"),"")</f>
        <v/>
      </c>
      <c r="K494" s="48"/>
      <c r="M494" s="205" t="s">
        <v>2805</v>
      </c>
    </row>
    <row r="495" spans="2:13" ht="15.75" customHeight="1" x14ac:dyDescent="0.2">
      <c r="B495" s="46"/>
      <c r="E495" s="71"/>
      <c r="F495" s="71" t="str">
        <f ca="1">IFERROR(__xludf.DUMMYFUNCTION("unique(filter($C$5:$C1123,$B$5:$B1123=E495))"),"")</f>
        <v/>
      </c>
      <c r="G495" s="203" t="str">
        <f ca="1">IFERROR(__xludf.DUMMYFUNCTION("unique(filter($D$5:$D1123,$B$5:$B1123=E495))"),"")</f>
        <v/>
      </c>
      <c r="K495" s="48"/>
      <c r="M495" s="205" t="s">
        <v>2806</v>
      </c>
    </row>
    <row r="496" spans="2:13" ht="15.75" customHeight="1" x14ac:dyDescent="0.2">
      <c r="B496" s="46"/>
      <c r="E496" s="71"/>
      <c r="F496" s="71" t="str">
        <f ca="1">IFERROR(__xludf.DUMMYFUNCTION("unique(filter($C$5:$C1123,$B$5:$B1123=E496))"),"")</f>
        <v/>
      </c>
      <c r="G496" s="203" t="str">
        <f ca="1">IFERROR(__xludf.DUMMYFUNCTION("unique(filter($D$5:$D1123,$B$5:$B1123=E496))"),"")</f>
        <v/>
      </c>
      <c r="K496" s="48"/>
      <c r="M496" s="205" t="s">
        <v>2807</v>
      </c>
    </row>
    <row r="497" spans="2:13" ht="15.75" customHeight="1" x14ac:dyDescent="0.2">
      <c r="B497" s="46"/>
      <c r="E497" s="71"/>
      <c r="F497" s="71" t="str">
        <f ca="1">IFERROR(__xludf.DUMMYFUNCTION("unique(filter($C$5:$C1123,$B$5:$B1123=E497))"),"")</f>
        <v/>
      </c>
      <c r="G497" s="203" t="str">
        <f ca="1">IFERROR(__xludf.DUMMYFUNCTION("unique(filter($D$5:$D1123,$B$5:$B1123=E497))"),"")</f>
        <v/>
      </c>
      <c r="K497" s="48"/>
      <c r="M497" s="205" t="s">
        <v>2808</v>
      </c>
    </row>
    <row r="498" spans="2:13" ht="15.75" customHeight="1" x14ac:dyDescent="0.2">
      <c r="B498" s="46"/>
      <c r="E498" s="71"/>
      <c r="F498" s="71" t="str">
        <f ca="1">IFERROR(__xludf.DUMMYFUNCTION("unique(filter($C$5:$C1123,$B$5:$B1123=E498))"),"")</f>
        <v/>
      </c>
      <c r="G498" s="203" t="str">
        <f ca="1">IFERROR(__xludf.DUMMYFUNCTION("unique(filter($D$5:$D1123,$B$5:$B1123=E498))"),"")</f>
        <v/>
      </c>
      <c r="K498" s="48"/>
      <c r="M498" s="205" t="s">
        <v>2809</v>
      </c>
    </row>
    <row r="499" spans="2:13" ht="15.75" customHeight="1" x14ac:dyDescent="0.2">
      <c r="B499" s="46"/>
      <c r="E499" s="71"/>
      <c r="F499" s="71" t="str">
        <f ca="1">IFERROR(__xludf.DUMMYFUNCTION("unique(filter($C$5:$C1123,$B$5:$B1123=E499))"),"")</f>
        <v/>
      </c>
      <c r="G499" s="203" t="str">
        <f ca="1">IFERROR(__xludf.DUMMYFUNCTION("unique(filter($D$5:$D1123,$B$5:$B1123=E499))"),"")</f>
        <v/>
      </c>
      <c r="K499" s="48"/>
      <c r="M499" s="205" t="s">
        <v>2810</v>
      </c>
    </row>
    <row r="500" spans="2:13" ht="15.75" customHeight="1" x14ac:dyDescent="0.2">
      <c r="B500" s="46"/>
      <c r="E500" s="71"/>
      <c r="F500" s="71" t="str">
        <f ca="1">IFERROR(__xludf.DUMMYFUNCTION("unique(filter($C$5:$C1123,$B$5:$B1123=E500))"),"")</f>
        <v/>
      </c>
      <c r="G500" s="203" t="str">
        <f ca="1">IFERROR(__xludf.DUMMYFUNCTION("unique(filter($D$5:$D1123,$B$5:$B1123=E500))"),"")</f>
        <v/>
      </c>
      <c r="K500" s="48"/>
      <c r="M500" s="205" t="s">
        <v>2811</v>
      </c>
    </row>
    <row r="501" spans="2:13" ht="15.75" customHeight="1" x14ac:dyDescent="0.2">
      <c r="B501" s="46"/>
      <c r="E501" s="71"/>
      <c r="F501" s="71" t="str">
        <f ca="1">IFERROR(__xludf.DUMMYFUNCTION("unique(filter($C$5:$C1123,$B$5:$B1123=E501))"),"")</f>
        <v/>
      </c>
      <c r="G501" s="203" t="str">
        <f ca="1">IFERROR(__xludf.DUMMYFUNCTION("unique(filter($D$5:$D1123,$B$5:$B1123=E501))"),"")</f>
        <v/>
      </c>
      <c r="K501" s="48"/>
      <c r="M501" s="205" t="s">
        <v>2812</v>
      </c>
    </row>
    <row r="502" spans="2:13" ht="15.75" customHeight="1" x14ac:dyDescent="0.2">
      <c r="B502" s="46"/>
      <c r="E502" s="71"/>
      <c r="F502" s="71" t="str">
        <f ca="1">IFERROR(__xludf.DUMMYFUNCTION("unique(filter($C$5:$C1123,$B$5:$B1123=E502))"),"")</f>
        <v/>
      </c>
      <c r="G502" s="203" t="str">
        <f ca="1">IFERROR(__xludf.DUMMYFUNCTION("unique(filter($D$5:$D1123,$B$5:$B1123=E502))"),"")</f>
        <v/>
      </c>
      <c r="K502" s="48"/>
      <c r="M502" s="205" t="s">
        <v>2813</v>
      </c>
    </row>
    <row r="503" spans="2:13" ht="15.75" customHeight="1" x14ac:dyDescent="0.2">
      <c r="B503" s="46"/>
      <c r="E503" s="71"/>
      <c r="F503" s="71" t="str">
        <f ca="1">IFERROR(__xludf.DUMMYFUNCTION("unique(filter($C$5:$C1123,$B$5:$B1123=E503))"),"")</f>
        <v/>
      </c>
      <c r="G503" s="203" t="str">
        <f ca="1">IFERROR(__xludf.DUMMYFUNCTION("unique(filter($D$5:$D1123,$B$5:$B1123=E503))"),"")</f>
        <v/>
      </c>
      <c r="K503" s="48"/>
      <c r="M503" s="205" t="s">
        <v>2814</v>
      </c>
    </row>
    <row r="504" spans="2:13" ht="15.75" customHeight="1" x14ac:dyDescent="0.2">
      <c r="B504" s="46"/>
      <c r="E504" s="71"/>
      <c r="F504" s="71" t="str">
        <f ca="1">IFERROR(__xludf.DUMMYFUNCTION("unique(filter($C$5:$C1123,$B$5:$B1123=E504))"),"")</f>
        <v/>
      </c>
      <c r="G504" s="203" t="str">
        <f ca="1">IFERROR(__xludf.DUMMYFUNCTION("unique(filter($D$5:$D1123,$B$5:$B1123=E504))"),"")</f>
        <v/>
      </c>
      <c r="K504" s="48"/>
      <c r="M504" s="205" t="s">
        <v>2815</v>
      </c>
    </row>
    <row r="505" spans="2:13" ht="15.75" customHeight="1" x14ac:dyDescent="0.2">
      <c r="B505" s="46"/>
      <c r="E505" s="71"/>
      <c r="F505" s="71" t="str">
        <f ca="1">IFERROR(__xludf.DUMMYFUNCTION("unique(filter($C$5:$C1123,$B$5:$B1123=E505))"),"")</f>
        <v/>
      </c>
      <c r="G505" s="203" t="str">
        <f ca="1">IFERROR(__xludf.DUMMYFUNCTION("unique(filter($D$5:$D1123,$B$5:$B1123=E505))"),"")</f>
        <v/>
      </c>
      <c r="K505" s="48"/>
      <c r="M505" s="205" t="s">
        <v>2816</v>
      </c>
    </row>
    <row r="506" spans="2:13" ht="15.75" customHeight="1" x14ac:dyDescent="0.2">
      <c r="B506" s="46"/>
      <c r="E506" s="71"/>
      <c r="F506" s="71" t="str">
        <f ca="1">IFERROR(__xludf.DUMMYFUNCTION("unique(filter($C$5:$C1123,$B$5:$B1123=E506))"),"")</f>
        <v/>
      </c>
      <c r="G506" s="203" t="str">
        <f ca="1">IFERROR(__xludf.DUMMYFUNCTION("unique(filter($D$5:$D1123,$B$5:$B1123=E506))"),"")</f>
        <v/>
      </c>
      <c r="K506" s="48"/>
      <c r="M506" s="205" t="s">
        <v>2817</v>
      </c>
    </row>
    <row r="507" spans="2:13" ht="15.75" customHeight="1" x14ac:dyDescent="0.2">
      <c r="B507" s="46"/>
      <c r="E507" s="71"/>
      <c r="F507" s="71" t="str">
        <f ca="1">IFERROR(__xludf.DUMMYFUNCTION("unique(filter($C$5:$C1123,$B$5:$B1123=E507))"),"")</f>
        <v/>
      </c>
      <c r="G507" s="203" t="str">
        <f ca="1">IFERROR(__xludf.DUMMYFUNCTION("unique(filter($D$5:$D1123,$B$5:$B1123=E507))"),"")</f>
        <v/>
      </c>
      <c r="K507" s="48"/>
      <c r="M507" s="205" t="s">
        <v>2818</v>
      </c>
    </row>
    <row r="508" spans="2:13" ht="15.75" customHeight="1" x14ac:dyDescent="0.2">
      <c r="B508" s="46"/>
      <c r="E508" s="71"/>
      <c r="F508" s="71" t="str">
        <f ca="1">IFERROR(__xludf.DUMMYFUNCTION("unique(filter($C$5:$C1123,$B$5:$B1123=E508))"),"")</f>
        <v/>
      </c>
      <c r="G508" s="203" t="str">
        <f ca="1">IFERROR(__xludf.DUMMYFUNCTION("unique(filter($D$5:$D1123,$B$5:$B1123=E508))"),"")</f>
        <v/>
      </c>
      <c r="K508" s="48"/>
      <c r="M508" s="205" t="s">
        <v>2819</v>
      </c>
    </row>
    <row r="509" spans="2:13" ht="15.75" customHeight="1" x14ac:dyDescent="0.2">
      <c r="B509" s="46"/>
      <c r="E509" s="71"/>
      <c r="F509" s="71" t="str">
        <f ca="1">IFERROR(__xludf.DUMMYFUNCTION("unique(filter($C$5:$C1123,$B$5:$B1123=E509))"),"")</f>
        <v/>
      </c>
      <c r="G509" s="203" t="str">
        <f ca="1">IFERROR(__xludf.DUMMYFUNCTION("unique(filter($D$5:$D1123,$B$5:$B1123=E509))"),"")</f>
        <v/>
      </c>
      <c r="K509" s="48"/>
      <c r="M509" s="205" t="s">
        <v>2820</v>
      </c>
    </row>
    <row r="510" spans="2:13" ht="15.75" customHeight="1" x14ac:dyDescent="0.2">
      <c r="B510" s="46"/>
      <c r="E510" s="71"/>
      <c r="F510" s="71" t="str">
        <f ca="1">IFERROR(__xludf.DUMMYFUNCTION("unique(filter($C$5:$C1123,$B$5:$B1123=E510))"),"")</f>
        <v/>
      </c>
      <c r="G510" s="203" t="str">
        <f ca="1">IFERROR(__xludf.DUMMYFUNCTION("unique(filter($D$5:$D1123,$B$5:$B1123=E510))"),"")</f>
        <v/>
      </c>
      <c r="K510" s="48"/>
      <c r="M510" s="205" t="s">
        <v>2821</v>
      </c>
    </row>
    <row r="511" spans="2:13" ht="15.75" customHeight="1" x14ac:dyDescent="0.2">
      <c r="B511" s="46"/>
      <c r="E511" s="71"/>
      <c r="F511" s="71" t="str">
        <f ca="1">IFERROR(__xludf.DUMMYFUNCTION("unique(filter($C$5:$C1123,$B$5:$B1123=E511))"),"")</f>
        <v/>
      </c>
      <c r="G511" s="203" t="str">
        <f ca="1">IFERROR(__xludf.DUMMYFUNCTION("unique(filter($D$5:$D1123,$B$5:$B1123=E511))"),"")</f>
        <v/>
      </c>
      <c r="K511" s="48"/>
      <c r="M511" s="205" t="s">
        <v>2822</v>
      </c>
    </row>
    <row r="512" spans="2:13" ht="15.75" customHeight="1" x14ac:dyDescent="0.2">
      <c r="B512" s="46"/>
      <c r="E512" s="71"/>
      <c r="F512" s="71" t="str">
        <f ca="1">IFERROR(__xludf.DUMMYFUNCTION("unique(filter($C$5:$C1123,$B$5:$B1123=E512))"),"")</f>
        <v/>
      </c>
      <c r="G512" s="203" t="str">
        <f ca="1">IFERROR(__xludf.DUMMYFUNCTION("unique(filter($D$5:$D1123,$B$5:$B1123=E512))"),"")</f>
        <v/>
      </c>
      <c r="K512" s="48"/>
      <c r="M512" s="205" t="s">
        <v>2823</v>
      </c>
    </row>
    <row r="513" spans="2:13" ht="15.75" customHeight="1" x14ac:dyDescent="0.2">
      <c r="B513" s="46"/>
      <c r="E513" s="71"/>
      <c r="F513" s="71" t="str">
        <f ca="1">IFERROR(__xludf.DUMMYFUNCTION("unique(filter($C$5:$C1123,$B$5:$B1123=E513))"),"")</f>
        <v/>
      </c>
      <c r="G513" s="203" t="str">
        <f ca="1">IFERROR(__xludf.DUMMYFUNCTION("unique(filter($D$5:$D1123,$B$5:$B1123=E513))"),"")</f>
        <v/>
      </c>
      <c r="K513" s="48"/>
      <c r="M513" s="205" t="s">
        <v>2824</v>
      </c>
    </row>
    <row r="514" spans="2:13" ht="15.75" customHeight="1" x14ac:dyDescent="0.2">
      <c r="B514" s="46"/>
      <c r="E514" s="71"/>
      <c r="F514" s="71" t="str">
        <f ca="1">IFERROR(__xludf.DUMMYFUNCTION("unique(filter($C$5:$C1123,$B$5:$B1123=E514))"),"")</f>
        <v/>
      </c>
      <c r="G514" s="203" t="str">
        <f ca="1">IFERROR(__xludf.DUMMYFUNCTION("unique(filter($D$5:$D1123,$B$5:$B1123=E514))"),"")</f>
        <v/>
      </c>
      <c r="K514" s="48"/>
      <c r="M514" s="205" t="s">
        <v>2825</v>
      </c>
    </row>
    <row r="515" spans="2:13" ht="15.75" customHeight="1" x14ac:dyDescent="0.2">
      <c r="B515" s="46"/>
      <c r="E515" s="71"/>
      <c r="F515" s="71" t="str">
        <f ca="1">IFERROR(__xludf.DUMMYFUNCTION("unique(filter($C$5:$C1123,$B$5:$B1123=E515))"),"")</f>
        <v/>
      </c>
      <c r="G515" s="203" t="str">
        <f ca="1">IFERROR(__xludf.DUMMYFUNCTION("unique(filter($D$5:$D1123,$B$5:$B1123=E515))"),"")</f>
        <v/>
      </c>
      <c r="K515" s="48"/>
      <c r="M515" s="205" t="s">
        <v>2826</v>
      </c>
    </row>
    <row r="516" spans="2:13" ht="15.75" customHeight="1" x14ac:dyDescent="0.2">
      <c r="B516" s="46"/>
      <c r="E516" s="71"/>
      <c r="F516" s="71" t="str">
        <f ca="1">IFERROR(__xludf.DUMMYFUNCTION("unique(filter($C$5:$C1123,$B$5:$B1123=E516))"),"")</f>
        <v/>
      </c>
      <c r="G516" s="203" t="str">
        <f ca="1">IFERROR(__xludf.DUMMYFUNCTION("unique(filter($D$5:$D1123,$B$5:$B1123=E516))"),"")</f>
        <v/>
      </c>
      <c r="K516" s="48"/>
      <c r="M516" s="205" t="s">
        <v>2827</v>
      </c>
    </row>
    <row r="517" spans="2:13" ht="15.75" customHeight="1" x14ac:dyDescent="0.2">
      <c r="B517" s="46"/>
      <c r="E517" s="71"/>
      <c r="F517" s="71" t="str">
        <f ca="1">IFERROR(__xludf.DUMMYFUNCTION("unique(filter($C$5:$C1123,$B$5:$B1123=E517))"),"")</f>
        <v/>
      </c>
      <c r="G517" s="203" t="str">
        <f ca="1">IFERROR(__xludf.DUMMYFUNCTION("unique(filter($D$5:$D1123,$B$5:$B1123=E517))"),"")</f>
        <v/>
      </c>
      <c r="K517" s="48"/>
      <c r="M517" s="205" t="s">
        <v>2828</v>
      </c>
    </row>
    <row r="518" spans="2:13" ht="15.75" customHeight="1" x14ac:dyDescent="0.2">
      <c r="B518" s="46"/>
      <c r="E518" s="71"/>
      <c r="F518" s="71" t="str">
        <f ca="1">IFERROR(__xludf.DUMMYFUNCTION("unique(filter($C$5:$C1123,$B$5:$B1123=E518))"),"")</f>
        <v/>
      </c>
      <c r="G518" s="203" t="str">
        <f ca="1">IFERROR(__xludf.DUMMYFUNCTION("unique(filter($D$5:$D1123,$B$5:$B1123=E518))"),"")</f>
        <v/>
      </c>
      <c r="K518" s="48"/>
      <c r="M518" s="205" t="s">
        <v>2829</v>
      </c>
    </row>
    <row r="519" spans="2:13" ht="15.75" customHeight="1" x14ac:dyDescent="0.2">
      <c r="B519" s="46"/>
      <c r="E519" s="71"/>
      <c r="F519" s="71" t="str">
        <f ca="1">IFERROR(__xludf.DUMMYFUNCTION("unique(filter($C$5:$C1123,$B$5:$B1123=E519))"),"")</f>
        <v/>
      </c>
      <c r="G519" s="203" t="str">
        <f ca="1">IFERROR(__xludf.DUMMYFUNCTION("unique(filter($D$5:$D1123,$B$5:$B1123=E519))"),"")</f>
        <v/>
      </c>
      <c r="K519" s="48"/>
      <c r="M519" s="205" t="s">
        <v>2830</v>
      </c>
    </row>
    <row r="520" spans="2:13" ht="15.75" customHeight="1" x14ac:dyDescent="0.2">
      <c r="B520" s="46"/>
      <c r="E520" s="71"/>
      <c r="F520" s="71" t="str">
        <f ca="1">IFERROR(__xludf.DUMMYFUNCTION("unique(filter($C$5:$C1123,$B$5:$B1123=E520))"),"")</f>
        <v/>
      </c>
      <c r="G520" s="203" t="str">
        <f ca="1">IFERROR(__xludf.DUMMYFUNCTION("unique(filter($D$5:$D1123,$B$5:$B1123=E520))"),"")</f>
        <v/>
      </c>
      <c r="K520" s="48"/>
      <c r="M520" s="205" t="s">
        <v>2831</v>
      </c>
    </row>
    <row r="521" spans="2:13" ht="15.75" customHeight="1" x14ac:dyDescent="0.2">
      <c r="B521" s="46"/>
      <c r="E521" s="71"/>
      <c r="F521" s="71" t="str">
        <f ca="1">IFERROR(__xludf.DUMMYFUNCTION("unique(filter($C$5:$C1123,$B$5:$B1123=E521))"),"")</f>
        <v/>
      </c>
      <c r="G521" s="203" t="str">
        <f ca="1">IFERROR(__xludf.DUMMYFUNCTION("unique(filter($D$5:$D1123,$B$5:$B1123=E521))"),"")</f>
        <v/>
      </c>
      <c r="K521" s="48"/>
      <c r="M521" s="205" t="s">
        <v>2832</v>
      </c>
    </row>
    <row r="522" spans="2:13" ht="15.75" customHeight="1" x14ac:dyDescent="0.2">
      <c r="B522" s="46"/>
      <c r="E522" s="71"/>
      <c r="F522" s="71" t="str">
        <f ca="1">IFERROR(__xludf.DUMMYFUNCTION("unique(filter($C$5:$C1123,$B$5:$B1123=E522))"),"")</f>
        <v/>
      </c>
      <c r="G522" s="203" t="str">
        <f ca="1">IFERROR(__xludf.DUMMYFUNCTION("unique(filter($D$5:$D1123,$B$5:$B1123=E522))"),"")</f>
        <v/>
      </c>
      <c r="K522" s="48"/>
      <c r="M522" s="205" t="s">
        <v>2833</v>
      </c>
    </row>
    <row r="523" spans="2:13" ht="15.75" customHeight="1" x14ac:dyDescent="0.2">
      <c r="B523" s="46"/>
      <c r="E523" s="71"/>
      <c r="F523" s="71" t="str">
        <f ca="1">IFERROR(__xludf.DUMMYFUNCTION("unique(filter($C$5:$C1123,$B$5:$B1123=E523))"),"")</f>
        <v/>
      </c>
      <c r="G523" s="203" t="str">
        <f ca="1">IFERROR(__xludf.DUMMYFUNCTION("unique(filter($D$5:$D1123,$B$5:$B1123=E523))"),"")</f>
        <v/>
      </c>
      <c r="K523" s="48"/>
      <c r="M523" s="205" t="s">
        <v>2834</v>
      </c>
    </row>
    <row r="524" spans="2:13" ht="15.75" customHeight="1" x14ac:dyDescent="0.2">
      <c r="B524" s="46"/>
      <c r="E524" s="71"/>
      <c r="F524" s="71" t="str">
        <f ca="1">IFERROR(__xludf.DUMMYFUNCTION("unique(filter($C$5:$C1123,$B$5:$B1123=E524))"),"")</f>
        <v/>
      </c>
      <c r="G524" s="203" t="str">
        <f ca="1">IFERROR(__xludf.DUMMYFUNCTION("unique(filter($D$5:$D1123,$B$5:$B1123=E524))"),"")</f>
        <v/>
      </c>
      <c r="K524" s="48"/>
      <c r="M524" s="205" t="s">
        <v>2835</v>
      </c>
    </row>
    <row r="525" spans="2:13" ht="15.75" customHeight="1" x14ac:dyDescent="0.2">
      <c r="B525" s="46"/>
      <c r="E525" s="71"/>
      <c r="F525" s="71" t="str">
        <f ca="1">IFERROR(__xludf.DUMMYFUNCTION("unique(filter($C$5:$C1123,$B$5:$B1123=E525))"),"")</f>
        <v/>
      </c>
      <c r="G525" s="203" t="str">
        <f ca="1">IFERROR(__xludf.DUMMYFUNCTION("unique(filter($D$5:$D1123,$B$5:$B1123=E525))"),"")</f>
        <v/>
      </c>
      <c r="K525" s="48"/>
      <c r="M525" s="205" t="s">
        <v>2836</v>
      </c>
    </row>
    <row r="526" spans="2:13" ht="15.75" customHeight="1" x14ac:dyDescent="0.2">
      <c r="B526" s="46"/>
      <c r="E526" s="71"/>
      <c r="F526" s="71" t="str">
        <f ca="1">IFERROR(__xludf.DUMMYFUNCTION("unique(filter($C$5:$C1123,$B$5:$B1123=E526))"),"")</f>
        <v/>
      </c>
      <c r="G526" s="203" t="str">
        <f ca="1">IFERROR(__xludf.DUMMYFUNCTION("unique(filter($D$5:$D1123,$B$5:$B1123=E526))"),"")</f>
        <v/>
      </c>
      <c r="K526" s="48"/>
      <c r="M526" s="205" t="s">
        <v>2837</v>
      </c>
    </row>
    <row r="527" spans="2:13" ht="15.75" customHeight="1" x14ac:dyDescent="0.2">
      <c r="B527" s="46"/>
      <c r="E527" s="71"/>
      <c r="F527" s="71" t="str">
        <f ca="1">IFERROR(__xludf.DUMMYFUNCTION("unique(filter($C$5:$C1123,$B$5:$B1123=E527))"),"")</f>
        <v/>
      </c>
      <c r="G527" s="203" t="str">
        <f ca="1">IFERROR(__xludf.DUMMYFUNCTION("unique(filter($D$5:$D1123,$B$5:$B1123=E527))"),"")</f>
        <v/>
      </c>
      <c r="K527" s="48"/>
      <c r="M527" s="205" t="s">
        <v>2838</v>
      </c>
    </row>
    <row r="528" spans="2:13" ht="15.75" customHeight="1" x14ac:dyDescent="0.2">
      <c r="B528" s="46"/>
      <c r="E528" s="71"/>
      <c r="F528" s="71" t="str">
        <f ca="1">IFERROR(__xludf.DUMMYFUNCTION("unique(filter($C$5:$C1123,$B$5:$B1123=E528))"),"")</f>
        <v/>
      </c>
      <c r="G528" s="203" t="str">
        <f ca="1">IFERROR(__xludf.DUMMYFUNCTION("unique(filter($D$5:$D1123,$B$5:$B1123=E528))"),"")</f>
        <v/>
      </c>
      <c r="K528" s="48"/>
      <c r="M528" s="205" t="s">
        <v>2839</v>
      </c>
    </row>
    <row r="529" spans="2:13" ht="15.75" customHeight="1" x14ac:dyDescent="0.2">
      <c r="B529" s="46"/>
      <c r="E529" s="71"/>
      <c r="F529" s="71" t="str">
        <f ca="1">IFERROR(__xludf.DUMMYFUNCTION("unique(filter($C$5:$C1123,$B$5:$B1123=E529))"),"")</f>
        <v/>
      </c>
      <c r="G529" s="203" t="str">
        <f ca="1">IFERROR(__xludf.DUMMYFUNCTION("unique(filter($D$5:$D1123,$B$5:$B1123=E529))"),"")</f>
        <v/>
      </c>
      <c r="K529" s="48"/>
      <c r="M529" s="205" t="s">
        <v>2840</v>
      </c>
    </row>
    <row r="530" spans="2:13" ht="15.75" customHeight="1" x14ac:dyDescent="0.2">
      <c r="B530" s="46"/>
      <c r="E530" s="71"/>
      <c r="F530" s="71" t="str">
        <f ca="1">IFERROR(__xludf.DUMMYFUNCTION("unique(filter($C$5:$C1123,$B$5:$B1123=E530))"),"")</f>
        <v/>
      </c>
      <c r="G530" s="203" t="str">
        <f ca="1">IFERROR(__xludf.DUMMYFUNCTION("unique(filter($D$5:$D1123,$B$5:$B1123=E530))"),"")</f>
        <v/>
      </c>
      <c r="K530" s="48"/>
      <c r="M530" s="205" t="s">
        <v>2841</v>
      </c>
    </row>
    <row r="531" spans="2:13" ht="15.75" customHeight="1" x14ac:dyDescent="0.2">
      <c r="B531" s="46"/>
      <c r="E531" s="71"/>
      <c r="F531" s="71" t="str">
        <f ca="1">IFERROR(__xludf.DUMMYFUNCTION("unique(filter($C$5:$C1123,$B$5:$B1123=E531))"),"")</f>
        <v/>
      </c>
      <c r="G531" s="203" t="str">
        <f ca="1">IFERROR(__xludf.DUMMYFUNCTION("unique(filter($D$5:$D1123,$B$5:$B1123=E531))"),"")</f>
        <v/>
      </c>
      <c r="K531" s="48"/>
      <c r="M531" s="205" t="s">
        <v>2842</v>
      </c>
    </row>
    <row r="532" spans="2:13" ht="15.75" customHeight="1" x14ac:dyDescent="0.2">
      <c r="B532" s="46"/>
      <c r="E532" s="71"/>
      <c r="F532" s="71" t="str">
        <f ca="1">IFERROR(__xludf.DUMMYFUNCTION("unique(filter($C$5:$C1123,$B$5:$B1123=E532))"),"")</f>
        <v/>
      </c>
      <c r="G532" s="203" t="str">
        <f ca="1">IFERROR(__xludf.DUMMYFUNCTION("unique(filter($D$5:$D1123,$B$5:$B1123=E532))"),"")</f>
        <v/>
      </c>
      <c r="K532" s="48"/>
      <c r="M532" s="205" t="s">
        <v>2843</v>
      </c>
    </row>
    <row r="533" spans="2:13" ht="15.75" customHeight="1" x14ac:dyDescent="0.2">
      <c r="B533" s="46"/>
      <c r="E533" s="71"/>
      <c r="F533" s="71" t="str">
        <f ca="1">IFERROR(__xludf.DUMMYFUNCTION("unique(filter($C$5:$C1123,$B$5:$B1123=E533))"),"")</f>
        <v/>
      </c>
      <c r="G533" s="203" t="str">
        <f ca="1">IFERROR(__xludf.DUMMYFUNCTION("unique(filter($D$5:$D1123,$B$5:$B1123=E533))"),"")</f>
        <v/>
      </c>
      <c r="K533" s="48"/>
      <c r="M533" s="205" t="s">
        <v>2844</v>
      </c>
    </row>
    <row r="534" spans="2:13" ht="15.75" customHeight="1" x14ac:dyDescent="0.2">
      <c r="B534" s="46"/>
      <c r="E534" s="71"/>
      <c r="F534" s="71" t="str">
        <f ca="1">IFERROR(__xludf.DUMMYFUNCTION("unique(filter($C$5:$C1123,$B$5:$B1123=E534))"),"")</f>
        <v/>
      </c>
      <c r="G534" s="203" t="str">
        <f ca="1">IFERROR(__xludf.DUMMYFUNCTION("unique(filter($D$5:$D1123,$B$5:$B1123=E534))"),"")</f>
        <v/>
      </c>
      <c r="K534" s="48"/>
      <c r="M534" s="205" t="s">
        <v>2845</v>
      </c>
    </row>
    <row r="535" spans="2:13" ht="15.75" customHeight="1" x14ac:dyDescent="0.2">
      <c r="B535" s="46"/>
      <c r="E535" s="71"/>
      <c r="F535" s="71" t="str">
        <f ca="1">IFERROR(__xludf.DUMMYFUNCTION("unique(filter($C$5:$C1123,$B$5:$B1123=E535))"),"")</f>
        <v/>
      </c>
      <c r="G535" s="203" t="str">
        <f ca="1">IFERROR(__xludf.DUMMYFUNCTION("unique(filter($D$5:$D1123,$B$5:$B1123=E535))"),"")</f>
        <v/>
      </c>
      <c r="K535" s="48"/>
      <c r="M535" s="205" t="s">
        <v>2846</v>
      </c>
    </row>
    <row r="536" spans="2:13" ht="15.75" customHeight="1" x14ac:dyDescent="0.2">
      <c r="B536" s="46"/>
      <c r="E536" s="71"/>
      <c r="F536" s="71" t="str">
        <f ca="1">IFERROR(__xludf.DUMMYFUNCTION("unique(filter($C$5:$C1123,$B$5:$B1123=E536))"),"")</f>
        <v/>
      </c>
      <c r="G536" s="203" t="str">
        <f ca="1">IFERROR(__xludf.DUMMYFUNCTION("unique(filter($D$5:$D1123,$B$5:$B1123=E536))"),"")</f>
        <v/>
      </c>
      <c r="K536" s="48"/>
      <c r="M536" s="205" t="s">
        <v>2847</v>
      </c>
    </row>
    <row r="537" spans="2:13" ht="15.75" customHeight="1" x14ac:dyDescent="0.2">
      <c r="B537" s="46"/>
      <c r="E537" s="71"/>
      <c r="F537" s="71" t="str">
        <f ca="1">IFERROR(__xludf.DUMMYFUNCTION("unique(filter($C$5:$C1123,$B$5:$B1123=E537))"),"")</f>
        <v/>
      </c>
      <c r="G537" s="203" t="str">
        <f ca="1">IFERROR(__xludf.DUMMYFUNCTION("unique(filter($D$5:$D1123,$B$5:$B1123=E537))"),"")</f>
        <v/>
      </c>
      <c r="K537" s="48"/>
      <c r="M537" s="205" t="s">
        <v>2848</v>
      </c>
    </row>
    <row r="538" spans="2:13" ht="15.75" customHeight="1" x14ac:dyDescent="0.2">
      <c r="B538" s="46"/>
      <c r="E538" s="71"/>
      <c r="F538" s="71" t="str">
        <f ca="1">IFERROR(__xludf.DUMMYFUNCTION("unique(filter($C$5:$C1123,$B$5:$B1123=E538))"),"")</f>
        <v/>
      </c>
      <c r="G538" s="203" t="str">
        <f ca="1">IFERROR(__xludf.DUMMYFUNCTION("unique(filter($D$5:$D1123,$B$5:$B1123=E538))"),"")</f>
        <v/>
      </c>
      <c r="K538" s="48"/>
      <c r="M538" s="205" t="s">
        <v>2849</v>
      </c>
    </row>
    <row r="539" spans="2:13" ht="15.75" customHeight="1" x14ac:dyDescent="0.2">
      <c r="B539" s="46"/>
      <c r="E539" s="71"/>
      <c r="F539" s="71" t="str">
        <f ca="1">IFERROR(__xludf.DUMMYFUNCTION("unique(filter($C$5:$C1123,$B$5:$B1123=E539))"),"")</f>
        <v/>
      </c>
      <c r="G539" s="203" t="str">
        <f ca="1">IFERROR(__xludf.DUMMYFUNCTION("unique(filter($D$5:$D1123,$B$5:$B1123=E539))"),"")</f>
        <v/>
      </c>
      <c r="K539" s="48"/>
      <c r="M539" s="205" t="s">
        <v>2850</v>
      </c>
    </row>
    <row r="540" spans="2:13" ht="15.75" customHeight="1" x14ac:dyDescent="0.2">
      <c r="B540" s="46"/>
      <c r="E540" s="71"/>
      <c r="F540" s="71" t="str">
        <f ca="1">IFERROR(__xludf.DUMMYFUNCTION("unique(filter($C$5:$C1123,$B$5:$B1123=E540))"),"")</f>
        <v/>
      </c>
      <c r="G540" s="203" t="str">
        <f ca="1">IFERROR(__xludf.DUMMYFUNCTION("unique(filter($D$5:$D1123,$B$5:$B1123=E540))"),"")</f>
        <v/>
      </c>
      <c r="K540" s="48"/>
      <c r="M540" s="205" t="s">
        <v>2851</v>
      </c>
    </row>
    <row r="541" spans="2:13" ht="15.75" customHeight="1" x14ac:dyDescent="0.2">
      <c r="B541" s="46"/>
      <c r="E541" s="71"/>
      <c r="F541" s="71" t="str">
        <f ca="1">IFERROR(__xludf.DUMMYFUNCTION("unique(filter($C$5:$C1123,$B$5:$B1123=E541))"),"")</f>
        <v/>
      </c>
      <c r="G541" s="203" t="str">
        <f ca="1">IFERROR(__xludf.DUMMYFUNCTION("unique(filter($D$5:$D1123,$B$5:$B1123=E541))"),"")</f>
        <v/>
      </c>
      <c r="K541" s="48"/>
      <c r="M541" s="205" t="s">
        <v>2852</v>
      </c>
    </row>
    <row r="542" spans="2:13" ht="15.75" customHeight="1" x14ac:dyDescent="0.2">
      <c r="B542" s="46"/>
      <c r="E542" s="71"/>
      <c r="F542" s="71" t="str">
        <f ca="1">IFERROR(__xludf.DUMMYFUNCTION("unique(filter($C$5:$C1123,$B$5:$B1123=E542))"),"")</f>
        <v/>
      </c>
      <c r="G542" s="203" t="str">
        <f ca="1">IFERROR(__xludf.DUMMYFUNCTION("unique(filter($D$5:$D1123,$B$5:$B1123=E542))"),"")</f>
        <v/>
      </c>
      <c r="K542" s="48"/>
      <c r="M542" s="205" t="s">
        <v>2853</v>
      </c>
    </row>
    <row r="543" spans="2:13" ht="15.75" customHeight="1" x14ac:dyDescent="0.2">
      <c r="B543" s="46"/>
      <c r="E543" s="71"/>
      <c r="F543" s="71" t="str">
        <f ca="1">IFERROR(__xludf.DUMMYFUNCTION("unique(filter($C$5:$C1123,$B$5:$B1123=E543))"),"")</f>
        <v/>
      </c>
      <c r="G543" s="203" t="str">
        <f ca="1">IFERROR(__xludf.DUMMYFUNCTION("unique(filter($D$5:$D1123,$B$5:$B1123=E543))"),"")</f>
        <v/>
      </c>
      <c r="K543" s="48"/>
      <c r="M543" s="205" t="s">
        <v>2854</v>
      </c>
    </row>
    <row r="544" spans="2:13" ht="15.75" customHeight="1" x14ac:dyDescent="0.2">
      <c r="B544" s="46"/>
      <c r="E544" s="71"/>
      <c r="F544" s="71" t="str">
        <f ca="1">IFERROR(__xludf.DUMMYFUNCTION("unique(filter($C$5:$C1123,$B$5:$B1123=E544))"),"")</f>
        <v/>
      </c>
      <c r="G544" s="203" t="str">
        <f ca="1">IFERROR(__xludf.DUMMYFUNCTION("unique(filter($D$5:$D1123,$B$5:$B1123=E544))"),"")</f>
        <v/>
      </c>
      <c r="K544" s="48"/>
      <c r="M544" s="205" t="s">
        <v>2855</v>
      </c>
    </row>
    <row r="545" spans="2:13" ht="15.75" customHeight="1" x14ac:dyDescent="0.2">
      <c r="B545" s="46"/>
      <c r="E545" s="71"/>
      <c r="F545" s="71" t="str">
        <f ca="1">IFERROR(__xludf.DUMMYFUNCTION("unique(filter($C$5:$C1123,$B$5:$B1123=E545))"),"")</f>
        <v/>
      </c>
      <c r="G545" s="203" t="str">
        <f ca="1">IFERROR(__xludf.DUMMYFUNCTION("unique(filter($D$5:$D1123,$B$5:$B1123=E545))"),"")</f>
        <v/>
      </c>
      <c r="K545" s="48"/>
      <c r="M545" s="205" t="s">
        <v>2856</v>
      </c>
    </row>
    <row r="546" spans="2:13" ht="15.75" customHeight="1" x14ac:dyDescent="0.2">
      <c r="B546" s="46"/>
      <c r="E546" s="71"/>
      <c r="F546" s="71" t="str">
        <f ca="1">IFERROR(__xludf.DUMMYFUNCTION("unique(filter($C$5:$C1123,$B$5:$B1123=E546))"),"")</f>
        <v/>
      </c>
      <c r="G546" s="203" t="str">
        <f ca="1">IFERROR(__xludf.DUMMYFUNCTION("unique(filter($D$5:$D1123,$B$5:$B1123=E546))"),"")</f>
        <v/>
      </c>
      <c r="K546" s="48"/>
      <c r="M546" s="205" t="s">
        <v>2857</v>
      </c>
    </row>
    <row r="547" spans="2:13" ht="15.75" customHeight="1" x14ac:dyDescent="0.2">
      <c r="B547" s="46"/>
      <c r="E547" s="71"/>
      <c r="F547" s="71" t="str">
        <f ca="1">IFERROR(__xludf.DUMMYFUNCTION("unique(filter($C$5:$C1123,$B$5:$B1123=E547))"),"")</f>
        <v/>
      </c>
      <c r="G547" s="203" t="str">
        <f ca="1">IFERROR(__xludf.DUMMYFUNCTION("unique(filter($D$5:$D1123,$B$5:$B1123=E547))"),"")</f>
        <v/>
      </c>
      <c r="K547" s="48"/>
      <c r="M547" s="205" t="s">
        <v>2858</v>
      </c>
    </row>
    <row r="548" spans="2:13" ht="15.75" customHeight="1" x14ac:dyDescent="0.2">
      <c r="B548" s="46"/>
      <c r="E548" s="71"/>
      <c r="F548" s="71" t="str">
        <f ca="1">IFERROR(__xludf.DUMMYFUNCTION("unique(filter($C$5:$C1123,$B$5:$B1123=E548))"),"")</f>
        <v/>
      </c>
      <c r="G548" s="203" t="str">
        <f ca="1">IFERROR(__xludf.DUMMYFUNCTION("unique(filter($D$5:$D1123,$B$5:$B1123=E548))"),"")</f>
        <v/>
      </c>
      <c r="K548" s="48"/>
      <c r="M548" s="205" t="s">
        <v>2859</v>
      </c>
    </row>
    <row r="549" spans="2:13" ht="15.75" customHeight="1" x14ac:dyDescent="0.2">
      <c r="B549" s="46"/>
      <c r="E549" s="71"/>
      <c r="F549" s="71" t="str">
        <f ca="1">IFERROR(__xludf.DUMMYFUNCTION("unique(filter($C$5:$C1123,$B$5:$B1123=E549))"),"")</f>
        <v/>
      </c>
      <c r="G549" s="203" t="str">
        <f ca="1">IFERROR(__xludf.DUMMYFUNCTION("unique(filter($D$5:$D1123,$B$5:$B1123=E549))"),"")</f>
        <v/>
      </c>
      <c r="K549" s="48"/>
      <c r="M549" s="205" t="s">
        <v>2860</v>
      </c>
    </row>
    <row r="550" spans="2:13" ht="15.75" customHeight="1" x14ac:dyDescent="0.2">
      <c r="B550" s="46"/>
      <c r="E550" s="71"/>
      <c r="F550" s="71" t="str">
        <f ca="1">IFERROR(__xludf.DUMMYFUNCTION("unique(filter($C$5:$C1123,$B$5:$B1123=E550))"),"")</f>
        <v/>
      </c>
      <c r="G550" s="203" t="str">
        <f ca="1">IFERROR(__xludf.DUMMYFUNCTION("unique(filter($D$5:$D1123,$B$5:$B1123=E550))"),"")</f>
        <v/>
      </c>
      <c r="K550" s="48"/>
      <c r="M550" s="205" t="s">
        <v>2861</v>
      </c>
    </row>
    <row r="551" spans="2:13" ht="15.75" customHeight="1" x14ac:dyDescent="0.2">
      <c r="B551" s="46"/>
      <c r="E551" s="71"/>
      <c r="F551" s="71" t="str">
        <f ca="1">IFERROR(__xludf.DUMMYFUNCTION("unique(filter($C$5:$C1123,$B$5:$B1123=E551))"),"")</f>
        <v/>
      </c>
      <c r="G551" s="203" t="str">
        <f ca="1">IFERROR(__xludf.DUMMYFUNCTION("unique(filter($D$5:$D1123,$B$5:$B1123=E551))"),"")</f>
        <v/>
      </c>
      <c r="K551" s="48"/>
      <c r="M551" s="205" t="s">
        <v>2862</v>
      </c>
    </row>
    <row r="552" spans="2:13" ht="15.75" customHeight="1" x14ac:dyDescent="0.2">
      <c r="B552" s="46"/>
      <c r="E552" s="71"/>
      <c r="F552" s="71" t="str">
        <f ca="1">IFERROR(__xludf.DUMMYFUNCTION("unique(filter($C$5:$C1123,$B$5:$B1123=E552))"),"")</f>
        <v/>
      </c>
      <c r="G552" s="203" t="str">
        <f ca="1">IFERROR(__xludf.DUMMYFUNCTION("unique(filter($D$5:$D1123,$B$5:$B1123=E552))"),"")</f>
        <v/>
      </c>
      <c r="K552" s="48"/>
      <c r="M552" s="205" t="s">
        <v>2863</v>
      </c>
    </row>
    <row r="553" spans="2:13" ht="15.75" customHeight="1" x14ac:dyDescent="0.2">
      <c r="B553" s="46"/>
      <c r="E553" s="71"/>
      <c r="F553" s="71" t="str">
        <f ca="1">IFERROR(__xludf.DUMMYFUNCTION("unique(filter($C$5:$C1123,$B$5:$B1123=E553))"),"")</f>
        <v/>
      </c>
      <c r="G553" s="203" t="str">
        <f ca="1">IFERROR(__xludf.DUMMYFUNCTION("unique(filter($D$5:$D1123,$B$5:$B1123=E553))"),"")</f>
        <v/>
      </c>
      <c r="K553" s="48"/>
      <c r="M553" s="205" t="s">
        <v>2864</v>
      </c>
    </row>
    <row r="554" spans="2:13" ht="15.75" customHeight="1" x14ac:dyDescent="0.2">
      <c r="B554" s="46"/>
      <c r="E554" s="71"/>
      <c r="F554" s="71" t="str">
        <f ca="1">IFERROR(__xludf.DUMMYFUNCTION("unique(filter($C$5:$C1123,$B$5:$B1123=E554))"),"")</f>
        <v/>
      </c>
      <c r="G554" s="203" t="str">
        <f ca="1">IFERROR(__xludf.DUMMYFUNCTION("unique(filter($D$5:$D1123,$B$5:$B1123=E554))"),"")</f>
        <v/>
      </c>
      <c r="K554" s="48"/>
      <c r="M554" s="205" t="s">
        <v>2865</v>
      </c>
    </row>
    <row r="555" spans="2:13" ht="15.75" customHeight="1" x14ac:dyDescent="0.2">
      <c r="B555" s="46"/>
      <c r="E555" s="71"/>
      <c r="F555" s="71" t="str">
        <f ca="1">IFERROR(__xludf.DUMMYFUNCTION("unique(filter($C$5:$C1123,$B$5:$B1123=E555))"),"")</f>
        <v/>
      </c>
      <c r="G555" s="203" t="str">
        <f ca="1">IFERROR(__xludf.DUMMYFUNCTION("unique(filter($D$5:$D1123,$B$5:$B1123=E555))"),"")</f>
        <v/>
      </c>
      <c r="K555" s="48"/>
      <c r="M555" s="205" t="s">
        <v>2866</v>
      </c>
    </row>
    <row r="556" spans="2:13" ht="15.75" customHeight="1" x14ac:dyDescent="0.2">
      <c r="B556" s="46"/>
      <c r="E556" s="71"/>
      <c r="F556" s="71" t="str">
        <f ca="1">IFERROR(__xludf.DUMMYFUNCTION("unique(filter($C$5:$C1123,$B$5:$B1123=E556))"),"")</f>
        <v/>
      </c>
      <c r="G556" s="203" t="str">
        <f ca="1">IFERROR(__xludf.DUMMYFUNCTION("unique(filter($D$5:$D1123,$B$5:$B1123=E556))"),"")</f>
        <v/>
      </c>
      <c r="K556" s="48"/>
      <c r="M556" s="205" t="s">
        <v>2867</v>
      </c>
    </row>
    <row r="557" spans="2:13" ht="15.75" customHeight="1" x14ac:dyDescent="0.2">
      <c r="B557" s="46"/>
      <c r="E557" s="71"/>
      <c r="F557" s="71" t="str">
        <f ca="1">IFERROR(__xludf.DUMMYFUNCTION("unique(filter($C$5:$C1123,$B$5:$B1123=E557))"),"")</f>
        <v/>
      </c>
      <c r="G557" s="203" t="str">
        <f ca="1">IFERROR(__xludf.DUMMYFUNCTION("unique(filter($D$5:$D1123,$B$5:$B1123=E557))"),"")</f>
        <v/>
      </c>
      <c r="K557" s="48"/>
      <c r="M557" s="205" t="s">
        <v>2868</v>
      </c>
    </row>
    <row r="558" spans="2:13" ht="15.75" customHeight="1" x14ac:dyDescent="0.2">
      <c r="B558" s="46"/>
      <c r="E558" s="71"/>
      <c r="F558" s="71" t="str">
        <f ca="1">IFERROR(__xludf.DUMMYFUNCTION("unique(filter($C$5:$C1123,$B$5:$B1123=E558))"),"")</f>
        <v/>
      </c>
      <c r="G558" s="203" t="str">
        <f ca="1">IFERROR(__xludf.DUMMYFUNCTION("unique(filter($D$5:$D1123,$B$5:$B1123=E558))"),"")</f>
        <v/>
      </c>
      <c r="K558" s="48"/>
      <c r="M558" s="205" t="s">
        <v>2869</v>
      </c>
    </row>
    <row r="559" spans="2:13" ht="15.75" customHeight="1" x14ac:dyDescent="0.2">
      <c r="B559" s="46"/>
      <c r="E559" s="71"/>
      <c r="F559" s="71" t="str">
        <f ca="1">IFERROR(__xludf.DUMMYFUNCTION("unique(filter($C$5:$C1123,$B$5:$B1123=E559))"),"")</f>
        <v/>
      </c>
      <c r="G559" s="203" t="str">
        <f ca="1">IFERROR(__xludf.DUMMYFUNCTION("unique(filter($D$5:$D1123,$B$5:$B1123=E559))"),"")</f>
        <v/>
      </c>
      <c r="K559" s="48"/>
      <c r="M559" s="205" t="s">
        <v>2870</v>
      </c>
    </row>
    <row r="560" spans="2:13" ht="15.75" customHeight="1" x14ac:dyDescent="0.2">
      <c r="B560" s="46"/>
      <c r="E560" s="71"/>
      <c r="F560" s="71" t="str">
        <f ca="1">IFERROR(__xludf.DUMMYFUNCTION("unique(filter($C$5:$C1123,$B$5:$B1123=E560))"),"")</f>
        <v/>
      </c>
      <c r="G560" s="203" t="str">
        <f ca="1">IFERROR(__xludf.DUMMYFUNCTION("unique(filter($D$5:$D1123,$B$5:$B1123=E560))"),"")</f>
        <v/>
      </c>
      <c r="K560" s="48"/>
      <c r="M560" s="205" t="s">
        <v>2871</v>
      </c>
    </row>
    <row r="561" spans="2:13" ht="15.75" customHeight="1" x14ac:dyDescent="0.2">
      <c r="B561" s="46"/>
      <c r="E561" s="71"/>
      <c r="F561" s="71" t="str">
        <f ca="1">IFERROR(__xludf.DUMMYFUNCTION("unique(filter($C$5:$C1123,$B$5:$B1123=E561))"),"")</f>
        <v/>
      </c>
      <c r="G561" s="203" t="str">
        <f ca="1">IFERROR(__xludf.DUMMYFUNCTION("unique(filter($D$5:$D1123,$B$5:$B1123=E561))"),"")</f>
        <v/>
      </c>
      <c r="K561" s="48"/>
      <c r="M561" s="205" t="s">
        <v>2872</v>
      </c>
    </row>
    <row r="562" spans="2:13" ht="15.75" customHeight="1" x14ac:dyDescent="0.2">
      <c r="B562" s="46"/>
      <c r="E562" s="71"/>
      <c r="F562" s="71" t="str">
        <f ca="1">IFERROR(__xludf.DUMMYFUNCTION("unique(filter($C$5:$C1123,$B$5:$B1123=E562))"),"")</f>
        <v/>
      </c>
      <c r="G562" s="203" t="str">
        <f ca="1">IFERROR(__xludf.DUMMYFUNCTION("unique(filter($D$5:$D1123,$B$5:$B1123=E562))"),"")</f>
        <v/>
      </c>
      <c r="K562" s="48"/>
      <c r="M562" s="205" t="s">
        <v>2873</v>
      </c>
    </row>
    <row r="563" spans="2:13" ht="15.75" customHeight="1" x14ac:dyDescent="0.2">
      <c r="B563" s="46"/>
      <c r="E563" s="71"/>
      <c r="F563" s="71" t="str">
        <f ca="1">IFERROR(__xludf.DUMMYFUNCTION("unique(filter($C$5:$C1123,$B$5:$B1123=E563))"),"")</f>
        <v/>
      </c>
      <c r="G563" s="203" t="str">
        <f ca="1">IFERROR(__xludf.DUMMYFUNCTION("unique(filter($D$5:$D1123,$B$5:$B1123=E563))"),"")</f>
        <v/>
      </c>
      <c r="K563" s="48"/>
      <c r="M563" s="205" t="s">
        <v>2874</v>
      </c>
    </row>
    <row r="564" spans="2:13" ht="15.75" customHeight="1" x14ac:dyDescent="0.2">
      <c r="B564" s="46"/>
      <c r="E564" s="71"/>
      <c r="F564" s="71" t="str">
        <f ca="1">IFERROR(__xludf.DUMMYFUNCTION("unique(filter($C$5:$C1123,$B$5:$B1123=E564))"),"")</f>
        <v/>
      </c>
      <c r="G564" s="203" t="str">
        <f ca="1">IFERROR(__xludf.DUMMYFUNCTION("unique(filter($D$5:$D1123,$B$5:$B1123=E564))"),"")</f>
        <v/>
      </c>
      <c r="K564" s="48"/>
      <c r="M564" s="205" t="s">
        <v>2875</v>
      </c>
    </row>
    <row r="565" spans="2:13" ht="15.75" customHeight="1" x14ac:dyDescent="0.2">
      <c r="B565" s="46"/>
      <c r="E565" s="71"/>
      <c r="F565" s="71" t="str">
        <f ca="1">IFERROR(__xludf.DUMMYFUNCTION("unique(filter($C$5:$C1123,$B$5:$B1123=E565))"),"")</f>
        <v/>
      </c>
      <c r="G565" s="203" t="str">
        <f ca="1">IFERROR(__xludf.DUMMYFUNCTION("unique(filter($D$5:$D1123,$B$5:$B1123=E565))"),"")</f>
        <v/>
      </c>
      <c r="K565" s="48"/>
      <c r="M565" s="205" t="s">
        <v>2876</v>
      </c>
    </row>
    <row r="566" spans="2:13" ht="15.75" customHeight="1" x14ac:dyDescent="0.2">
      <c r="B566" s="46"/>
      <c r="E566" s="71"/>
      <c r="F566" s="71" t="str">
        <f ca="1">IFERROR(__xludf.DUMMYFUNCTION("unique(filter($C$5:$C1123,$B$5:$B1123=E566))"),"")</f>
        <v/>
      </c>
      <c r="G566" s="203" t="str">
        <f ca="1">IFERROR(__xludf.DUMMYFUNCTION("unique(filter($D$5:$D1123,$B$5:$B1123=E566))"),"")</f>
        <v/>
      </c>
      <c r="K566" s="48"/>
      <c r="M566" s="205" t="s">
        <v>2877</v>
      </c>
    </row>
    <row r="567" spans="2:13" ht="15.75" customHeight="1" x14ac:dyDescent="0.2">
      <c r="B567" s="46"/>
      <c r="E567" s="71"/>
      <c r="F567" s="71" t="str">
        <f ca="1">IFERROR(__xludf.DUMMYFUNCTION("unique(filter($C$5:$C1123,$B$5:$B1123=E567))"),"")</f>
        <v/>
      </c>
      <c r="G567" s="203" t="str">
        <f ca="1">IFERROR(__xludf.DUMMYFUNCTION("unique(filter($D$5:$D1123,$B$5:$B1123=E567))"),"")</f>
        <v/>
      </c>
      <c r="K567" s="48"/>
      <c r="M567" s="205" t="s">
        <v>2878</v>
      </c>
    </row>
    <row r="568" spans="2:13" ht="15.75" customHeight="1" x14ac:dyDescent="0.2">
      <c r="B568" s="46"/>
      <c r="E568" s="71"/>
      <c r="F568" s="71" t="str">
        <f ca="1">IFERROR(__xludf.DUMMYFUNCTION("unique(filter($C$5:$C1123,$B$5:$B1123=E568))"),"")</f>
        <v/>
      </c>
      <c r="G568" s="203" t="str">
        <f ca="1">IFERROR(__xludf.DUMMYFUNCTION("unique(filter($D$5:$D1123,$B$5:$B1123=E568))"),"")</f>
        <v/>
      </c>
      <c r="K568" s="48"/>
      <c r="M568" s="205" t="s">
        <v>2879</v>
      </c>
    </row>
    <row r="569" spans="2:13" ht="15.75" customHeight="1" x14ac:dyDescent="0.2">
      <c r="B569" s="46"/>
      <c r="E569" s="71"/>
      <c r="F569" s="71" t="str">
        <f ca="1">IFERROR(__xludf.DUMMYFUNCTION("unique(filter($C$5:$C1123,$B$5:$B1123=E569))"),"")</f>
        <v/>
      </c>
      <c r="G569" s="203" t="str">
        <f ca="1">IFERROR(__xludf.DUMMYFUNCTION("unique(filter($D$5:$D1123,$B$5:$B1123=E569))"),"")</f>
        <v/>
      </c>
      <c r="K569" s="48"/>
      <c r="M569" s="205" t="s">
        <v>2880</v>
      </c>
    </row>
    <row r="570" spans="2:13" ht="15.75" customHeight="1" x14ac:dyDescent="0.2">
      <c r="B570" s="46"/>
      <c r="E570" s="71"/>
      <c r="F570" s="71" t="str">
        <f ca="1">IFERROR(__xludf.DUMMYFUNCTION("unique(filter($C$5:$C1123,$B$5:$B1123=E570))"),"")</f>
        <v/>
      </c>
      <c r="G570" s="203" t="str">
        <f ca="1">IFERROR(__xludf.DUMMYFUNCTION("unique(filter($D$5:$D1123,$B$5:$B1123=E570))"),"")</f>
        <v/>
      </c>
      <c r="K570" s="48"/>
      <c r="M570" s="205" t="s">
        <v>2881</v>
      </c>
    </row>
    <row r="571" spans="2:13" ht="15.75" customHeight="1" x14ac:dyDescent="0.2">
      <c r="B571" s="46"/>
      <c r="E571" s="71"/>
      <c r="F571" s="71" t="str">
        <f ca="1">IFERROR(__xludf.DUMMYFUNCTION("unique(filter($C$5:$C1123,$B$5:$B1123=E571))"),"")</f>
        <v/>
      </c>
      <c r="G571" s="203" t="str">
        <f ca="1">IFERROR(__xludf.DUMMYFUNCTION("unique(filter($D$5:$D1123,$B$5:$B1123=E571))"),"")</f>
        <v/>
      </c>
      <c r="K571" s="48"/>
      <c r="M571" s="205" t="s">
        <v>2882</v>
      </c>
    </row>
    <row r="572" spans="2:13" ht="15.75" customHeight="1" x14ac:dyDescent="0.2">
      <c r="B572" s="46"/>
      <c r="E572" s="71"/>
      <c r="F572" s="71" t="str">
        <f ca="1">IFERROR(__xludf.DUMMYFUNCTION("unique(filter($C$5:$C1123,$B$5:$B1123=E572))"),"")</f>
        <v/>
      </c>
      <c r="G572" s="203" t="str">
        <f ca="1">IFERROR(__xludf.DUMMYFUNCTION("unique(filter($D$5:$D1123,$B$5:$B1123=E572))"),"")</f>
        <v/>
      </c>
      <c r="K572" s="48"/>
      <c r="M572" s="205" t="s">
        <v>2883</v>
      </c>
    </row>
    <row r="573" spans="2:13" ht="15.75" customHeight="1" x14ac:dyDescent="0.2">
      <c r="B573" s="46"/>
      <c r="E573" s="71"/>
      <c r="F573" s="71" t="str">
        <f ca="1">IFERROR(__xludf.DUMMYFUNCTION("unique(filter($C$5:$C1123,$B$5:$B1123=E573))"),"")</f>
        <v/>
      </c>
      <c r="G573" s="203" t="str">
        <f ca="1">IFERROR(__xludf.DUMMYFUNCTION("unique(filter($D$5:$D1123,$B$5:$B1123=E573))"),"")</f>
        <v/>
      </c>
      <c r="K573" s="48"/>
      <c r="M573" s="205" t="s">
        <v>2884</v>
      </c>
    </row>
    <row r="574" spans="2:13" ht="15.75" customHeight="1" x14ac:dyDescent="0.2">
      <c r="B574" s="46"/>
      <c r="E574" s="71"/>
      <c r="F574" s="71" t="str">
        <f ca="1">IFERROR(__xludf.DUMMYFUNCTION("unique(filter($C$5:$C1123,$B$5:$B1123=E574))"),"")</f>
        <v/>
      </c>
      <c r="G574" s="203" t="str">
        <f ca="1">IFERROR(__xludf.DUMMYFUNCTION("unique(filter($D$5:$D1123,$B$5:$B1123=E574))"),"")</f>
        <v/>
      </c>
      <c r="K574" s="48"/>
      <c r="M574" s="205" t="s">
        <v>2885</v>
      </c>
    </row>
    <row r="575" spans="2:13" ht="15.75" customHeight="1" x14ac:dyDescent="0.2">
      <c r="B575" s="46"/>
      <c r="E575" s="71"/>
      <c r="F575" s="71" t="str">
        <f ca="1">IFERROR(__xludf.DUMMYFUNCTION("unique(filter($C$5:$C1123,$B$5:$B1123=E575))"),"")</f>
        <v/>
      </c>
      <c r="G575" s="203" t="str">
        <f ca="1">IFERROR(__xludf.DUMMYFUNCTION("unique(filter($D$5:$D1123,$B$5:$B1123=E575))"),"")</f>
        <v/>
      </c>
      <c r="K575" s="48"/>
      <c r="M575" s="205" t="s">
        <v>2886</v>
      </c>
    </row>
    <row r="576" spans="2:13" ht="15.75" customHeight="1" x14ac:dyDescent="0.2">
      <c r="B576" s="46"/>
      <c r="E576" s="71"/>
      <c r="F576" s="71" t="str">
        <f ca="1">IFERROR(__xludf.DUMMYFUNCTION("unique(filter($C$5:$C1123,$B$5:$B1123=E576))"),"")</f>
        <v/>
      </c>
      <c r="G576" s="203" t="str">
        <f ca="1">IFERROR(__xludf.DUMMYFUNCTION("unique(filter($D$5:$D1123,$B$5:$B1123=E576))"),"")</f>
        <v/>
      </c>
      <c r="K576" s="48"/>
      <c r="M576" s="205" t="s">
        <v>2887</v>
      </c>
    </row>
    <row r="577" spans="2:13" ht="15.75" customHeight="1" x14ac:dyDescent="0.2">
      <c r="B577" s="46"/>
      <c r="E577" s="71"/>
      <c r="F577" s="71" t="str">
        <f ca="1">IFERROR(__xludf.DUMMYFUNCTION("unique(filter($C$5:$C1123,$B$5:$B1123=E577))"),"")</f>
        <v/>
      </c>
      <c r="G577" s="203" t="str">
        <f ca="1">IFERROR(__xludf.DUMMYFUNCTION("unique(filter($D$5:$D1123,$B$5:$B1123=E577))"),"")</f>
        <v/>
      </c>
      <c r="K577" s="48"/>
      <c r="M577" s="205" t="s">
        <v>2888</v>
      </c>
    </row>
    <row r="578" spans="2:13" ht="15.75" customHeight="1" x14ac:dyDescent="0.2">
      <c r="B578" s="46"/>
      <c r="E578" s="71"/>
      <c r="F578" s="71" t="str">
        <f ca="1">IFERROR(__xludf.DUMMYFUNCTION("unique(filter($C$5:$C1123,$B$5:$B1123=E578))"),"")</f>
        <v/>
      </c>
      <c r="G578" s="203" t="str">
        <f ca="1">IFERROR(__xludf.DUMMYFUNCTION("unique(filter($D$5:$D1123,$B$5:$B1123=E578))"),"")</f>
        <v/>
      </c>
      <c r="K578" s="48"/>
      <c r="M578" s="205" t="s">
        <v>2889</v>
      </c>
    </row>
    <row r="579" spans="2:13" ht="15.75" customHeight="1" x14ac:dyDescent="0.2">
      <c r="B579" s="46"/>
      <c r="E579" s="71"/>
      <c r="F579" s="71" t="str">
        <f ca="1">IFERROR(__xludf.DUMMYFUNCTION("unique(filter($C$5:$C1123,$B$5:$B1123=E579))"),"")</f>
        <v/>
      </c>
      <c r="G579" s="203" t="str">
        <f ca="1">IFERROR(__xludf.DUMMYFUNCTION("unique(filter($D$5:$D1123,$B$5:$B1123=E579))"),"")</f>
        <v/>
      </c>
      <c r="K579" s="48"/>
      <c r="M579" s="205" t="s">
        <v>2890</v>
      </c>
    </row>
    <row r="580" spans="2:13" ht="15.75" customHeight="1" x14ac:dyDescent="0.2">
      <c r="B580" s="46"/>
      <c r="E580" s="71"/>
      <c r="F580" s="71" t="str">
        <f ca="1">IFERROR(__xludf.DUMMYFUNCTION("unique(filter($C$5:$C1123,$B$5:$B1123=E580))"),"")</f>
        <v/>
      </c>
      <c r="G580" s="203" t="str">
        <f ca="1">IFERROR(__xludf.DUMMYFUNCTION("unique(filter($D$5:$D1123,$B$5:$B1123=E580))"),"")</f>
        <v/>
      </c>
      <c r="K580" s="48"/>
      <c r="M580" s="205" t="s">
        <v>2891</v>
      </c>
    </row>
    <row r="581" spans="2:13" ht="15.75" customHeight="1" x14ac:dyDescent="0.2">
      <c r="B581" s="46"/>
      <c r="E581" s="71"/>
      <c r="F581" s="71" t="str">
        <f ca="1">IFERROR(__xludf.DUMMYFUNCTION("unique(filter($C$5:$C1123,$B$5:$B1123=E581))"),"")</f>
        <v/>
      </c>
      <c r="G581" s="203" t="str">
        <f ca="1">IFERROR(__xludf.DUMMYFUNCTION("unique(filter($D$5:$D1123,$B$5:$B1123=E581))"),"")</f>
        <v/>
      </c>
      <c r="K581" s="48"/>
      <c r="M581" s="205" t="s">
        <v>2892</v>
      </c>
    </row>
    <row r="582" spans="2:13" ht="15.75" customHeight="1" x14ac:dyDescent="0.2">
      <c r="B582" s="46"/>
      <c r="E582" s="71"/>
      <c r="F582" s="71" t="str">
        <f ca="1">IFERROR(__xludf.DUMMYFUNCTION("unique(filter($C$5:$C1123,$B$5:$B1123=E582))"),"")</f>
        <v/>
      </c>
      <c r="G582" s="203" t="str">
        <f ca="1">IFERROR(__xludf.DUMMYFUNCTION("unique(filter($D$5:$D1123,$B$5:$B1123=E582))"),"")</f>
        <v/>
      </c>
      <c r="K582" s="48"/>
      <c r="M582" s="205" t="s">
        <v>2893</v>
      </c>
    </row>
    <row r="583" spans="2:13" ht="15.75" customHeight="1" x14ac:dyDescent="0.2">
      <c r="B583" s="46"/>
      <c r="E583" s="71"/>
      <c r="F583" s="71" t="str">
        <f ca="1">IFERROR(__xludf.DUMMYFUNCTION("unique(filter($C$5:$C1123,$B$5:$B1123=E583))"),"")</f>
        <v/>
      </c>
      <c r="G583" s="203" t="str">
        <f ca="1">IFERROR(__xludf.DUMMYFUNCTION("unique(filter($D$5:$D1123,$B$5:$B1123=E583))"),"")</f>
        <v/>
      </c>
      <c r="K583" s="48"/>
      <c r="M583" s="205" t="s">
        <v>2894</v>
      </c>
    </row>
    <row r="584" spans="2:13" ht="15.75" customHeight="1" x14ac:dyDescent="0.2">
      <c r="B584" s="46"/>
      <c r="E584" s="71"/>
      <c r="F584" s="71" t="str">
        <f ca="1">IFERROR(__xludf.DUMMYFUNCTION("unique(filter($C$5:$C1123,$B$5:$B1123=E584))"),"")</f>
        <v/>
      </c>
      <c r="G584" s="203" t="str">
        <f ca="1">IFERROR(__xludf.DUMMYFUNCTION("unique(filter($D$5:$D1123,$B$5:$B1123=E584))"),"")</f>
        <v/>
      </c>
      <c r="K584" s="48"/>
      <c r="M584" s="205" t="s">
        <v>2895</v>
      </c>
    </row>
    <row r="585" spans="2:13" ht="15.75" customHeight="1" x14ac:dyDescent="0.2">
      <c r="B585" s="46"/>
      <c r="E585" s="71"/>
      <c r="F585" s="71" t="str">
        <f ca="1">IFERROR(__xludf.DUMMYFUNCTION("unique(filter($C$5:$C1123,$B$5:$B1123=E585))"),"")</f>
        <v/>
      </c>
      <c r="G585" s="203" t="str">
        <f ca="1">IFERROR(__xludf.DUMMYFUNCTION("unique(filter($D$5:$D1123,$B$5:$B1123=E585))"),"")</f>
        <v/>
      </c>
      <c r="K585" s="48"/>
      <c r="M585" s="205" t="s">
        <v>2896</v>
      </c>
    </row>
    <row r="586" spans="2:13" ht="15.75" customHeight="1" x14ac:dyDescent="0.2">
      <c r="B586" s="46"/>
      <c r="E586" s="71"/>
      <c r="F586" s="71" t="str">
        <f ca="1">IFERROR(__xludf.DUMMYFUNCTION("unique(filter($C$5:$C1123,$B$5:$B1123=E586))"),"")</f>
        <v/>
      </c>
      <c r="G586" s="203" t="str">
        <f ca="1">IFERROR(__xludf.DUMMYFUNCTION("unique(filter($D$5:$D1123,$B$5:$B1123=E586))"),"")</f>
        <v/>
      </c>
      <c r="K586" s="48"/>
      <c r="M586" s="205" t="s">
        <v>2897</v>
      </c>
    </row>
    <row r="587" spans="2:13" ht="15.75" customHeight="1" x14ac:dyDescent="0.2">
      <c r="B587" s="46"/>
      <c r="E587" s="71"/>
      <c r="F587" s="71" t="str">
        <f ca="1">IFERROR(__xludf.DUMMYFUNCTION("unique(filter($C$5:$C1123,$B$5:$B1123=E587))"),"")</f>
        <v/>
      </c>
      <c r="G587" s="203" t="str">
        <f ca="1">IFERROR(__xludf.DUMMYFUNCTION("unique(filter($D$5:$D1123,$B$5:$B1123=E587))"),"")</f>
        <v/>
      </c>
      <c r="K587" s="48"/>
      <c r="M587" s="205" t="s">
        <v>2898</v>
      </c>
    </row>
    <row r="588" spans="2:13" ht="15.75" customHeight="1" x14ac:dyDescent="0.2">
      <c r="B588" s="46"/>
      <c r="E588" s="71"/>
      <c r="F588" s="71" t="str">
        <f ca="1">IFERROR(__xludf.DUMMYFUNCTION("unique(filter($C$5:$C1123,$B$5:$B1123=E588))"),"")</f>
        <v/>
      </c>
      <c r="G588" s="203" t="str">
        <f ca="1">IFERROR(__xludf.DUMMYFUNCTION("unique(filter($D$5:$D1123,$B$5:$B1123=E588))"),"")</f>
        <v/>
      </c>
      <c r="K588" s="48"/>
      <c r="M588" s="205" t="s">
        <v>2899</v>
      </c>
    </row>
    <row r="589" spans="2:13" ht="15.75" customHeight="1" x14ac:dyDescent="0.2">
      <c r="B589" s="46"/>
      <c r="E589" s="71"/>
      <c r="F589" s="71" t="str">
        <f ca="1">IFERROR(__xludf.DUMMYFUNCTION("unique(filter($C$5:$C1123,$B$5:$B1123=E589))"),"")</f>
        <v/>
      </c>
      <c r="G589" s="203" t="str">
        <f ca="1">IFERROR(__xludf.DUMMYFUNCTION("unique(filter($D$5:$D1123,$B$5:$B1123=E589))"),"")</f>
        <v/>
      </c>
      <c r="K589" s="48"/>
      <c r="M589" s="205" t="s">
        <v>2900</v>
      </c>
    </row>
    <row r="590" spans="2:13" ht="15.75" customHeight="1" x14ac:dyDescent="0.2">
      <c r="B590" s="46"/>
      <c r="E590" s="71"/>
      <c r="F590" s="71" t="str">
        <f ca="1">IFERROR(__xludf.DUMMYFUNCTION("unique(filter($C$5:$C1123,$B$5:$B1123=E590))"),"")</f>
        <v/>
      </c>
      <c r="G590" s="203" t="str">
        <f ca="1">IFERROR(__xludf.DUMMYFUNCTION("unique(filter($D$5:$D1123,$B$5:$B1123=E590))"),"")</f>
        <v/>
      </c>
      <c r="K590" s="48"/>
      <c r="M590" s="205" t="s">
        <v>2901</v>
      </c>
    </row>
    <row r="591" spans="2:13" ht="15.75" customHeight="1" x14ac:dyDescent="0.2">
      <c r="B591" s="46"/>
      <c r="E591" s="71"/>
      <c r="F591" s="71" t="str">
        <f ca="1">IFERROR(__xludf.DUMMYFUNCTION("unique(filter($C$5:$C1123,$B$5:$B1123=E591))"),"")</f>
        <v/>
      </c>
      <c r="G591" s="203" t="str">
        <f ca="1">IFERROR(__xludf.DUMMYFUNCTION("unique(filter($D$5:$D1123,$B$5:$B1123=E591))"),"")</f>
        <v/>
      </c>
      <c r="K591" s="48"/>
      <c r="M591" s="205" t="s">
        <v>2902</v>
      </c>
    </row>
    <row r="592" spans="2:13" ht="15.75" customHeight="1" x14ac:dyDescent="0.2">
      <c r="B592" s="46"/>
      <c r="E592" s="71"/>
      <c r="F592" s="71" t="str">
        <f ca="1">IFERROR(__xludf.DUMMYFUNCTION("unique(filter($C$5:$C1123,$B$5:$B1123=E592))"),"")</f>
        <v/>
      </c>
      <c r="G592" s="203" t="str">
        <f ca="1">IFERROR(__xludf.DUMMYFUNCTION("unique(filter($D$5:$D1123,$B$5:$B1123=E592))"),"")</f>
        <v/>
      </c>
      <c r="K592" s="48"/>
      <c r="M592" s="205" t="s">
        <v>2903</v>
      </c>
    </row>
    <row r="593" spans="2:13" ht="15.75" customHeight="1" x14ac:dyDescent="0.2">
      <c r="B593" s="46"/>
      <c r="E593" s="71"/>
      <c r="F593" s="71" t="str">
        <f ca="1">IFERROR(__xludf.DUMMYFUNCTION("unique(filter($C$5:$C1123,$B$5:$B1123=E593))"),"")</f>
        <v/>
      </c>
      <c r="G593" s="203" t="str">
        <f ca="1">IFERROR(__xludf.DUMMYFUNCTION("unique(filter($D$5:$D1123,$B$5:$B1123=E593))"),"")</f>
        <v/>
      </c>
      <c r="K593" s="48"/>
      <c r="M593" s="205" t="s">
        <v>2904</v>
      </c>
    </row>
    <row r="594" spans="2:13" ht="15.75" customHeight="1" x14ac:dyDescent="0.2">
      <c r="B594" s="46"/>
      <c r="E594" s="71"/>
      <c r="F594" s="71" t="str">
        <f ca="1">IFERROR(__xludf.DUMMYFUNCTION("unique(filter($C$5:$C1123,$B$5:$B1123=E594))"),"")</f>
        <v/>
      </c>
      <c r="G594" s="203" t="str">
        <f ca="1">IFERROR(__xludf.DUMMYFUNCTION("unique(filter($D$5:$D1123,$B$5:$B1123=E594))"),"")</f>
        <v/>
      </c>
      <c r="K594" s="48"/>
      <c r="M594" s="205" t="s">
        <v>2905</v>
      </c>
    </row>
    <row r="595" spans="2:13" ht="15.75" customHeight="1" x14ac:dyDescent="0.2">
      <c r="B595" s="46"/>
      <c r="E595" s="71"/>
      <c r="F595" s="71" t="str">
        <f ca="1">IFERROR(__xludf.DUMMYFUNCTION("unique(filter($C$5:$C1123,$B$5:$B1123=E595))"),"")</f>
        <v/>
      </c>
      <c r="G595" s="203" t="str">
        <f ca="1">IFERROR(__xludf.DUMMYFUNCTION("unique(filter($D$5:$D1123,$B$5:$B1123=E595))"),"")</f>
        <v/>
      </c>
      <c r="K595" s="48"/>
      <c r="M595" s="205" t="s">
        <v>2906</v>
      </c>
    </row>
    <row r="596" spans="2:13" ht="15.75" customHeight="1" x14ac:dyDescent="0.2">
      <c r="B596" s="46"/>
      <c r="E596" s="71"/>
      <c r="F596" s="71" t="str">
        <f ca="1">IFERROR(__xludf.DUMMYFUNCTION("unique(filter($C$5:$C1123,$B$5:$B1123=E596))"),"")</f>
        <v/>
      </c>
      <c r="G596" s="203" t="str">
        <f ca="1">IFERROR(__xludf.DUMMYFUNCTION("unique(filter($D$5:$D1123,$B$5:$B1123=E596))"),"")</f>
        <v/>
      </c>
      <c r="K596" s="48"/>
      <c r="M596" s="205" t="s">
        <v>2907</v>
      </c>
    </row>
    <row r="597" spans="2:13" ht="15.75" customHeight="1" x14ac:dyDescent="0.2">
      <c r="B597" s="46"/>
      <c r="E597" s="71"/>
      <c r="F597" s="71" t="str">
        <f ca="1">IFERROR(__xludf.DUMMYFUNCTION("unique(filter($C$5:$C1123,$B$5:$B1123=E597))"),"")</f>
        <v/>
      </c>
      <c r="G597" s="203" t="str">
        <f ca="1">IFERROR(__xludf.DUMMYFUNCTION("unique(filter($D$5:$D1123,$B$5:$B1123=E597))"),"")</f>
        <v/>
      </c>
      <c r="K597" s="48"/>
      <c r="M597" s="205" t="s">
        <v>2908</v>
      </c>
    </row>
    <row r="598" spans="2:13" ht="15.75" customHeight="1" x14ac:dyDescent="0.2">
      <c r="B598" s="46"/>
      <c r="E598" s="71"/>
      <c r="F598" s="71" t="str">
        <f ca="1">IFERROR(__xludf.DUMMYFUNCTION("unique(filter($C$5:$C1123,$B$5:$B1123=E598))"),"")</f>
        <v/>
      </c>
      <c r="G598" s="203" t="str">
        <f ca="1">IFERROR(__xludf.DUMMYFUNCTION("unique(filter($D$5:$D1123,$B$5:$B1123=E598))"),"")</f>
        <v/>
      </c>
      <c r="K598" s="48"/>
      <c r="M598" s="205" t="s">
        <v>2909</v>
      </c>
    </row>
    <row r="599" spans="2:13" ht="15.75" customHeight="1" x14ac:dyDescent="0.2">
      <c r="B599" s="46"/>
      <c r="E599" s="71"/>
      <c r="F599" s="71" t="str">
        <f ca="1">IFERROR(__xludf.DUMMYFUNCTION("unique(filter($C$5:$C1123,$B$5:$B1123=E599))"),"")</f>
        <v/>
      </c>
      <c r="G599" s="203" t="str">
        <f ca="1">IFERROR(__xludf.DUMMYFUNCTION("unique(filter($D$5:$D1123,$B$5:$B1123=E599))"),"")</f>
        <v/>
      </c>
      <c r="K599" s="48"/>
      <c r="M599" s="205" t="s">
        <v>2910</v>
      </c>
    </row>
    <row r="600" spans="2:13" ht="15.75" customHeight="1" x14ac:dyDescent="0.2">
      <c r="B600" s="46"/>
      <c r="E600" s="71"/>
      <c r="F600" s="71" t="str">
        <f ca="1">IFERROR(__xludf.DUMMYFUNCTION("unique(filter($C$5:$C1123,$B$5:$B1123=E600))"),"")</f>
        <v/>
      </c>
      <c r="G600" s="203" t="str">
        <f ca="1">IFERROR(__xludf.DUMMYFUNCTION("unique(filter($D$5:$D1123,$B$5:$B1123=E600))"),"")</f>
        <v/>
      </c>
      <c r="K600" s="48"/>
      <c r="M600" s="205" t="s">
        <v>2911</v>
      </c>
    </row>
    <row r="601" spans="2:13" ht="15.75" customHeight="1" x14ac:dyDescent="0.2">
      <c r="B601" s="46"/>
      <c r="E601" s="71"/>
      <c r="F601" s="71" t="str">
        <f ca="1">IFERROR(__xludf.DUMMYFUNCTION("unique(filter($C$5:$C1123,$B$5:$B1123=E601))"),"")</f>
        <v/>
      </c>
      <c r="G601" s="203" t="str">
        <f ca="1">IFERROR(__xludf.DUMMYFUNCTION("unique(filter($D$5:$D1123,$B$5:$B1123=E601))"),"")</f>
        <v/>
      </c>
      <c r="K601" s="48"/>
      <c r="M601" s="205" t="s">
        <v>2912</v>
      </c>
    </row>
    <row r="602" spans="2:13" ht="15.75" customHeight="1" x14ac:dyDescent="0.2">
      <c r="B602" s="46"/>
      <c r="E602" s="71"/>
      <c r="F602" s="71" t="str">
        <f ca="1">IFERROR(__xludf.DUMMYFUNCTION("unique(filter($C$5:$C1123,$B$5:$B1123=E602))"),"")</f>
        <v/>
      </c>
      <c r="G602" s="203" t="str">
        <f ca="1">IFERROR(__xludf.DUMMYFUNCTION("unique(filter($D$5:$D1123,$B$5:$B1123=E602))"),"")</f>
        <v/>
      </c>
      <c r="K602" s="48"/>
      <c r="M602" s="205" t="s">
        <v>2913</v>
      </c>
    </row>
    <row r="603" spans="2:13" ht="15.75" customHeight="1" x14ac:dyDescent="0.2">
      <c r="B603" s="46"/>
      <c r="E603" s="71"/>
      <c r="F603" s="71" t="str">
        <f ca="1">IFERROR(__xludf.DUMMYFUNCTION("unique(filter($C$5:$C1123,$B$5:$B1123=E603))"),"")</f>
        <v/>
      </c>
      <c r="G603" s="203" t="str">
        <f ca="1">IFERROR(__xludf.DUMMYFUNCTION("unique(filter($D$5:$D1123,$B$5:$B1123=E603))"),"")</f>
        <v/>
      </c>
      <c r="K603" s="48"/>
      <c r="M603" s="205" t="s">
        <v>2914</v>
      </c>
    </row>
    <row r="604" spans="2:13" ht="15.75" customHeight="1" x14ac:dyDescent="0.2">
      <c r="B604" s="46"/>
      <c r="E604" s="71"/>
      <c r="F604" s="71" t="str">
        <f ca="1">IFERROR(__xludf.DUMMYFUNCTION("unique(filter($C$5:$C1123,$B$5:$B1123=E604))"),"")</f>
        <v/>
      </c>
      <c r="G604" s="203" t="str">
        <f ca="1">IFERROR(__xludf.DUMMYFUNCTION("unique(filter($D$5:$D1123,$B$5:$B1123=E604))"),"")</f>
        <v/>
      </c>
      <c r="K604" s="48"/>
      <c r="M604" s="205" t="s">
        <v>2915</v>
      </c>
    </row>
    <row r="605" spans="2:13" ht="15.75" customHeight="1" x14ac:dyDescent="0.2">
      <c r="B605" s="46"/>
      <c r="E605" s="71"/>
      <c r="F605" s="71" t="str">
        <f ca="1">IFERROR(__xludf.DUMMYFUNCTION("unique(filter($C$5:$C1123,$B$5:$B1123=E605))"),"")</f>
        <v/>
      </c>
      <c r="G605" s="203" t="str">
        <f ca="1">IFERROR(__xludf.DUMMYFUNCTION("unique(filter($D$5:$D1123,$B$5:$B1123=E605))"),"")</f>
        <v/>
      </c>
      <c r="K605" s="48"/>
      <c r="M605" s="205" t="s">
        <v>2916</v>
      </c>
    </row>
    <row r="606" spans="2:13" ht="15.75" customHeight="1" x14ac:dyDescent="0.2">
      <c r="B606" s="46"/>
      <c r="E606" s="71"/>
      <c r="F606" s="71" t="str">
        <f ca="1">IFERROR(__xludf.DUMMYFUNCTION("unique(filter($C$5:$C1123,$B$5:$B1123=E606))"),"")</f>
        <v/>
      </c>
      <c r="G606" s="203" t="str">
        <f ca="1">IFERROR(__xludf.DUMMYFUNCTION("unique(filter($D$5:$D1123,$B$5:$B1123=E606))"),"")</f>
        <v/>
      </c>
      <c r="K606" s="48"/>
      <c r="M606" s="205" t="s">
        <v>2917</v>
      </c>
    </row>
    <row r="607" spans="2:13" ht="15.75" customHeight="1" x14ac:dyDescent="0.2">
      <c r="B607" s="46"/>
      <c r="E607" s="71"/>
      <c r="F607" s="71" t="str">
        <f ca="1">IFERROR(__xludf.DUMMYFUNCTION("unique(filter($C$5:$C1123,$B$5:$B1123=E607))"),"")</f>
        <v/>
      </c>
      <c r="G607" s="203" t="str">
        <f ca="1">IFERROR(__xludf.DUMMYFUNCTION("unique(filter($D$5:$D1123,$B$5:$B1123=E607))"),"")</f>
        <v/>
      </c>
      <c r="K607" s="48"/>
      <c r="M607" s="205" t="s">
        <v>2918</v>
      </c>
    </row>
    <row r="608" spans="2:13" ht="15.75" customHeight="1" x14ac:dyDescent="0.2">
      <c r="B608" s="46"/>
      <c r="E608" s="71"/>
      <c r="F608" s="71" t="str">
        <f ca="1">IFERROR(__xludf.DUMMYFUNCTION("unique(filter($C$5:$C1123,$B$5:$B1123=E608))"),"")</f>
        <v/>
      </c>
      <c r="G608" s="203" t="str">
        <f ca="1">IFERROR(__xludf.DUMMYFUNCTION("unique(filter($D$5:$D1123,$B$5:$B1123=E608))"),"")</f>
        <v/>
      </c>
      <c r="K608" s="48"/>
      <c r="M608" s="205" t="s">
        <v>2919</v>
      </c>
    </row>
    <row r="609" spans="2:13" ht="15.75" customHeight="1" x14ac:dyDescent="0.2">
      <c r="B609" s="46"/>
      <c r="E609" s="71"/>
      <c r="F609" s="71" t="str">
        <f ca="1">IFERROR(__xludf.DUMMYFUNCTION("unique(filter($C$5:$C1123,$B$5:$B1123=E609))"),"")</f>
        <v/>
      </c>
      <c r="G609" s="203" t="str">
        <f ca="1">IFERROR(__xludf.DUMMYFUNCTION("unique(filter($D$5:$D1123,$B$5:$B1123=E609))"),"")</f>
        <v/>
      </c>
      <c r="K609" s="48"/>
      <c r="M609" s="205" t="s">
        <v>2920</v>
      </c>
    </row>
    <row r="610" spans="2:13" ht="15.75" customHeight="1" x14ac:dyDescent="0.2">
      <c r="B610" s="46"/>
      <c r="E610" s="71"/>
      <c r="F610" s="71" t="str">
        <f ca="1">IFERROR(__xludf.DUMMYFUNCTION("unique(filter($C$5:$C1123,$B$5:$B1123=E610))"),"")</f>
        <v/>
      </c>
      <c r="G610" s="203" t="str">
        <f ca="1">IFERROR(__xludf.DUMMYFUNCTION("unique(filter($D$5:$D1123,$B$5:$B1123=E610))"),"")</f>
        <v/>
      </c>
      <c r="K610" s="48"/>
      <c r="M610" s="205" t="s">
        <v>2921</v>
      </c>
    </row>
    <row r="611" spans="2:13" ht="15.75" customHeight="1" x14ac:dyDescent="0.2">
      <c r="B611" s="46"/>
      <c r="E611" s="71"/>
      <c r="F611" s="71" t="str">
        <f ca="1">IFERROR(__xludf.DUMMYFUNCTION("unique(filter($C$5:$C1123,$B$5:$B1123=E611))"),"")</f>
        <v/>
      </c>
      <c r="G611" s="203" t="str">
        <f ca="1">IFERROR(__xludf.DUMMYFUNCTION("unique(filter($D$5:$D1123,$B$5:$B1123=E611))"),"")</f>
        <v/>
      </c>
      <c r="K611" s="48"/>
      <c r="M611" s="205" t="s">
        <v>2922</v>
      </c>
    </row>
    <row r="612" spans="2:13" ht="15.75" customHeight="1" x14ac:dyDescent="0.2">
      <c r="B612" s="46"/>
      <c r="E612" s="71"/>
      <c r="F612" s="71" t="str">
        <f ca="1">IFERROR(__xludf.DUMMYFUNCTION("unique(filter($C$5:$C1123,$B$5:$B1123=E612))"),"")</f>
        <v/>
      </c>
      <c r="G612" s="203" t="str">
        <f ca="1">IFERROR(__xludf.DUMMYFUNCTION("unique(filter($D$5:$D1123,$B$5:$B1123=E612))"),"")</f>
        <v/>
      </c>
      <c r="K612" s="48"/>
      <c r="M612" s="205" t="s">
        <v>2923</v>
      </c>
    </row>
    <row r="613" spans="2:13" ht="15.75" customHeight="1" x14ac:dyDescent="0.2">
      <c r="B613" s="46"/>
      <c r="E613" s="71"/>
      <c r="F613" s="71" t="str">
        <f ca="1">IFERROR(__xludf.DUMMYFUNCTION("unique(filter($C$5:$C1123,$B$5:$B1123=E613))"),"")</f>
        <v/>
      </c>
      <c r="G613" s="203" t="str">
        <f ca="1">IFERROR(__xludf.DUMMYFUNCTION("unique(filter($D$5:$D1123,$B$5:$B1123=E613))"),"")</f>
        <v/>
      </c>
      <c r="K613" s="48"/>
      <c r="M613" s="205" t="s">
        <v>2924</v>
      </c>
    </row>
    <row r="614" spans="2:13" ht="15.75" customHeight="1" x14ac:dyDescent="0.2">
      <c r="B614" s="46"/>
      <c r="E614" s="71"/>
      <c r="F614" s="71" t="str">
        <f ca="1">IFERROR(__xludf.DUMMYFUNCTION("unique(filter($C$5:$C1123,$B$5:$B1123=E614))"),"")</f>
        <v/>
      </c>
      <c r="G614" s="203" t="str">
        <f ca="1">IFERROR(__xludf.DUMMYFUNCTION("unique(filter($D$5:$D1123,$B$5:$B1123=E614))"),"")</f>
        <v/>
      </c>
      <c r="K614" s="48"/>
      <c r="M614" s="205" t="s">
        <v>2925</v>
      </c>
    </row>
    <row r="615" spans="2:13" ht="15.75" customHeight="1" x14ac:dyDescent="0.2">
      <c r="B615" s="46"/>
      <c r="E615" s="71"/>
      <c r="F615" s="71" t="str">
        <f ca="1">IFERROR(__xludf.DUMMYFUNCTION("unique(filter($C$5:$C1123,$B$5:$B1123=E615))"),"")</f>
        <v/>
      </c>
      <c r="G615" s="203" t="str">
        <f ca="1">IFERROR(__xludf.DUMMYFUNCTION("unique(filter($D$5:$D1123,$B$5:$B1123=E615))"),"")</f>
        <v/>
      </c>
      <c r="K615" s="48"/>
      <c r="M615" s="205" t="s">
        <v>2926</v>
      </c>
    </row>
    <row r="616" spans="2:13" ht="15.75" customHeight="1" x14ac:dyDescent="0.2">
      <c r="B616" s="46"/>
      <c r="E616" s="71"/>
      <c r="F616" s="71" t="str">
        <f ca="1">IFERROR(__xludf.DUMMYFUNCTION("unique(filter($C$5:$C1123,$B$5:$B1123=E616))"),"")</f>
        <v/>
      </c>
      <c r="G616" s="203" t="str">
        <f ca="1">IFERROR(__xludf.DUMMYFUNCTION("unique(filter($D$5:$D1123,$B$5:$B1123=E616))"),"")</f>
        <v/>
      </c>
      <c r="K616" s="48"/>
      <c r="M616" s="205" t="s">
        <v>2927</v>
      </c>
    </row>
    <row r="617" spans="2:13" ht="15.75" customHeight="1" x14ac:dyDescent="0.2">
      <c r="B617" s="46"/>
      <c r="E617" s="71"/>
      <c r="F617" s="71" t="str">
        <f ca="1">IFERROR(__xludf.DUMMYFUNCTION("unique(filter($C$5:$C1123,$B$5:$B1123=E617))"),"")</f>
        <v/>
      </c>
      <c r="G617" s="203" t="str">
        <f ca="1">IFERROR(__xludf.DUMMYFUNCTION("unique(filter($D$5:$D1123,$B$5:$B1123=E617))"),"")</f>
        <v/>
      </c>
      <c r="K617" s="48"/>
      <c r="M617" s="205" t="s">
        <v>2928</v>
      </c>
    </row>
    <row r="618" spans="2:13" ht="15.75" customHeight="1" x14ac:dyDescent="0.2">
      <c r="B618" s="46"/>
      <c r="E618" s="71"/>
      <c r="F618" s="71" t="str">
        <f ca="1">IFERROR(__xludf.DUMMYFUNCTION("unique(filter($C$5:$C1123,$B$5:$B1123=E618))"),"")</f>
        <v/>
      </c>
      <c r="G618" s="203" t="str">
        <f ca="1">IFERROR(__xludf.DUMMYFUNCTION("unique(filter($D$5:$D1123,$B$5:$B1123=E618))"),"")</f>
        <v/>
      </c>
      <c r="K618" s="48"/>
      <c r="M618" s="205" t="s">
        <v>2929</v>
      </c>
    </row>
    <row r="619" spans="2:13" ht="15.75" customHeight="1" x14ac:dyDescent="0.2">
      <c r="B619" s="46"/>
      <c r="E619" s="71"/>
      <c r="F619" s="71" t="str">
        <f ca="1">IFERROR(__xludf.DUMMYFUNCTION("unique(filter($C$5:$C1123,$B$5:$B1123=E619))"),"")</f>
        <v/>
      </c>
      <c r="G619" s="203" t="str">
        <f ca="1">IFERROR(__xludf.DUMMYFUNCTION("unique(filter($D$5:$D1123,$B$5:$B1123=E619))"),"")</f>
        <v/>
      </c>
      <c r="K619" s="48"/>
      <c r="M619" s="205" t="s">
        <v>2930</v>
      </c>
    </row>
    <row r="620" spans="2:13" ht="15.75" customHeight="1" x14ac:dyDescent="0.2">
      <c r="B620" s="46"/>
      <c r="E620" s="71"/>
      <c r="F620" s="71" t="str">
        <f ca="1">IFERROR(__xludf.DUMMYFUNCTION("unique(filter($C$5:$C1123,$B$5:$B1123=E620))"),"")</f>
        <v/>
      </c>
      <c r="G620" s="203" t="str">
        <f ca="1">IFERROR(__xludf.DUMMYFUNCTION("unique(filter($D$5:$D1123,$B$5:$B1123=E620))"),"")</f>
        <v/>
      </c>
      <c r="K620" s="48"/>
      <c r="M620" s="205" t="s">
        <v>2931</v>
      </c>
    </row>
    <row r="621" spans="2:13" ht="15.75" customHeight="1" x14ac:dyDescent="0.2">
      <c r="B621" s="46"/>
      <c r="E621" s="71"/>
      <c r="F621" s="71" t="str">
        <f ca="1">IFERROR(__xludf.DUMMYFUNCTION("unique(filter($C$5:$C1123,$B$5:$B1123=E621))"),"")</f>
        <v/>
      </c>
      <c r="G621" s="203" t="str">
        <f ca="1">IFERROR(__xludf.DUMMYFUNCTION("unique(filter($D$5:$D1123,$B$5:$B1123=E621))"),"")</f>
        <v/>
      </c>
      <c r="K621" s="48"/>
      <c r="M621" s="205" t="s">
        <v>2932</v>
      </c>
    </row>
    <row r="622" spans="2:13" ht="15.75" customHeight="1" x14ac:dyDescent="0.2">
      <c r="B622" s="46"/>
      <c r="E622" s="71"/>
      <c r="F622" s="71" t="str">
        <f ca="1">IFERROR(__xludf.DUMMYFUNCTION("unique(filter($C$5:$C1123,$B$5:$B1123=E622))"),"")</f>
        <v/>
      </c>
      <c r="G622" s="203" t="str">
        <f ca="1">IFERROR(__xludf.DUMMYFUNCTION("unique(filter($D$5:$D1123,$B$5:$B1123=E622))"),"")</f>
        <v/>
      </c>
      <c r="K622" s="48"/>
      <c r="M622" s="205" t="s">
        <v>2933</v>
      </c>
    </row>
    <row r="623" spans="2:13" ht="15.75" customHeight="1" x14ac:dyDescent="0.2">
      <c r="B623" s="46"/>
      <c r="E623" s="71"/>
      <c r="F623" s="71" t="str">
        <f ca="1">IFERROR(__xludf.DUMMYFUNCTION("unique(filter($C$5:$C1123,$B$5:$B1123=E623))"),"")</f>
        <v/>
      </c>
      <c r="G623" s="203" t="str">
        <f ca="1">IFERROR(__xludf.DUMMYFUNCTION("unique(filter($D$5:$D1123,$B$5:$B1123=E623))"),"")</f>
        <v/>
      </c>
      <c r="K623" s="48"/>
      <c r="M623" s="205" t="s">
        <v>2934</v>
      </c>
    </row>
    <row r="624" spans="2:13" ht="15.75" customHeight="1" x14ac:dyDescent="0.2">
      <c r="B624" s="46"/>
      <c r="E624" s="71"/>
      <c r="F624" s="71" t="str">
        <f ca="1">IFERROR(__xludf.DUMMYFUNCTION("unique(filter($C$5:$C1123,$B$5:$B1123=E624))"),"")</f>
        <v/>
      </c>
      <c r="G624" s="203" t="str">
        <f ca="1">IFERROR(__xludf.DUMMYFUNCTION("unique(filter($D$5:$D1123,$B$5:$B1123=E624))"),"")</f>
        <v/>
      </c>
      <c r="K624" s="48"/>
      <c r="M624" s="205" t="s">
        <v>2935</v>
      </c>
    </row>
    <row r="625" spans="2:13" ht="15.75" customHeight="1" x14ac:dyDescent="0.2">
      <c r="B625" s="46"/>
      <c r="E625" s="71"/>
      <c r="F625" s="71" t="str">
        <f ca="1">IFERROR(__xludf.DUMMYFUNCTION("unique(filter($C$5:$C1123,$B$5:$B1123=E625))"),"")</f>
        <v/>
      </c>
      <c r="G625" s="203" t="str">
        <f ca="1">IFERROR(__xludf.DUMMYFUNCTION("unique(filter($D$5:$D1123,$B$5:$B1123=E625))"),"")</f>
        <v/>
      </c>
      <c r="K625" s="48"/>
      <c r="M625" s="205" t="s">
        <v>2936</v>
      </c>
    </row>
    <row r="626" spans="2:13" ht="15.75" customHeight="1" x14ac:dyDescent="0.2">
      <c r="B626" s="46"/>
      <c r="E626" s="71"/>
      <c r="F626" s="71" t="str">
        <f ca="1">IFERROR(__xludf.DUMMYFUNCTION("unique(filter($C$5:$C1123,$B$5:$B1123=E626))"),"")</f>
        <v/>
      </c>
      <c r="G626" s="203" t="str">
        <f ca="1">IFERROR(__xludf.DUMMYFUNCTION("unique(filter($D$5:$D1123,$B$5:$B1123=E626))"),"")</f>
        <v/>
      </c>
      <c r="K626" s="48"/>
      <c r="M626" s="205" t="s">
        <v>2937</v>
      </c>
    </row>
    <row r="627" spans="2:13" ht="15.75" customHeight="1" x14ac:dyDescent="0.2">
      <c r="B627" s="46"/>
      <c r="E627" s="71"/>
      <c r="F627" s="71" t="str">
        <f ca="1">IFERROR(__xludf.DUMMYFUNCTION("unique(filter($C$5:$C1123,$B$5:$B1123=E627))"),"")</f>
        <v/>
      </c>
      <c r="G627" s="203" t="str">
        <f ca="1">IFERROR(__xludf.DUMMYFUNCTION("unique(filter($D$5:$D1123,$B$5:$B1123=E627))"),"")</f>
        <v/>
      </c>
      <c r="K627" s="48"/>
      <c r="M627" s="205" t="s">
        <v>2938</v>
      </c>
    </row>
    <row r="628" spans="2:13" ht="15.75" customHeight="1" x14ac:dyDescent="0.2">
      <c r="B628" s="46"/>
      <c r="E628" s="71"/>
      <c r="F628" s="71" t="str">
        <f ca="1">IFERROR(__xludf.DUMMYFUNCTION("unique(filter($C$5:$C1123,$B$5:$B1123=E628))"),"")</f>
        <v/>
      </c>
      <c r="G628" s="203" t="str">
        <f ca="1">IFERROR(__xludf.DUMMYFUNCTION("unique(filter($D$5:$D1123,$B$5:$B1123=E628))"),"")</f>
        <v/>
      </c>
      <c r="K628" s="48"/>
      <c r="M628" s="205" t="s">
        <v>2939</v>
      </c>
    </row>
    <row r="629" spans="2:13" ht="15.75" customHeight="1" x14ac:dyDescent="0.2">
      <c r="B629" s="46"/>
      <c r="E629" s="71"/>
      <c r="F629" s="71" t="str">
        <f ca="1">IFERROR(__xludf.DUMMYFUNCTION("unique(filter($C$5:$C1123,$B$5:$B1123=E629))"),"")</f>
        <v/>
      </c>
      <c r="G629" s="203" t="str">
        <f ca="1">IFERROR(__xludf.DUMMYFUNCTION("unique(filter($D$5:$D1123,$B$5:$B1123=E629))"),"")</f>
        <v/>
      </c>
      <c r="K629" s="48"/>
      <c r="M629" s="205" t="s">
        <v>2940</v>
      </c>
    </row>
    <row r="630" spans="2:13" ht="15.75" customHeight="1" x14ac:dyDescent="0.2">
      <c r="B630" s="46"/>
      <c r="E630" s="71"/>
      <c r="F630" s="71" t="str">
        <f ca="1">IFERROR(__xludf.DUMMYFUNCTION("unique(filter($C$5:$C1123,$B$5:$B1123=E630))"),"")</f>
        <v/>
      </c>
      <c r="G630" s="203" t="str">
        <f ca="1">IFERROR(__xludf.DUMMYFUNCTION("unique(filter($D$5:$D1123,$B$5:$B1123=E630))"),"")</f>
        <v/>
      </c>
      <c r="K630" s="48"/>
      <c r="M630" s="205" t="s">
        <v>2941</v>
      </c>
    </row>
    <row r="631" spans="2:13" ht="15.75" customHeight="1" x14ac:dyDescent="0.2">
      <c r="B631" s="46"/>
      <c r="E631" s="71"/>
      <c r="F631" s="71" t="str">
        <f ca="1">IFERROR(__xludf.DUMMYFUNCTION("unique(filter($C$5:$C1123,$B$5:$B1123=E631))"),"")</f>
        <v/>
      </c>
      <c r="G631" s="203" t="str">
        <f ca="1">IFERROR(__xludf.DUMMYFUNCTION("unique(filter($D$5:$D1123,$B$5:$B1123=E631))"),"")</f>
        <v/>
      </c>
      <c r="K631" s="48"/>
      <c r="M631" s="205" t="s">
        <v>2942</v>
      </c>
    </row>
    <row r="632" spans="2:13" ht="15.75" customHeight="1" x14ac:dyDescent="0.2">
      <c r="B632" s="46"/>
      <c r="E632" s="71"/>
      <c r="F632" s="71" t="str">
        <f ca="1">IFERROR(__xludf.DUMMYFUNCTION("unique(filter($C$5:$C1123,$B$5:$B1123=E632))"),"")</f>
        <v/>
      </c>
      <c r="G632" s="203" t="str">
        <f ca="1">IFERROR(__xludf.DUMMYFUNCTION("unique(filter($D$5:$D1123,$B$5:$B1123=E632))"),"")</f>
        <v/>
      </c>
      <c r="K632" s="48"/>
      <c r="M632" s="205" t="s">
        <v>2943</v>
      </c>
    </row>
    <row r="633" spans="2:13" ht="15.75" customHeight="1" x14ac:dyDescent="0.2">
      <c r="B633" s="46"/>
      <c r="E633" s="71"/>
      <c r="F633" s="71" t="str">
        <f ca="1">IFERROR(__xludf.DUMMYFUNCTION("unique(filter($C$5:$C1123,$B$5:$B1123=E633))"),"")</f>
        <v/>
      </c>
      <c r="G633" s="203" t="str">
        <f ca="1">IFERROR(__xludf.DUMMYFUNCTION("unique(filter($D$5:$D1123,$B$5:$B1123=E633))"),"")</f>
        <v/>
      </c>
      <c r="K633" s="48"/>
      <c r="M633" s="205" t="s">
        <v>2944</v>
      </c>
    </row>
    <row r="634" spans="2:13" ht="15.75" customHeight="1" x14ac:dyDescent="0.2">
      <c r="B634" s="46"/>
      <c r="E634" s="71"/>
      <c r="F634" s="71" t="str">
        <f ca="1">IFERROR(__xludf.DUMMYFUNCTION("unique(filter($C$5:$C1123,$B$5:$B1123=E634))"),"")</f>
        <v/>
      </c>
      <c r="G634" s="203" t="str">
        <f ca="1">IFERROR(__xludf.DUMMYFUNCTION("unique(filter($D$5:$D1123,$B$5:$B1123=E634))"),"")</f>
        <v/>
      </c>
      <c r="K634" s="48"/>
      <c r="M634" s="205" t="s">
        <v>2945</v>
      </c>
    </row>
    <row r="635" spans="2:13" ht="15.75" customHeight="1" x14ac:dyDescent="0.2">
      <c r="B635" s="46"/>
      <c r="E635" s="71"/>
      <c r="F635" s="71" t="str">
        <f ca="1">IFERROR(__xludf.DUMMYFUNCTION("unique(filter($C$5:$C1123,$B$5:$B1123=E635))"),"")</f>
        <v/>
      </c>
      <c r="G635" s="203" t="str">
        <f ca="1">IFERROR(__xludf.DUMMYFUNCTION("unique(filter($D$5:$D1123,$B$5:$B1123=E635))"),"")</f>
        <v/>
      </c>
      <c r="K635" s="48"/>
      <c r="M635" s="205" t="s">
        <v>2946</v>
      </c>
    </row>
    <row r="636" spans="2:13" ht="15.75" customHeight="1" x14ac:dyDescent="0.2">
      <c r="B636" s="46"/>
      <c r="E636" s="71"/>
      <c r="F636" s="71" t="str">
        <f ca="1">IFERROR(__xludf.DUMMYFUNCTION("unique(filter($C$5:$C1123,$B$5:$B1123=E636))"),"")</f>
        <v/>
      </c>
      <c r="G636" s="203" t="str">
        <f ca="1">IFERROR(__xludf.DUMMYFUNCTION("unique(filter($D$5:$D1123,$B$5:$B1123=E636))"),"")</f>
        <v/>
      </c>
      <c r="K636" s="48"/>
      <c r="M636" s="205" t="s">
        <v>2947</v>
      </c>
    </row>
    <row r="637" spans="2:13" ht="15.75" customHeight="1" x14ac:dyDescent="0.2">
      <c r="B637" s="46"/>
      <c r="E637" s="71"/>
      <c r="F637" s="71" t="str">
        <f ca="1">IFERROR(__xludf.DUMMYFUNCTION("unique(filter($C$5:$C1123,$B$5:$B1123=E637))"),"")</f>
        <v/>
      </c>
      <c r="G637" s="203" t="str">
        <f ca="1">IFERROR(__xludf.DUMMYFUNCTION("unique(filter($D$5:$D1123,$B$5:$B1123=E637))"),"")</f>
        <v/>
      </c>
      <c r="K637" s="48"/>
      <c r="M637" s="205" t="s">
        <v>2948</v>
      </c>
    </row>
    <row r="638" spans="2:13" ht="15.75" customHeight="1" x14ac:dyDescent="0.2">
      <c r="B638" s="46"/>
      <c r="E638" s="71"/>
      <c r="F638" s="71" t="str">
        <f ca="1">IFERROR(__xludf.DUMMYFUNCTION("unique(filter($C$5:$C1123,$B$5:$B1123=E638))"),"")</f>
        <v/>
      </c>
      <c r="G638" s="203" t="str">
        <f ca="1">IFERROR(__xludf.DUMMYFUNCTION("unique(filter($D$5:$D1123,$B$5:$B1123=E638))"),"")</f>
        <v/>
      </c>
      <c r="K638" s="48"/>
      <c r="M638" s="205" t="s">
        <v>2949</v>
      </c>
    </row>
    <row r="639" spans="2:13" ht="15.75" customHeight="1" x14ac:dyDescent="0.2">
      <c r="B639" s="46"/>
      <c r="E639" s="71"/>
      <c r="F639" s="71" t="str">
        <f ca="1">IFERROR(__xludf.DUMMYFUNCTION("unique(filter($C$5:$C1123,$B$5:$B1123=E639))"),"")</f>
        <v/>
      </c>
      <c r="G639" s="203" t="str">
        <f ca="1">IFERROR(__xludf.DUMMYFUNCTION("unique(filter($D$5:$D1123,$B$5:$B1123=E639))"),"")</f>
        <v/>
      </c>
      <c r="K639" s="48"/>
      <c r="M639" s="205" t="s">
        <v>2950</v>
      </c>
    </row>
    <row r="640" spans="2:13" ht="15.75" customHeight="1" x14ac:dyDescent="0.2">
      <c r="B640" s="46"/>
      <c r="E640" s="71"/>
      <c r="F640" s="71" t="str">
        <f ca="1">IFERROR(__xludf.DUMMYFUNCTION("unique(filter($C$5:$C1123,$B$5:$B1123=E640))"),"")</f>
        <v/>
      </c>
      <c r="G640" s="203" t="str">
        <f ca="1">IFERROR(__xludf.DUMMYFUNCTION("unique(filter($D$5:$D1123,$B$5:$B1123=E640))"),"")</f>
        <v/>
      </c>
      <c r="K640" s="48"/>
      <c r="M640" s="205" t="s">
        <v>2951</v>
      </c>
    </row>
    <row r="641" spans="2:13" ht="15.75" customHeight="1" x14ac:dyDescent="0.2">
      <c r="B641" s="46"/>
      <c r="E641" s="71"/>
      <c r="F641" s="71" t="str">
        <f ca="1">IFERROR(__xludf.DUMMYFUNCTION("unique(filter($C$5:$C1123,$B$5:$B1123=E641))"),"")</f>
        <v/>
      </c>
      <c r="G641" s="203" t="str">
        <f ca="1">IFERROR(__xludf.DUMMYFUNCTION("unique(filter($D$5:$D1123,$B$5:$B1123=E641))"),"")</f>
        <v/>
      </c>
      <c r="K641" s="48"/>
      <c r="M641" s="205" t="s">
        <v>2952</v>
      </c>
    </row>
    <row r="642" spans="2:13" ht="15.75" customHeight="1" x14ac:dyDescent="0.2">
      <c r="B642" s="46"/>
      <c r="E642" s="71"/>
      <c r="F642" s="71" t="str">
        <f ca="1">IFERROR(__xludf.DUMMYFUNCTION("unique(filter($C$5:$C1123,$B$5:$B1123=E642))"),"")</f>
        <v/>
      </c>
      <c r="G642" s="203" t="str">
        <f ca="1">IFERROR(__xludf.DUMMYFUNCTION("unique(filter($D$5:$D1123,$B$5:$B1123=E642))"),"")</f>
        <v/>
      </c>
      <c r="K642" s="48"/>
      <c r="M642" s="205" t="s">
        <v>2953</v>
      </c>
    </row>
    <row r="643" spans="2:13" ht="15.75" customHeight="1" x14ac:dyDescent="0.2">
      <c r="B643" s="46"/>
      <c r="E643" s="71"/>
      <c r="F643" s="71" t="str">
        <f ca="1">IFERROR(__xludf.DUMMYFUNCTION("unique(filter($C$5:$C1123,$B$5:$B1123=E643))"),"")</f>
        <v/>
      </c>
      <c r="G643" s="203" t="str">
        <f ca="1">IFERROR(__xludf.DUMMYFUNCTION("unique(filter($D$5:$D1123,$B$5:$B1123=E643))"),"")</f>
        <v/>
      </c>
      <c r="K643" s="48"/>
      <c r="M643" s="205" t="s">
        <v>2954</v>
      </c>
    </row>
    <row r="644" spans="2:13" ht="15.75" customHeight="1" x14ac:dyDescent="0.2">
      <c r="B644" s="46"/>
      <c r="E644" s="71"/>
      <c r="F644" s="71" t="str">
        <f ca="1">IFERROR(__xludf.DUMMYFUNCTION("unique(filter($C$5:$C1123,$B$5:$B1123=E644))"),"")</f>
        <v/>
      </c>
      <c r="G644" s="203" t="str">
        <f ca="1">IFERROR(__xludf.DUMMYFUNCTION("unique(filter($D$5:$D1123,$B$5:$B1123=E644))"),"")</f>
        <v/>
      </c>
      <c r="K644" s="48"/>
      <c r="M644" s="205" t="s">
        <v>2955</v>
      </c>
    </row>
    <row r="645" spans="2:13" ht="15.75" customHeight="1" x14ac:dyDescent="0.2">
      <c r="B645" s="46"/>
      <c r="E645" s="71"/>
      <c r="F645" s="71" t="str">
        <f ca="1">IFERROR(__xludf.DUMMYFUNCTION("unique(filter($C$5:$C1123,$B$5:$B1123=E645))"),"")</f>
        <v/>
      </c>
      <c r="G645" s="203" t="str">
        <f ca="1">IFERROR(__xludf.DUMMYFUNCTION("unique(filter($D$5:$D1123,$B$5:$B1123=E645))"),"")</f>
        <v/>
      </c>
      <c r="K645" s="48"/>
      <c r="M645" s="205" t="s">
        <v>2956</v>
      </c>
    </row>
    <row r="646" spans="2:13" ht="15.75" customHeight="1" x14ac:dyDescent="0.2">
      <c r="B646" s="46"/>
      <c r="E646" s="71"/>
      <c r="F646" s="71" t="str">
        <f ca="1">IFERROR(__xludf.DUMMYFUNCTION("unique(filter($C$5:$C1123,$B$5:$B1123=E646))"),"")</f>
        <v/>
      </c>
      <c r="G646" s="203" t="str">
        <f ca="1">IFERROR(__xludf.DUMMYFUNCTION("unique(filter($D$5:$D1123,$B$5:$B1123=E646))"),"")</f>
        <v/>
      </c>
      <c r="K646" s="48"/>
      <c r="M646" s="205" t="s">
        <v>2957</v>
      </c>
    </row>
    <row r="647" spans="2:13" ht="15.75" customHeight="1" x14ac:dyDescent="0.2">
      <c r="B647" s="46"/>
      <c r="E647" s="71"/>
      <c r="F647" s="71" t="str">
        <f ca="1">IFERROR(__xludf.DUMMYFUNCTION("unique(filter($C$5:$C1123,$B$5:$B1123=E647))"),"")</f>
        <v/>
      </c>
      <c r="G647" s="203" t="str">
        <f ca="1">IFERROR(__xludf.DUMMYFUNCTION("unique(filter($D$5:$D1123,$B$5:$B1123=E647))"),"")</f>
        <v/>
      </c>
      <c r="K647" s="48"/>
      <c r="M647" s="205" t="s">
        <v>2958</v>
      </c>
    </row>
    <row r="648" spans="2:13" ht="15.75" customHeight="1" x14ac:dyDescent="0.2">
      <c r="B648" s="46"/>
      <c r="E648" s="71"/>
      <c r="F648" s="71" t="str">
        <f ca="1">IFERROR(__xludf.DUMMYFUNCTION("unique(filter($C$5:$C1123,$B$5:$B1123=E648))"),"")</f>
        <v/>
      </c>
      <c r="G648" s="203" t="str">
        <f ca="1">IFERROR(__xludf.DUMMYFUNCTION("unique(filter($D$5:$D1123,$B$5:$B1123=E648))"),"")</f>
        <v/>
      </c>
      <c r="K648" s="48"/>
      <c r="M648" s="205" t="s">
        <v>2959</v>
      </c>
    </row>
    <row r="649" spans="2:13" ht="15.75" customHeight="1" x14ac:dyDescent="0.2">
      <c r="B649" s="46"/>
      <c r="E649" s="71"/>
      <c r="F649" s="71" t="str">
        <f ca="1">IFERROR(__xludf.DUMMYFUNCTION("unique(filter($C$5:$C1123,$B$5:$B1123=E649))"),"")</f>
        <v/>
      </c>
      <c r="G649" s="203" t="str">
        <f ca="1">IFERROR(__xludf.DUMMYFUNCTION("unique(filter($D$5:$D1123,$B$5:$B1123=E649))"),"")</f>
        <v/>
      </c>
      <c r="K649" s="48"/>
      <c r="M649" s="205" t="s">
        <v>2960</v>
      </c>
    </row>
    <row r="650" spans="2:13" ht="15.75" customHeight="1" x14ac:dyDescent="0.2">
      <c r="B650" s="46"/>
      <c r="E650" s="71"/>
      <c r="F650" s="71" t="str">
        <f ca="1">IFERROR(__xludf.DUMMYFUNCTION("unique(filter($C$5:$C1123,$B$5:$B1123=E650))"),"")</f>
        <v/>
      </c>
      <c r="G650" s="203" t="str">
        <f ca="1">IFERROR(__xludf.DUMMYFUNCTION("unique(filter($D$5:$D1123,$B$5:$B1123=E650))"),"")</f>
        <v/>
      </c>
      <c r="K650" s="48"/>
      <c r="M650" s="205" t="s">
        <v>2961</v>
      </c>
    </row>
    <row r="651" spans="2:13" ht="15.75" customHeight="1" x14ac:dyDescent="0.2">
      <c r="B651" s="46"/>
      <c r="E651" s="71"/>
      <c r="F651" s="71" t="str">
        <f ca="1">IFERROR(__xludf.DUMMYFUNCTION("unique(filter($C$5:$C1123,$B$5:$B1123=E651))"),"")</f>
        <v/>
      </c>
      <c r="G651" s="203" t="str">
        <f ca="1">IFERROR(__xludf.DUMMYFUNCTION("unique(filter($D$5:$D1123,$B$5:$B1123=E651))"),"")</f>
        <v/>
      </c>
      <c r="K651" s="48"/>
      <c r="M651" s="205" t="s">
        <v>2962</v>
      </c>
    </row>
    <row r="652" spans="2:13" ht="15.75" customHeight="1" x14ac:dyDescent="0.2">
      <c r="B652" s="46"/>
      <c r="E652" s="71"/>
      <c r="F652" s="71" t="str">
        <f ca="1">IFERROR(__xludf.DUMMYFUNCTION("unique(filter($C$5:$C1123,$B$5:$B1123=E652))"),"")</f>
        <v/>
      </c>
      <c r="G652" s="203" t="str">
        <f ca="1">IFERROR(__xludf.DUMMYFUNCTION("unique(filter($D$5:$D1123,$B$5:$B1123=E652))"),"")</f>
        <v/>
      </c>
      <c r="K652" s="48"/>
      <c r="M652" s="205" t="s">
        <v>2963</v>
      </c>
    </row>
    <row r="653" spans="2:13" ht="15.75" customHeight="1" x14ac:dyDescent="0.2">
      <c r="B653" s="46"/>
      <c r="E653" s="71"/>
      <c r="F653" s="71" t="str">
        <f ca="1">IFERROR(__xludf.DUMMYFUNCTION("unique(filter($C$5:$C1123,$B$5:$B1123=E653))"),"")</f>
        <v/>
      </c>
      <c r="G653" s="203" t="str">
        <f ca="1">IFERROR(__xludf.DUMMYFUNCTION("unique(filter($D$5:$D1123,$B$5:$B1123=E653))"),"")</f>
        <v/>
      </c>
      <c r="K653" s="48"/>
      <c r="M653" s="205" t="s">
        <v>2964</v>
      </c>
    </row>
    <row r="654" spans="2:13" ht="15.75" customHeight="1" x14ac:dyDescent="0.2">
      <c r="B654" s="46"/>
      <c r="E654" s="71"/>
      <c r="F654" s="71" t="str">
        <f ca="1">IFERROR(__xludf.DUMMYFUNCTION("unique(filter($C$5:$C1123,$B$5:$B1123=E654))"),"")</f>
        <v/>
      </c>
      <c r="G654" s="203" t="str">
        <f ca="1">IFERROR(__xludf.DUMMYFUNCTION("unique(filter($D$5:$D1123,$B$5:$B1123=E654))"),"")</f>
        <v/>
      </c>
      <c r="K654" s="48"/>
      <c r="M654" s="205" t="s">
        <v>2965</v>
      </c>
    </row>
    <row r="655" spans="2:13" ht="15.75" customHeight="1" x14ac:dyDescent="0.2">
      <c r="B655" s="46"/>
      <c r="E655" s="71"/>
      <c r="F655" s="71" t="str">
        <f ca="1">IFERROR(__xludf.DUMMYFUNCTION("unique(filter($C$5:$C1123,$B$5:$B1123=E655))"),"")</f>
        <v/>
      </c>
      <c r="G655" s="203" t="str">
        <f ca="1">IFERROR(__xludf.DUMMYFUNCTION("unique(filter($D$5:$D1123,$B$5:$B1123=E655))"),"")</f>
        <v/>
      </c>
      <c r="K655" s="48"/>
      <c r="M655" s="205" t="s">
        <v>2966</v>
      </c>
    </row>
    <row r="656" spans="2:13" ht="15.75" customHeight="1" x14ac:dyDescent="0.2">
      <c r="B656" s="46"/>
      <c r="E656" s="71"/>
      <c r="F656" s="71" t="str">
        <f ca="1">IFERROR(__xludf.DUMMYFUNCTION("unique(filter($C$5:$C1123,$B$5:$B1123=E656))"),"")</f>
        <v/>
      </c>
      <c r="G656" s="203" t="str">
        <f ca="1">IFERROR(__xludf.DUMMYFUNCTION("unique(filter($D$5:$D1123,$B$5:$B1123=E656))"),"")</f>
        <v/>
      </c>
      <c r="K656" s="48"/>
      <c r="M656" s="205" t="s">
        <v>2967</v>
      </c>
    </row>
    <row r="657" spans="2:13" ht="15.75" customHeight="1" x14ac:dyDescent="0.2">
      <c r="B657" s="46"/>
      <c r="E657" s="71"/>
      <c r="F657" s="71" t="str">
        <f ca="1">IFERROR(__xludf.DUMMYFUNCTION("unique(filter($C$5:$C1123,$B$5:$B1123=E657))"),"")</f>
        <v/>
      </c>
      <c r="G657" s="203" t="str">
        <f ca="1">IFERROR(__xludf.DUMMYFUNCTION("unique(filter($D$5:$D1123,$B$5:$B1123=E657))"),"")</f>
        <v/>
      </c>
      <c r="K657" s="48"/>
      <c r="M657" s="205" t="s">
        <v>2968</v>
      </c>
    </row>
    <row r="658" spans="2:13" ht="15.75" customHeight="1" x14ac:dyDescent="0.2">
      <c r="B658" s="46"/>
      <c r="E658" s="71"/>
      <c r="F658" s="71" t="str">
        <f ca="1">IFERROR(__xludf.DUMMYFUNCTION("unique(filter($C$5:$C1123,$B$5:$B1123=E658))"),"")</f>
        <v/>
      </c>
      <c r="G658" s="203" t="str">
        <f ca="1">IFERROR(__xludf.DUMMYFUNCTION("unique(filter($D$5:$D1123,$B$5:$B1123=E658))"),"")</f>
        <v/>
      </c>
      <c r="K658" s="48"/>
      <c r="M658" s="205" t="s">
        <v>2969</v>
      </c>
    </row>
    <row r="659" spans="2:13" ht="15.75" customHeight="1" x14ac:dyDescent="0.2">
      <c r="B659" s="46"/>
      <c r="E659" s="71"/>
      <c r="F659" s="71" t="str">
        <f ca="1">IFERROR(__xludf.DUMMYFUNCTION("unique(filter($C$5:$C1123,$B$5:$B1123=E659))"),"")</f>
        <v/>
      </c>
      <c r="G659" s="203" t="str">
        <f ca="1">IFERROR(__xludf.DUMMYFUNCTION("unique(filter($D$5:$D1123,$B$5:$B1123=E659))"),"")</f>
        <v/>
      </c>
      <c r="K659" s="48"/>
      <c r="M659" s="205" t="s">
        <v>2970</v>
      </c>
    </row>
    <row r="660" spans="2:13" ht="15.75" customHeight="1" x14ac:dyDescent="0.2">
      <c r="B660" s="46"/>
      <c r="E660" s="71"/>
      <c r="F660" s="71" t="str">
        <f ca="1">IFERROR(__xludf.DUMMYFUNCTION("unique(filter($C$5:$C1123,$B$5:$B1123=E660))"),"")</f>
        <v/>
      </c>
      <c r="G660" s="203" t="str">
        <f ca="1">IFERROR(__xludf.DUMMYFUNCTION("unique(filter($D$5:$D1123,$B$5:$B1123=E660))"),"")</f>
        <v/>
      </c>
      <c r="K660" s="48"/>
      <c r="M660" s="205" t="s">
        <v>2971</v>
      </c>
    </row>
    <row r="661" spans="2:13" ht="15.75" customHeight="1" x14ac:dyDescent="0.2">
      <c r="B661" s="46"/>
      <c r="E661" s="71"/>
      <c r="F661" s="71" t="str">
        <f ca="1">IFERROR(__xludf.DUMMYFUNCTION("unique(filter($C$5:$C1123,$B$5:$B1123=E661))"),"")</f>
        <v/>
      </c>
      <c r="G661" s="203" t="str">
        <f ca="1">IFERROR(__xludf.DUMMYFUNCTION("unique(filter($D$5:$D1123,$B$5:$B1123=E661))"),"")</f>
        <v/>
      </c>
      <c r="K661" s="48"/>
      <c r="M661" s="205" t="s">
        <v>2972</v>
      </c>
    </row>
    <row r="662" spans="2:13" ht="15.75" customHeight="1" x14ac:dyDescent="0.2">
      <c r="B662" s="46"/>
      <c r="E662" s="71"/>
      <c r="F662" s="71" t="str">
        <f ca="1">IFERROR(__xludf.DUMMYFUNCTION("unique(filter($C$5:$C1123,$B$5:$B1123=E662))"),"")</f>
        <v/>
      </c>
      <c r="G662" s="203" t="str">
        <f ca="1">IFERROR(__xludf.DUMMYFUNCTION("unique(filter($D$5:$D1123,$B$5:$B1123=E662))"),"")</f>
        <v/>
      </c>
      <c r="K662" s="48"/>
      <c r="M662" s="205" t="s">
        <v>2973</v>
      </c>
    </row>
    <row r="663" spans="2:13" ht="15.75" customHeight="1" x14ac:dyDescent="0.2">
      <c r="B663" s="46"/>
      <c r="E663" s="71"/>
      <c r="F663" s="71" t="str">
        <f ca="1">IFERROR(__xludf.DUMMYFUNCTION("unique(filter($C$5:$C1123,$B$5:$B1123=E663))"),"")</f>
        <v/>
      </c>
      <c r="G663" s="203" t="str">
        <f ca="1">IFERROR(__xludf.DUMMYFUNCTION("unique(filter($D$5:$D1123,$B$5:$B1123=E663))"),"")</f>
        <v/>
      </c>
      <c r="K663" s="48"/>
      <c r="M663" s="205" t="s">
        <v>2974</v>
      </c>
    </row>
    <row r="664" spans="2:13" ht="15.75" customHeight="1" x14ac:dyDescent="0.2">
      <c r="B664" s="46"/>
      <c r="E664" s="71"/>
      <c r="F664" s="71" t="str">
        <f ca="1">IFERROR(__xludf.DUMMYFUNCTION("unique(filter($C$5:$C1123,$B$5:$B1123=E664))"),"")</f>
        <v/>
      </c>
      <c r="G664" s="203" t="str">
        <f ca="1">IFERROR(__xludf.DUMMYFUNCTION("unique(filter($D$5:$D1123,$B$5:$B1123=E664))"),"")</f>
        <v/>
      </c>
      <c r="K664" s="48"/>
      <c r="M664" s="205" t="s">
        <v>2975</v>
      </c>
    </row>
    <row r="665" spans="2:13" ht="15.75" customHeight="1" x14ac:dyDescent="0.2">
      <c r="B665" s="46"/>
      <c r="E665" s="71"/>
      <c r="F665" s="71" t="str">
        <f ca="1">IFERROR(__xludf.DUMMYFUNCTION("unique(filter($C$5:$C1123,$B$5:$B1123=E665))"),"")</f>
        <v/>
      </c>
      <c r="G665" s="203" t="str">
        <f ca="1">IFERROR(__xludf.DUMMYFUNCTION("unique(filter($D$5:$D1123,$B$5:$B1123=E665))"),"")</f>
        <v/>
      </c>
      <c r="K665" s="48"/>
      <c r="M665" s="205" t="s">
        <v>2976</v>
      </c>
    </row>
    <row r="666" spans="2:13" ht="15.75" customHeight="1" x14ac:dyDescent="0.2">
      <c r="B666" s="46"/>
      <c r="E666" s="71"/>
      <c r="F666" s="71" t="str">
        <f ca="1">IFERROR(__xludf.DUMMYFUNCTION("unique(filter($C$5:$C1123,$B$5:$B1123=E666))"),"")</f>
        <v/>
      </c>
      <c r="G666" s="203" t="str">
        <f ca="1">IFERROR(__xludf.DUMMYFUNCTION("unique(filter($D$5:$D1123,$B$5:$B1123=E666))"),"")</f>
        <v/>
      </c>
      <c r="K666" s="48"/>
      <c r="M666" s="205" t="s">
        <v>2977</v>
      </c>
    </row>
    <row r="667" spans="2:13" ht="15.75" customHeight="1" x14ac:dyDescent="0.2">
      <c r="B667" s="46"/>
      <c r="E667" s="71"/>
      <c r="F667" s="71" t="str">
        <f ca="1">IFERROR(__xludf.DUMMYFUNCTION("unique(filter($C$5:$C1123,$B$5:$B1123=E667))"),"")</f>
        <v/>
      </c>
      <c r="G667" s="203" t="str">
        <f ca="1">IFERROR(__xludf.DUMMYFUNCTION("unique(filter($D$5:$D1123,$B$5:$B1123=E667))"),"")</f>
        <v/>
      </c>
      <c r="K667" s="48"/>
      <c r="M667" s="205" t="s">
        <v>2978</v>
      </c>
    </row>
    <row r="668" spans="2:13" ht="15.75" customHeight="1" x14ac:dyDescent="0.2">
      <c r="B668" s="46"/>
      <c r="E668" s="71"/>
      <c r="F668" s="71" t="str">
        <f ca="1">IFERROR(__xludf.DUMMYFUNCTION("unique(filter($C$5:$C1123,$B$5:$B1123=E668))"),"")</f>
        <v/>
      </c>
      <c r="G668" s="203" t="str">
        <f ca="1">IFERROR(__xludf.DUMMYFUNCTION("unique(filter($D$5:$D1123,$B$5:$B1123=E668))"),"")</f>
        <v/>
      </c>
      <c r="K668" s="48"/>
      <c r="M668" s="205" t="s">
        <v>2979</v>
      </c>
    </row>
    <row r="669" spans="2:13" ht="15.75" customHeight="1" x14ac:dyDescent="0.2">
      <c r="B669" s="46"/>
      <c r="E669" s="71"/>
      <c r="F669" s="71" t="str">
        <f ca="1">IFERROR(__xludf.DUMMYFUNCTION("unique(filter($C$5:$C1123,$B$5:$B1123=E669))"),"")</f>
        <v/>
      </c>
      <c r="G669" s="203" t="str">
        <f ca="1">IFERROR(__xludf.DUMMYFUNCTION("unique(filter($D$5:$D1123,$B$5:$B1123=E669))"),"")</f>
        <v/>
      </c>
      <c r="K669" s="48"/>
      <c r="M669" s="205" t="s">
        <v>2980</v>
      </c>
    </row>
    <row r="670" spans="2:13" ht="15.75" customHeight="1" x14ac:dyDescent="0.2">
      <c r="B670" s="46"/>
      <c r="E670" s="71"/>
      <c r="F670" s="71" t="str">
        <f ca="1">IFERROR(__xludf.DUMMYFUNCTION("unique(filter($C$5:$C1123,$B$5:$B1123=E670))"),"")</f>
        <v/>
      </c>
      <c r="G670" s="203" t="str">
        <f ca="1">IFERROR(__xludf.DUMMYFUNCTION("unique(filter($D$5:$D1123,$B$5:$B1123=E670))"),"")</f>
        <v/>
      </c>
      <c r="K670" s="48"/>
      <c r="M670" s="205" t="s">
        <v>2981</v>
      </c>
    </row>
    <row r="671" spans="2:13" ht="15.75" customHeight="1" x14ac:dyDescent="0.2">
      <c r="B671" s="46"/>
      <c r="E671" s="71"/>
      <c r="F671" s="71" t="str">
        <f ca="1">IFERROR(__xludf.DUMMYFUNCTION("unique(filter($C$5:$C1123,$B$5:$B1123=E671))"),"")</f>
        <v/>
      </c>
      <c r="G671" s="203" t="str">
        <f ca="1">IFERROR(__xludf.DUMMYFUNCTION("unique(filter($D$5:$D1123,$B$5:$B1123=E671))"),"")</f>
        <v/>
      </c>
      <c r="K671" s="48"/>
      <c r="M671" s="205" t="s">
        <v>2982</v>
      </c>
    </row>
    <row r="672" spans="2:13" ht="15.75" customHeight="1" x14ac:dyDescent="0.2">
      <c r="B672" s="46"/>
      <c r="E672" s="71"/>
      <c r="F672" s="71" t="str">
        <f ca="1">IFERROR(__xludf.DUMMYFUNCTION("unique(filter($C$5:$C1123,$B$5:$B1123=E672))"),"")</f>
        <v/>
      </c>
      <c r="G672" s="203" t="str">
        <f ca="1">IFERROR(__xludf.DUMMYFUNCTION("unique(filter($D$5:$D1123,$B$5:$B1123=E672))"),"")</f>
        <v/>
      </c>
      <c r="K672" s="48"/>
      <c r="M672" s="205" t="s">
        <v>2983</v>
      </c>
    </row>
    <row r="673" spans="2:13" ht="15.75" customHeight="1" x14ac:dyDescent="0.2">
      <c r="B673" s="46"/>
      <c r="E673" s="71"/>
      <c r="F673" s="71" t="str">
        <f ca="1">IFERROR(__xludf.DUMMYFUNCTION("unique(filter($C$5:$C1123,$B$5:$B1123=E673))"),"")</f>
        <v/>
      </c>
      <c r="G673" s="203" t="str">
        <f ca="1">IFERROR(__xludf.DUMMYFUNCTION("unique(filter($D$5:$D1123,$B$5:$B1123=E673))"),"")</f>
        <v/>
      </c>
      <c r="K673" s="48"/>
      <c r="M673" s="205" t="s">
        <v>2984</v>
      </c>
    </row>
    <row r="674" spans="2:13" ht="15.75" customHeight="1" x14ac:dyDescent="0.2">
      <c r="B674" s="46"/>
      <c r="E674" s="71"/>
      <c r="F674" s="71" t="str">
        <f ca="1">IFERROR(__xludf.DUMMYFUNCTION("unique(filter($C$5:$C1123,$B$5:$B1123=E674))"),"")</f>
        <v/>
      </c>
      <c r="G674" s="203" t="str">
        <f ca="1">IFERROR(__xludf.DUMMYFUNCTION("unique(filter($D$5:$D1123,$B$5:$B1123=E674))"),"")</f>
        <v/>
      </c>
      <c r="K674" s="48"/>
      <c r="M674" s="205" t="s">
        <v>2985</v>
      </c>
    </row>
    <row r="675" spans="2:13" ht="15.75" customHeight="1" x14ac:dyDescent="0.2">
      <c r="B675" s="46"/>
      <c r="E675" s="71"/>
      <c r="F675" s="71" t="str">
        <f ca="1">IFERROR(__xludf.DUMMYFUNCTION("unique(filter($C$5:$C1123,$B$5:$B1123=E675))"),"")</f>
        <v/>
      </c>
      <c r="G675" s="203" t="str">
        <f ca="1">IFERROR(__xludf.DUMMYFUNCTION("unique(filter($D$5:$D1123,$B$5:$B1123=E675))"),"")</f>
        <v/>
      </c>
      <c r="K675" s="48"/>
      <c r="M675" s="205" t="s">
        <v>2986</v>
      </c>
    </row>
    <row r="676" spans="2:13" ht="15.75" customHeight="1" x14ac:dyDescent="0.2">
      <c r="B676" s="46"/>
      <c r="E676" s="71"/>
      <c r="F676" s="71" t="str">
        <f ca="1">IFERROR(__xludf.DUMMYFUNCTION("unique(filter($C$5:$C1123,$B$5:$B1123=E676))"),"")</f>
        <v/>
      </c>
      <c r="G676" s="203" t="str">
        <f ca="1">IFERROR(__xludf.DUMMYFUNCTION("unique(filter($D$5:$D1123,$B$5:$B1123=E676))"),"")</f>
        <v/>
      </c>
      <c r="K676" s="48"/>
      <c r="M676" s="205" t="s">
        <v>2987</v>
      </c>
    </row>
    <row r="677" spans="2:13" ht="15.75" customHeight="1" x14ac:dyDescent="0.2">
      <c r="B677" s="46"/>
      <c r="E677" s="71"/>
      <c r="F677" s="71" t="str">
        <f ca="1">IFERROR(__xludf.DUMMYFUNCTION("unique(filter($C$5:$C1123,$B$5:$B1123=E677))"),"")</f>
        <v/>
      </c>
      <c r="G677" s="203" t="str">
        <f ca="1">IFERROR(__xludf.DUMMYFUNCTION("unique(filter($D$5:$D1123,$B$5:$B1123=E677))"),"")</f>
        <v/>
      </c>
      <c r="K677" s="48"/>
      <c r="M677" s="205" t="s">
        <v>2988</v>
      </c>
    </row>
    <row r="678" spans="2:13" ht="15.75" customHeight="1" x14ac:dyDescent="0.2">
      <c r="B678" s="46"/>
      <c r="E678" s="71"/>
      <c r="F678" s="71" t="str">
        <f ca="1">IFERROR(__xludf.DUMMYFUNCTION("unique(filter($C$5:$C1123,$B$5:$B1123=E678))"),"")</f>
        <v/>
      </c>
      <c r="G678" s="203" t="str">
        <f ca="1">IFERROR(__xludf.DUMMYFUNCTION("unique(filter($D$5:$D1123,$B$5:$B1123=E678))"),"")</f>
        <v/>
      </c>
      <c r="K678" s="48"/>
      <c r="M678" s="205" t="s">
        <v>2989</v>
      </c>
    </row>
    <row r="679" spans="2:13" ht="15.75" customHeight="1" x14ac:dyDescent="0.2">
      <c r="B679" s="46"/>
      <c r="E679" s="71"/>
      <c r="F679" s="71" t="str">
        <f ca="1">IFERROR(__xludf.DUMMYFUNCTION("unique(filter($C$5:$C1123,$B$5:$B1123=E679))"),"")</f>
        <v/>
      </c>
      <c r="G679" s="203" t="str">
        <f ca="1">IFERROR(__xludf.DUMMYFUNCTION("unique(filter($D$5:$D1123,$B$5:$B1123=E679))"),"")</f>
        <v/>
      </c>
      <c r="K679" s="48"/>
      <c r="M679" s="205" t="s">
        <v>2990</v>
      </c>
    </row>
    <row r="680" spans="2:13" ht="15.75" customHeight="1" x14ac:dyDescent="0.2">
      <c r="B680" s="46"/>
      <c r="E680" s="71"/>
      <c r="F680" s="71" t="str">
        <f ca="1">IFERROR(__xludf.DUMMYFUNCTION("unique(filter($C$5:$C1123,$B$5:$B1123=E680))"),"")</f>
        <v/>
      </c>
      <c r="G680" s="203" t="str">
        <f ca="1">IFERROR(__xludf.DUMMYFUNCTION("unique(filter($D$5:$D1123,$B$5:$B1123=E680))"),"")</f>
        <v/>
      </c>
      <c r="K680" s="48"/>
      <c r="M680" s="205" t="s">
        <v>2991</v>
      </c>
    </row>
    <row r="681" spans="2:13" ht="15.75" customHeight="1" x14ac:dyDescent="0.2">
      <c r="B681" s="46"/>
      <c r="E681" s="71"/>
      <c r="F681" s="71" t="str">
        <f ca="1">IFERROR(__xludf.DUMMYFUNCTION("unique(filter($C$5:$C1123,$B$5:$B1123=E681))"),"")</f>
        <v/>
      </c>
      <c r="G681" s="203" t="str">
        <f ca="1">IFERROR(__xludf.DUMMYFUNCTION("unique(filter($D$5:$D1123,$B$5:$B1123=E681))"),"")</f>
        <v/>
      </c>
      <c r="K681" s="48"/>
      <c r="M681" s="205" t="s">
        <v>2992</v>
      </c>
    </row>
    <row r="682" spans="2:13" ht="15.75" customHeight="1" x14ac:dyDescent="0.2">
      <c r="B682" s="46"/>
      <c r="E682" s="71"/>
      <c r="F682" s="71" t="str">
        <f ca="1">IFERROR(__xludf.DUMMYFUNCTION("unique(filter($C$5:$C1123,$B$5:$B1123=E682))"),"")</f>
        <v/>
      </c>
      <c r="G682" s="203" t="str">
        <f ca="1">IFERROR(__xludf.DUMMYFUNCTION("unique(filter($D$5:$D1123,$B$5:$B1123=E682))"),"")</f>
        <v/>
      </c>
      <c r="K682" s="48"/>
      <c r="M682" s="205" t="s">
        <v>2993</v>
      </c>
    </row>
    <row r="683" spans="2:13" ht="15.75" customHeight="1" x14ac:dyDescent="0.2">
      <c r="B683" s="46"/>
      <c r="E683" s="71"/>
      <c r="F683" s="71" t="str">
        <f ca="1">IFERROR(__xludf.DUMMYFUNCTION("unique(filter($C$5:$C1123,$B$5:$B1123=E683))"),"")</f>
        <v/>
      </c>
      <c r="G683" s="203" t="str">
        <f ca="1">IFERROR(__xludf.DUMMYFUNCTION("unique(filter($D$5:$D1123,$B$5:$B1123=E683))"),"")</f>
        <v/>
      </c>
      <c r="K683" s="48"/>
      <c r="M683" s="205" t="s">
        <v>2994</v>
      </c>
    </row>
    <row r="684" spans="2:13" ht="15.75" customHeight="1" x14ac:dyDescent="0.2">
      <c r="B684" s="46"/>
      <c r="E684" s="71"/>
      <c r="F684" s="71" t="str">
        <f ca="1">IFERROR(__xludf.DUMMYFUNCTION("unique(filter($C$5:$C1123,$B$5:$B1123=E684))"),"")</f>
        <v/>
      </c>
      <c r="G684" s="203" t="str">
        <f ca="1">IFERROR(__xludf.DUMMYFUNCTION("unique(filter($D$5:$D1123,$B$5:$B1123=E684))"),"")</f>
        <v/>
      </c>
      <c r="K684" s="48"/>
      <c r="M684" s="205" t="s">
        <v>2995</v>
      </c>
    </row>
    <row r="685" spans="2:13" ht="15.75" customHeight="1" x14ac:dyDescent="0.2">
      <c r="B685" s="46"/>
      <c r="E685" s="71"/>
      <c r="F685" s="71" t="str">
        <f ca="1">IFERROR(__xludf.DUMMYFUNCTION("unique(filter($C$5:$C1123,$B$5:$B1123=E685))"),"")</f>
        <v/>
      </c>
      <c r="G685" s="203" t="str">
        <f ca="1">IFERROR(__xludf.DUMMYFUNCTION("unique(filter($D$5:$D1123,$B$5:$B1123=E685))"),"")</f>
        <v/>
      </c>
      <c r="K685" s="48"/>
      <c r="M685" s="205" t="s">
        <v>2996</v>
      </c>
    </row>
    <row r="686" spans="2:13" ht="15.75" customHeight="1" x14ac:dyDescent="0.2">
      <c r="B686" s="46"/>
      <c r="E686" s="71"/>
      <c r="F686" s="71" t="str">
        <f ca="1">IFERROR(__xludf.DUMMYFUNCTION("unique(filter($C$5:$C1123,$B$5:$B1123=E686))"),"")</f>
        <v/>
      </c>
      <c r="G686" s="203" t="str">
        <f ca="1">IFERROR(__xludf.DUMMYFUNCTION("unique(filter($D$5:$D1123,$B$5:$B1123=E686))"),"")</f>
        <v/>
      </c>
      <c r="K686" s="48"/>
      <c r="M686" s="205" t="s">
        <v>2997</v>
      </c>
    </row>
    <row r="687" spans="2:13" ht="15.75" customHeight="1" x14ac:dyDescent="0.2">
      <c r="B687" s="46"/>
      <c r="E687" s="71"/>
      <c r="F687" s="71" t="str">
        <f ca="1">IFERROR(__xludf.DUMMYFUNCTION("unique(filter($C$5:$C1123,$B$5:$B1123=E687))"),"")</f>
        <v/>
      </c>
      <c r="G687" s="203" t="str">
        <f ca="1">IFERROR(__xludf.DUMMYFUNCTION("unique(filter($D$5:$D1123,$B$5:$B1123=E687))"),"")</f>
        <v/>
      </c>
      <c r="K687" s="48"/>
      <c r="M687" s="205" t="s">
        <v>2998</v>
      </c>
    </row>
    <row r="688" spans="2:13" ht="15.75" customHeight="1" x14ac:dyDescent="0.2">
      <c r="B688" s="46"/>
      <c r="E688" s="71"/>
      <c r="F688" s="71" t="str">
        <f ca="1">IFERROR(__xludf.DUMMYFUNCTION("unique(filter($C$5:$C1123,$B$5:$B1123=E688))"),"")</f>
        <v/>
      </c>
      <c r="G688" s="203" t="str">
        <f ca="1">IFERROR(__xludf.DUMMYFUNCTION("unique(filter($D$5:$D1123,$B$5:$B1123=E688))"),"")</f>
        <v/>
      </c>
      <c r="K688" s="48"/>
      <c r="M688" s="205" t="s">
        <v>2999</v>
      </c>
    </row>
    <row r="689" spans="2:13" ht="15.75" customHeight="1" x14ac:dyDescent="0.2">
      <c r="B689" s="46"/>
      <c r="E689" s="71"/>
      <c r="F689" s="71" t="str">
        <f ca="1">IFERROR(__xludf.DUMMYFUNCTION("unique(filter($C$5:$C1123,$B$5:$B1123=E689))"),"")</f>
        <v/>
      </c>
      <c r="G689" s="203" t="str">
        <f ca="1">IFERROR(__xludf.DUMMYFUNCTION("unique(filter($D$5:$D1123,$B$5:$B1123=E689))"),"")</f>
        <v/>
      </c>
      <c r="K689" s="48"/>
      <c r="M689" s="205" t="s">
        <v>3000</v>
      </c>
    </row>
    <row r="690" spans="2:13" ht="15.75" customHeight="1" x14ac:dyDescent="0.2">
      <c r="B690" s="46"/>
      <c r="E690" s="71"/>
      <c r="F690" s="71" t="str">
        <f ca="1">IFERROR(__xludf.DUMMYFUNCTION("unique(filter($C$5:$C1123,$B$5:$B1123=E690))"),"")</f>
        <v/>
      </c>
      <c r="G690" s="203" t="str">
        <f ca="1">IFERROR(__xludf.DUMMYFUNCTION("unique(filter($D$5:$D1123,$B$5:$B1123=E690))"),"")</f>
        <v/>
      </c>
      <c r="K690" s="48"/>
      <c r="M690" s="205" t="s">
        <v>3001</v>
      </c>
    </row>
    <row r="691" spans="2:13" ht="15.75" customHeight="1" x14ac:dyDescent="0.2">
      <c r="B691" s="46"/>
      <c r="E691" s="71"/>
      <c r="F691" s="71" t="str">
        <f ca="1">IFERROR(__xludf.DUMMYFUNCTION("unique(filter($C$5:$C1123,$B$5:$B1123=E691))"),"")</f>
        <v/>
      </c>
      <c r="G691" s="203" t="str">
        <f ca="1">IFERROR(__xludf.DUMMYFUNCTION("unique(filter($D$5:$D1123,$B$5:$B1123=E691))"),"")</f>
        <v/>
      </c>
      <c r="K691" s="48"/>
      <c r="M691" s="205" t="s">
        <v>3002</v>
      </c>
    </row>
    <row r="692" spans="2:13" ht="15.75" customHeight="1" x14ac:dyDescent="0.2">
      <c r="B692" s="46"/>
      <c r="E692" s="71"/>
      <c r="F692" s="71" t="str">
        <f ca="1">IFERROR(__xludf.DUMMYFUNCTION("unique(filter($C$5:$C1123,$B$5:$B1123=E692))"),"")</f>
        <v/>
      </c>
      <c r="G692" s="203" t="str">
        <f ca="1">IFERROR(__xludf.DUMMYFUNCTION("unique(filter($D$5:$D1123,$B$5:$B1123=E692))"),"")</f>
        <v/>
      </c>
      <c r="K692" s="48"/>
      <c r="M692" s="205" t="s">
        <v>3003</v>
      </c>
    </row>
    <row r="693" spans="2:13" ht="15.75" customHeight="1" x14ac:dyDescent="0.2">
      <c r="B693" s="46"/>
      <c r="E693" s="71"/>
      <c r="F693" s="71" t="str">
        <f ca="1">IFERROR(__xludf.DUMMYFUNCTION("unique(filter($C$5:$C1123,$B$5:$B1123=E693))"),"")</f>
        <v/>
      </c>
      <c r="G693" s="203" t="str">
        <f ca="1">IFERROR(__xludf.DUMMYFUNCTION("unique(filter($D$5:$D1123,$B$5:$B1123=E693))"),"")</f>
        <v/>
      </c>
      <c r="K693" s="48"/>
      <c r="M693" s="205" t="s">
        <v>3004</v>
      </c>
    </row>
    <row r="694" spans="2:13" ht="15.75" customHeight="1" x14ac:dyDescent="0.2">
      <c r="B694" s="46"/>
      <c r="E694" s="71"/>
      <c r="F694" s="71" t="str">
        <f ca="1">IFERROR(__xludf.DUMMYFUNCTION("unique(filter($C$5:$C1123,$B$5:$B1123=E694))"),"")</f>
        <v/>
      </c>
      <c r="G694" s="203" t="str">
        <f ca="1">IFERROR(__xludf.DUMMYFUNCTION("unique(filter($D$5:$D1123,$B$5:$B1123=E694))"),"")</f>
        <v/>
      </c>
      <c r="K694" s="48"/>
      <c r="M694" s="205" t="s">
        <v>3005</v>
      </c>
    </row>
    <row r="695" spans="2:13" ht="15.75" customHeight="1" x14ac:dyDescent="0.2">
      <c r="B695" s="46"/>
      <c r="E695" s="71"/>
      <c r="F695" s="71" t="str">
        <f ca="1">IFERROR(__xludf.DUMMYFUNCTION("unique(filter($C$5:$C1123,$B$5:$B1123=E695))"),"")</f>
        <v/>
      </c>
      <c r="G695" s="203" t="str">
        <f ca="1">IFERROR(__xludf.DUMMYFUNCTION("unique(filter($D$5:$D1123,$B$5:$B1123=E695))"),"")</f>
        <v/>
      </c>
      <c r="K695" s="48"/>
      <c r="M695" s="205" t="s">
        <v>3006</v>
      </c>
    </row>
    <row r="696" spans="2:13" ht="15.75" customHeight="1" x14ac:dyDescent="0.2">
      <c r="B696" s="46"/>
      <c r="E696" s="71"/>
      <c r="F696" s="71" t="str">
        <f ca="1">IFERROR(__xludf.DUMMYFUNCTION("unique(filter($C$5:$C1123,$B$5:$B1123=E696))"),"")</f>
        <v/>
      </c>
      <c r="G696" s="203" t="str">
        <f ca="1">IFERROR(__xludf.DUMMYFUNCTION("unique(filter($D$5:$D1123,$B$5:$B1123=E696))"),"")</f>
        <v/>
      </c>
      <c r="K696" s="48"/>
      <c r="M696" s="205" t="s">
        <v>3007</v>
      </c>
    </row>
    <row r="697" spans="2:13" ht="15.75" customHeight="1" x14ac:dyDescent="0.2">
      <c r="B697" s="46"/>
      <c r="E697" s="71"/>
      <c r="F697" s="71" t="str">
        <f ca="1">IFERROR(__xludf.DUMMYFUNCTION("unique(filter($C$5:$C1123,$B$5:$B1123=E697))"),"")</f>
        <v/>
      </c>
      <c r="G697" s="203" t="str">
        <f ca="1">IFERROR(__xludf.DUMMYFUNCTION("unique(filter($D$5:$D1123,$B$5:$B1123=E697))"),"")</f>
        <v/>
      </c>
      <c r="K697" s="48"/>
      <c r="M697" s="205" t="s">
        <v>3008</v>
      </c>
    </row>
    <row r="698" spans="2:13" ht="15.75" customHeight="1" x14ac:dyDescent="0.2">
      <c r="B698" s="46"/>
      <c r="E698" s="71"/>
      <c r="F698" s="71" t="str">
        <f ca="1">IFERROR(__xludf.DUMMYFUNCTION("unique(filter($C$5:$C1123,$B$5:$B1123=E698))"),"")</f>
        <v/>
      </c>
      <c r="G698" s="203" t="str">
        <f ca="1">IFERROR(__xludf.DUMMYFUNCTION("unique(filter($D$5:$D1123,$B$5:$B1123=E698))"),"")</f>
        <v/>
      </c>
      <c r="K698" s="48"/>
      <c r="M698" s="205" t="s">
        <v>3009</v>
      </c>
    </row>
    <row r="699" spans="2:13" ht="15.75" customHeight="1" x14ac:dyDescent="0.2">
      <c r="B699" s="46"/>
      <c r="E699" s="71"/>
      <c r="F699" s="71" t="str">
        <f ca="1">IFERROR(__xludf.DUMMYFUNCTION("unique(filter($C$5:$C1123,$B$5:$B1123=E699))"),"")</f>
        <v/>
      </c>
      <c r="G699" s="203" t="str">
        <f ca="1">IFERROR(__xludf.DUMMYFUNCTION("unique(filter($D$5:$D1123,$B$5:$B1123=E699))"),"")</f>
        <v/>
      </c>
      <c r="K699" s="48"/>
      <c r="M699" s="205" t="s">
        <v>3010</v>
      </c>
    </row>
    <row r="700" spans="2:13" ht="15.75" customHeight="1" x14ac:dyDescent="0.2">
      <c r="B700" s="46"/>
      <c r="E700" s="71"/>
      <c r="F700" s="71" t="str">
        <f ca="1">IFERROR(__xludf.DUMMYFUNCTION("unique(filter($C$5:$C1123,$B$5:$B1123=E700))"),"")</f>
        <v/>
      </c>
      <c r="G700" s="203" t="str">
        <f ca="1">IFERROR(__xludf.DUMMYFUNCTION("unique(filter($D$5:$D1123,$B$5:$B1123=E700))"),"")</f>
        <v/>
      </c>
      <c r="K700" s="48"/>
      <c r="M700" s="205" t="s">
        <v>3011</v>
      </c>
    </row>
    <row r="701" spans="2:13" ht="15.75" customHeight="1" x14ac:dyDescent="0.2">
      <c r="B701" s="46"/>
      <c r="E701" s="71"/>
      <c r="F701" s="71" t="str">
        <f ca="1">IFERROR(__xludf.DUMMYFUNCTION("unique(filter($C$5:$C1123,$B$5:$B1123=E701))"),"")</f>
        <v/>
      </c>
      <c r="G701" s="203" t="str">
        <f ca="1">IFERROR(__xludf.DUMMYFUNCTION("unique(filter($D$5:$D1123,$B$5:$B1123=E701))"),"")</f>
        <v/>
      </c>
      <c r="K701" s="48"/>
      <c r="M701" s="205" t="s">
        <v>3012</v>
      </c>
    </row>
    <row r="702" spans="2:13" ht="15.75" customHeight="1" x14ac:dyDescent="0.2">
      <c r="B702" s="46"/>
      <c r="E702" s="71"/>
      <c r="F702" s="71" t="str">
        <f ca="1">IFERROR(__xludf.DUMMYFUNCTION("unique(filter($C$5:$C1123,$B$5:$B1123=E702))"),"")</f>
        <v/>
      </c>
      <c r="G702" s="203" t="str">
        <f ca="1">IFERROR(__xludf.DUMMYFUNCTION("unique(filter($D$5:$D1123,$B$5:$B1123=E702))"),"")</f>
        <v/>
      </c>
      <c r="K702" s="48"/>
      <c r="M702" s="205" t="s">
        <v>3013</v>
      </c>
    </row>
    <row r="703" spans="2:13" ht="15.75" customHeight="1" x14ac:dyDescent="0.2">
      <c r="B703" s="46"/>
      <c r="E703" s="71"/>
      <c r="F703" s="71" t="str">
        <f ca="1">IFERROR(__xludf.DUMMYFUNCTION("unique(filter($C$5:$C1123,$B$5:$B1123=E703))"),"")</f>
        <v/>
      </c>
      <c r="G703" s="203" t="str">
        <f ca="1">IFERROR(__xludf.DUMMYFUNCTION("unique(filter($D$5:$D1123,$B$5:$B1123=E703))"),"")</f>
        <v/>
      </c>
      <c r="K703" s="48"/>
      <c r="M703" s="205" t="s">
        <v>3014</v>
      </c>
    </row>
    <row r="704" spans="2:13" ht="15.75" customHeight="1" x14ac:dyDescent="0.2">
      <c r="B704" s="46"/>
      <c r="E704" s="71"/>
      <c r="F704" s="71" t="str">
        <f ca="1">IFERROR(__xludf.DUMMYFUNCTION("unique(filter($C$5:$C1123,$B$5:$B1123=E704))"),"")</f>
        <v/>
      </c>
      <c r="G704" s="203" t="str">
        <f ca="1">IFERROR(__xludf.DUMMYFUNCTION("unique(filter($D$5:$D1123,$B$5:$B1123=E704))"),"")</f>
        <v/>
      </c>
      <c r="K704" s="48"/>
      <c r="M704" s="205" t="s">
        <v>67</v>
      </c>
    </row>
    <row r="705" spans="2:13" ht="15.75" customHeight="1" x14ac:dyDescent="0.2">
      <c r="B705" s="46"/>
      <c r="E705" s="71"/>
      <c r="F705" s="71" t="str">
        <f ca="1">IFERROR(__xludf.DUMMYFUNCTION("unique(filter($C$5:$C1123,$B$5:$B1123=E705))"),"")</f>
        <v/>
      </c>
      <c r="G705" s="203" t="str">
        <f ca="1">IFERROR(__xludf.DUMMYFUNCTION("unique(filter($D$5:$D1123,$B$5:$B1123=E705))"),"")</f>
        <v/>
      </c>
      <c r="K705" s="48"/>
      <c r="M705" s="205" t="s">
        <v>3015</v>
      </c>
    </row>
    <row r="706" spans="2:13" ht="15.75" customHeight="1" x14ac:dyDescent="0.2">
      <c r="B706" s="46"/>
      <c r="E706" s="71"/>
      <c r="F706" s="71" t="str">
        <f ca="1">IFERROR(__xludf.DUMMYFUNCTION("unique(filter($C$5:$C1123,$B$5:$B1123=E706))"),"")</f>
        <v/>
      </c>
      <c r="G706" s="203" t="str">
        <f ca="1">IFERROR(__xludf.DUMMYFUNCTION("unique(filter($D$5:$D1123,$B$5:$B1123=E706))"),"")</f>
        <v/>
      </c>
      <c r="K706" s="48"/>
      <c r="M706" s="205" t="s">
        <v>3016</v>
      </c>
    </row>
    <row r="707" spans="2:13" ht="15.75" customHeight="1" x14ac:dyDescent="0.2">
      <c r="B707" s="46"/>
      <c r="E707" s="71"/>
      <c r="F707" s="71" t="str">
        <f ca="1">IFERROR(__xludf.DUMMYFUNCTION("unique(filter($C$5:$C1123,$B$5:$B1123=E707))"),"")</f>
        <v/>
      </c>
      <c r="G707" s="203" t="str">
        <f ca="1">IFERROR(__xludf.DUMMYFUNCTION("unique(filter($D$5:$D1123,$B$5:$B1123=E707))"),"")</f>
        <v/>
      </c>
      <c r="K707" s="48"/>
      <c r="M707" s="205" t="s">
        <v>3017</v>
      </c>
    </row>
    <row r="708" spans="2:13" ht="15.75" customHeight="1" x14ac:dyDescent="0.2">
      <c r="B708" s="46"/>
      <c r="E708" s="71"/>
      <c r="F708" s="71" t="str">
        <f ca="1">IFERROR(__xludf.DUMMYFUNCTION("unique(filter($C$5:$C1123,$B$5:$B1123=E708))"),"")</f>
        <v/>
      </c>
      <c r="G708" s="203" t="str">
        <f ca="1">IFERROR(__xludf.DUMMYFUNCTION("unique(filter($D$5:$D1123,$B$5:$B1123=E708))"),"")</f>
        <v/>
      </c>
      <c r="K708" s="48"/>
      <c r="M708" s="205" t="s">
        <v>3018</v>
      </c>
    </row>
    <row r="709" spans="2:13" ht="15.75" customHeight="1" x14ac:dyDescent="0.2">
      <c r="B709" s="46"/>
      <c r="E709" s="71"/>
      <c r="F709" s="71" t="str">
        <f ca="1">IFERROR(__xludf.DUMMYFUNCTION("unique(filter($C$5:$C1123,$B$5:$B1123=E709))"),"")</f>
        <v/>
      </c>
      <c r="G709" s="203" t="str">
        <f ca="1">IFERROR(__xludf.DUMMYFUNCTION("unique(filter($D$5:$D1123,$B$5:$B1123=E709))"),"")</f>
        <v/>
      </c>
      <c r="K709" s="48"/>
      <c r="M709" s="205" t="s">
        <v>3019</v>
      </c>
    </row>
    <row r="710" spans="2:13" ht="15.75" customHeight="1" x14ac:dyDescent="0.2">
      <c r="B710" s="46"/>
      <c r="E710" s="71"/>
      <c r="F710" s="71" t="str">
        <f ca="1">IFERROR(__xludf.DUMMYFUNCTION("unique(filter($C$5:$C1123,$B$5:$B1123=E710))"),"")</f>
        <v/>
      </c>
      <c r="G710" s="203" t="str">
        <f ca="1">IFERROR(__xludf.DUMMYFUNCTION("unique(filter($D$5:$D1123,$B$5:$B1123=E710))"),"")</f>
        <v/>
      </c>
      <c r="K710" s="48"/>
      <c r="M710" s="205" t="s">
        <v>3020</v>
      </c>
    </row>
    <row r="711" spans="2:13" ht="15.75" customHeight="1" x14ac:dyDescent="0.2">
      <c r="B711" s="46"/>
      <c r="E711" s="71"/>
      <c r="F711" s="71" t="str">
        <f ca="1">IFERROR(__xludf.DUMMYFUNCTION("unique(filter($C$5:$C1123,$B$5:$B1123=E711))"),"")</f>
        <v/>
      </c>
      <c r="G711" s="203" t="str">
        <f ca="1">IFERROR(__xludf.DUMMYFUNCTION("unique(filter($D$5:$D1123,$B$5:$B1123=E711))"),"")</f>
        <v/>
      </c>
      <c r="K711" s="48"/>
      <c r="M711" s="205" t="s">
        <v>3021</v>
      </c>
    </row>
    <row r="712" spans="2:13" ht="15.75" customHeight="1" x14ac:dyDescent="0.2">
      <c r="B712" s="46"/>
      <c r="E712" s="71"/>
      <c r="F712" s="71" t="str">
        <f ca="1">IFERROR(__xludf.DUMMYFUNCTION("unique(filter($C$5:$C1123,$B$5:$B1123=E712))"),"")</f>
        <v/>
      </c>
      <c r="G712" s="203" t="str">
        <f ca="1">IFERROR(__xludf.DUMMYFUNCTION("unique(filter($D$5:$D1123,$B$5:$B1123=E712))"),"")</f>
        <v/>
      </c>
      <c r="K712" s="48"/>
      <c r="M712" s="205" t="s">
        <v>3022</v>
      </c>
    </row>
    <row r="713" spans="2:13" ht="15.75" customHeight="1" x14ac:dyDescent="0.2">
      <c r="B713" s="46"/>
      <c r="E713" s="71"/>
      <c r="F713" s="71" t="str">
        <f ca="1">IFERROR(__xludf.DUMMYFUNCTION("unique(filter($C$5:$C1123,$B$5:$B1123=E713))"),"")</f>
        <v/>
      </c>
      <c r="G713" s="203" t="str">
        <f ca="1">IFERROR(__xludf.DUMMYFUNCTION("unique(filter($D$5:$D1123,$B$5:$B1123=E713))"),"")</f>
        <v/>
      </c>
      <c r="K713" s="48"/>
      <c r="M713" s="205" t="s">
        <v>3023</v>
      </c>
    </row>
    <row r="714" spans="2:13" ht="15.75" customHeight="1" x14ac:dyDescent="0.2">
      <c r="B714" s="46"/>
      <c r="E714" s="71"/>
      <c r="F714" s="71" t="str">
        <f ca="1">IFERROR(__xludf.DUMMYFUNCTION("unique(filter($C$5:$C1123,$B$5:$B1123=E714))"),"")</f>
        <v/>
      </c>
      <c r="G714" s="203" t="str">
        <f ca="1">IFERROR(__xludf.DUMMYFUNCTION("unique(filter($D$5:$D1123,$B$5:$B1123=E714))"),"")</f>
        <v/>
      </c>
      <c r="K714" s="48"/>
      <c r="M714" s="205" t="s">
        <v>3024</v>
      </c>
    </row>
    <row r="715" spans="2:13" ht="15.75" customHeight="1" x14ac:dyDescent="0.2">
      <c r="B715" s="46"/>
      <c r="E715" s="71"/>
      <c r="F715" s="71" t="str">
        <f ca="1">IFERROR(__xludf.DUMMYFUNCTION("unique(filter($C$5:$C1123,$B$5:$B1123=E715))"),"")</f>
        <v/>
      </c>
      <c r="G715" s="203" t="str">
        <f ca="1">IFERROR(__xludf.DUMMYFUNCTION("unique(filter($D$5:$D1123,$B$5:$B1123=E715))"),"")</f>
        <v/>
      </c>
      <c r="K715" s="48"/>
      <c r="M715" s="205" t="s">
        <v>3025</v>
      </c>
    </row>
    <row r="716" spans="2:13" ht="15.75" customHeight="1" x14ac:dyDescent="0.2">
      <c r="B716" s="46"/>
      <c r="E716" s="71"/>
      <c r="F716" s="71" t="str">
        <f ca="1">IFERROR(__xludf.DUMMYFUNCTION("unique(filter($C$5:$C1123,$B$5:$B1123=E716))"),"")</f>
        <v/>
      </c>
      <c r="G716" s="203" t="str">
        <f ca="1">IFERROR(__xludf.DUMMYFUNCTION("unique(filter($D$5:$D1123,$B$5:$B1123=E716))"),"")</f>
        <v/>
      </c>
      <c r="K716" s="48"/>
      <c r="M716" s="205" t="s">
        <v>3026</v>
      </c>
    </row>
    <row r="717" spans="2:13" ht="15.75" customHeight="1" x14ac:dyDescent="0.2">
      <c r="B717" s="46"/>
      <c r="E717" s="71"/>
      <c r="F717" s="71" t="str">
        <f ca="1">IFERROR(__xludf.DUMMYFUNCTION("unique(filter($C$5:$C1123,$B$5:$B1123=E717))"),"")</f>
        <v/>
      </c>
      <c r="G717" s="203" t="str">
        <f ca="1">IFERROR(__xludf.DUMMYFUNCTION("unique(filter($D$5:$D1123,$B$5:$B1123=E717))"),"")</f>
        <v/>
      </c>
      <c r="K717" s="48"/>
      <c r="M717" s="205" t="s">
        <v>3027</v>
      </c>
    </row>
    <row r="718" spans="2:13" ht="15.75" customHeight="1" x14ac:dyDescent="0.2">
      <c r="B718" s="46"/>
      <c r="E718" s="71"/>
      <c r="F718" s="71" t="str">
        <f ca="1">IFERROR(__xludf.DUMMYFUNCTION("unique(filter($C$5:$C1123,$B$5:$B1123=E718))"),"")</f>
        <v/>
      </c>
      <c r="G718" s="203" t="str">
        <f ca="1">IFERROR(__xludf.DUMMYFUNCTION("unique(filter($D$5:$D1123,$B$5:$B1123=E718))"),"")</f>
        <v/>
      </c>
      <c r="K718" s="48"/>
      <c r="M718" s="205" t="s">
        <v>3028</v>
      </c>
    </row>
    <row r="719" spans="2:13" ht="15.75" customHeight="1" x14ac:dyDescent="0.2">
      <c r="B719" s="46"/>
      <c r="E719" s="71"/>
      <c r="F719" s="71" t="str">
        <f ca="1">IFERROR(__xludf.DUMMYFUNCTION("unique(filter($C$5:$C1123,$B$5:$B1123=E719))"),"")</f>
        <v/>
      </c>
      <c r="G719" s="203" t="str">
        <f ca="1">IFERROR(__xludf.DUMMYFUNCTION("unique(filter($D$5:$D1123,$B$5:$B1123=E719))"),"")</f>
        <v/>
      </c>
      <c r="K719" s="48"/>
      <c r="M719" s="205" t="s">
        <v>3029</v>
      </c>
    </row>
    <row r="720" spans="2:13" ht="15.75" customHeight="1" x14ac:dyDescent="0.2">
      <c r="B720" s="46"/>
      <c r="E720" s="71"/>
      <c r="F720" s="71" t="str">
        <f ca="1">IFERROR(__xludf.DUMMYFUNCTION("unique(filter($C$5:$C1123,$B$5:$B1123=E720))"),"")</f>
        <v/>
      </c>
      <c r="G720" s="203" t="str">
        <f ca="1">IFERROR(__xludf.DUMMYFUNCTION("unique(filter($D$5:$D1123,$B$5:$B1123=E720))"),"")</f>
        <v/>
      </c>
      <c r="K720" s="48"/>
      <c r="M720" s="205" t="s">
        <v>3030</v>
      </c>
    </row>
    <row r="721" spans="2:13" ht="15.75" customHeight="1" x14ac:dyDescent="0.2">
      <c r="B721" s="46"/>
      <c r="E721" s="71"/>
      <c r="F721" s="71" t="str">
        <f ca="1">IFERROR(__xludf.DUMMYFUNCTION("unique(filter($C$5:$C1123,$B$5:$B1123=E721))"),"")</f>
        <v/>
      </c>
      <c r="G721" s="203" t="str">
        <f ca="1">IFERROR(__xludf.DUMMYFUNCTION("unique(filter($D$5:$D1123,$B$5:$B1123=E721))"),"")</f>
        <v/>
      </c>
      <c r="K721" s="48"/>
      <c r="M721" s="205" t="s">
        <v>3031</v>
      </c>
    </row>
    <row r="722" spans="2:13" ht="15.75" customHeight="1" x14ac:dyDescent="0.2">
      <c r="B722" s="46"/>
      <c r="E722" s="71"/>
      <c r="F722" s="71" t="str">
        <f ca="1">IFERROR(__xludf.DUMMYFUNCTION("unique(filter($C$5:$C1123,$B$5:$B1123=E722))"),"")</f>
        <v/>
      </c>
      <c r="G722" s="203" t="str">
        <f ca="1">IFERROR(__xludf.DUMMYFUNCTION("unique(filter($D$5:$D1123,$B$5:$B1123=E722))"),"")</f>
        <v/>
      </c>
      <c r="K722" s="48"/>
      <c r="M722" s="205" t="s">
        <v>3032</v>
      </c>
    </row>
    <row r="723" spans="2:13" ht="15.75" customHeight="1" x14ac:dyDescent="0.2">
      <c r="B723" s="46"/>
      <c r="E723" s="71"/>
      <c r="F723" s="71" t="str">
        <f ca="1">IFERROR(__xludf.DUMMYFUNCTION("unique(filter($C$5:$C1123,$B$5:$B1123=E723))"),"")</f>
        <v/>
      </c>
      <c r="G723" s="203" t="str">
        <f ca="1">IFERROR(__xludf.DUMMYFUNCTION("unique(filter($D$5:$D1123,$B$5:$B1123=E723))"),"")</f>
        <v/>
      </c>
      <c r="K723" s="48"/>
      <c r="M723" s="205" t="s">
        <v>3033</v>
      </c>
    </row>
    <row r="724" spans="2:13" ht="15.75" customHeight="1" x14ac:dyDescent="0.2">
      <c r="B724" s="46"/>
      <c r="E724" s="71"/>
      <c r="F724" s="71" t="str">
        <f ca="1">IFERROR(__xludf.DUMMYFUNCTION("unique(filter($C$5:$C1123,$B$5:$B1123=E724))"),"")</f>
        <v/>
      </c>
      <c r="G724" s="203" t="str">
        <f ca="1">IFERROR(__xludf.DUMMYFUNCTION("unique(filter($D$5:$D1123,$B$5:$B1123=E724))"),"")</f>
        <v/>
      </c>
      <c r="K724" s="48"/>
      <c r="M724" s="205" t="s">
        <v>3034</v>
      </c>
    </row>
    <row r="725" spans="2:13" ht="15.75" customHeight="1" x14ac:dyDescent="0.2">
      <c r="B725" s="46"/>
      <c r="E725" s="71"/>
      <c r="F725" s="71" t="str">
        <f ca="1">IFERROR(__xludf.DUMMYFUNCTION("unique(filter($C$5:$C1123,$B$5:$B1123=E725))"),"")</f>
        <v/>
      </c>
      <c r="G725" s="203" t="str">
        <f ca="1">IFERROR(__xludf.DUMMYFUNCTION("unique(filter($D$5:$D1123,$B$5:$B1123=E725))"),"")</f>
        <v/>
      </c>
      <c r="K725" s="48"/>
      <c r="M725" s="205" t="s">
        <v>3035</v>
      </c>
    </row>
    <row r="726" spans="2:13" ht="15.75" customHeight="1" x14ac:dyDescent="0.2">
      <c r="B726" s="46"/>
      <c r="E726" s="71"/>
      <c r="F726" s="71" t="str">
        <f ca="1">IFERROR(__xludf.DUMMYFUNCTION("unique(filter($C$5:$C1123,$B$5:$B1123=E726))"),"")</f>
        <v/>
      </c>
      <c r="G726" s="203" t="str">
        <f ca="1">IFERROR(__xludf.DUMMYFUNCTION("unique(filter($D$5:$D1123,$B$5:$B1123=E726))"),"")</f>
        <v/>
      </c>
      <c r="K726" s="48"/>
      <c r="M726" s="205" t="s">
        <v>3036</v>
      </c>
    </row>
    <row r="727" spans="2:13" ht="15.75" customHeight="1" x14ac:dyDescent="0.2">
      <c r="B727" s="46"/>
      <c r="E727" s="71"/>
      <c r="F727" s="71" t="str">
        <f ca="1">IFERROR(__xludf.DUMMYFUNCTION("unique(filter($C$5:$C1123,$B$5:$B1123=E727))"),"")</f>
        <v/>
      </c>
      <c r="G727" s="203" t="str">
        <f ca="1">IFERROR(__xludf.DUMMYFUNCTION("unique(filter($D$5:$D1123,$B$5:$B1123=E727))"),"")</f>
        <v/>
      </c>
      <c r="K727" s="48"/>
      <c r="M727" s="205" t="s">
        <v>3037</v>
      </c>
    </row>
    <row r="728" spans="2:13" ht="15.75" customHeight="1" x14ac:dyDescent="0.2">
      <c r="B728" s="46"/>
      <c r="E728" s="71"/>
      <c r="F728" s="71" t="str">
        <f ca="1">IFERROR(__xludf.DUMMYFUNCTION("unique(filter($C$5:$C1123,$B$5:$B1123=E728))"),"")</f>
        <v/>
      </c>
      <c r="G728" s="203" t="str">
        <f ca="1">IFERROR(__xludf.DUMMYFUNCTION("unique(filter($D$5:$D1123,$B$5:$B1123=E728))"),"")</f>
        <v/>
      </c>
      <c r="K728" s="48"/>
      <c r="M728" s="205" t="s">
        <v>3038</v>
      </c>
    </row>
    <row r="729" spans="2:13" ht="15.75" customHeight="1" x14ac:dyDescent="0.2">
      <c r="B729" s="46"/>
      <c r="E729" s="71"/>
      <c r="F729" s="71" t="str">
        <f ca="1">IFERROR(__xludf.DUMMYFUNCTION("unique(filter($C$5:$C1123,$B$5:$B1123=E729))"),"")</f>
        <v/>
      </c>
      <c r="G729" s="203" t="str">
        <f ca="1">IFERROR(__xludf.DUMMYFUNCTION("unique(filter($D$5:$D1123,$B$5:$B1123=E729))"),"")</f>
        <v/>
      </c>
      <c r="K729" s="48"/>
      <c r="M729" s="205" t="s">
        <v>3039</v>
      </c>
    </row>
    <row r="730" spans="2:13" ht="15.75" customHeight="1" x14ac:dyDescent="0.2">
      <c r="B730" s="46"/>
      <c r="E730" s="71"/>
      <c r="F730" s="71" t="str">
        <f ca="1">IFERROR(__xludf.DUMMYFUNCTION("unique(filter($C$5:$C1123,$B$5:$B1123=E730))"),"")</f>
        <v/>
      </c>
      <c r="G730" s="203" t="str">
        <f ca="1">IFERROR(__xludf.DUMMYFUNCTION("unique(filter($D$5:$D1123,$B$5:$B1123=E730))"),"")</f>
        <v/>
      </c>
      <c r="K730" s="48"/>
      <c r="M730" s="205" t="s">
        <v>3040</v>
      </c>
    </row>
    <row r="731" spans="2:13" ht="15.75" customHeight="1" x14ac:dyDescent="0.2">
      <c r="B731" s="46"/>
      <c r="E731" s="71"/>
      <c r="F731" s="71" t="str">
        <f ca="1">IFERROR(__xludf.DUMMYFUNCTION("unique(filter($C$5:$C1123,$B$5:$B1123=E731))"),"")</f>
        <v/>
      </c>
      <c r="G731" s="203" t="str">
        <f ca="1">IFERROR(__xludf.DUMMYFUNCTION("unique(filter($D$5:$D1123,$B$5:$B1123=E731))"),"")</f>
        <v/>
      </c>
      <c r="K731" s="48"/>
      <c r="M731" s="205" t="s">
        <v>3041</v>
      </c>
    </row>
    <row r="732" spans="2:13" ht="15.75" customHeight="1" x14ac:dyDescent="0.2">
      <c r="B732" s="46"/>
      <c r="E732" s="71"/>
      <c r="F732" s="71" t="str">
        <f ca="1">IFERROR(__xludf.DUMMYFUNCTION("unique(filter($C$5:$C1123,$B$5:$B1123=E732))"),"")</f>
        <v/>
      </c>
      <c r="G732" s="203" t="str">
        <f ca="1">IFERROR(__xludf.DUMMYFUNCTION("unique(filter($D$5:$D1123,$B$5:$B1123=E732))"),"")</f>
        <v/>
      </c>
      <c r="K732" s="48"/>
      <c r="M732" s="205" t="s">
        <v>3042</v>
      </c>
    </row>
    <row r="733" spans="2:13" ht="15.75" customHeight="1" x14ac:dyDescent="0.2">
      <c r="B733" s="46"/>
      <c r="E733" s="71"/>
      <c r="F733" s="71" t="str">
        <f ca="1">IFERROR(__xludf.DUMMYFUNCTION("unique(filter($C$5:$C1123,$B$5:$B1123=E733))"),"")</f>
        <v/>
      </c>
      <c r="G733" s="203" t="str">
        <f ca="1">IFERROR(__xludf.DUMMYFUNCTION("unique(filter($D$5:$D1123,$B$5:$B1123=E733))"),"")</f>
        <v/>
      </c>
      <c r="K733" s="48"/>
      <c r="M733" s="205" t="s">
        <v>3043</v>
      </c>
    </row>
    <row r="734" spans="2:13" ht="15.75" customHeight="1" x14ac:dyDescent="0.2">
      <c r="B734" s="46"/>
      <c r="E734" s="71"/>
      <c r="F734" s="71" t="str">
        <f ca="1">IFERROR(__xludf.DUMMYFUNCTION("unique(filter($C$5:$C1123,$B$5:$B1123=E734))"),"")</f>
        <v/>
      </c>
      <c r="G734" s="203" t="str">
        <f ca="1">IFERROR(__xludf.DUMMYFUNCTION("unique(filter($D$5:$D1123,$B$5:$B1123=E734))"),"")</f>
        <v/>
      </c>
      <c r="K734" s="48"/>
      <c r="M734" s="205" t="s">
        <v>3044</v>
      </c>
    </row>
    <row r="735" spans="2:13" ht="15.75" customHeight="1" x14ac:dyDescent="0.2">
      <c r="B735" s="46"/>
      <c r="E735" s="71"/>
      <c r="F735" s="71" t="str">
        <f ca="1">IFERROR(__xludf.DUMMYFUNCTION("unique(filter($C$5:$C1123,$B$5:$B1123=E735))"),"")</f>
        <v/>
      </c>
      <c r="G735" s="203" t="str">
        <f ca="1">IFERROR(__xludf.DUMMYFUNCTION("unique(filter($D$5:$D1123,$B$5:$B1123=E735))"),"")</f>
        <v/>
      </c>
      <c r="K735" s="48"/>
      <c r="M735" s="205" t="s">
        <v>3045</v>
      </c>
    </row>
    <row r="736" spans="2:13" ht="15.75" customHeight="1" x14ac:dyDescent="0.2">
      <c r="B736" s="46"/>
      <c r="E736" s="71"/>
      <c r="F736" s="71" t="str">
        <f ca="1">IFERROR(__xludf.DUMMYFUNCTION("unique(filter($C$5:$C1123,$B$5:$B1123=E736))"),"")</f>
        <v/>
      </c>
      <c r="G736" s="203" t="str">
        <f ca="1">IFERROR(__xludf.DUMMYFUNCTION("unique(filter($D$5:$D1123,$B$5:$B1123=E736))"),"")</f>
        <v/>
      </c>
      <c r="K736" s="48"/>
      <c r="M736" s="205" t="s">
        <v>3046</v>
      </c>
    </row>
    <row r="737" spans="2:13" ht="15.75" customHeight="1" x14ac:dyDescent="0.2">
      <c r="B737" s="46"/>
      <c r="E737" s="71"/>
      <c r="F737" s="71" t="str">
        <f ca="1">IFERROR(__xludf.DUMMYFUNCTION("unique(filter($C$5:$C1123,$B$5:$B1123=E737))"),"")</f>
        <v/>
      </c>
      <c r="G737" s="203" t="str">
        <f ca="1">IFERROR(__xludf.DUMMYFUNCTION("unique(filter($D$5:$D1123,$B$5:$B1123=E737))"),"")</f>
        <v/>
      </c>
      <c r="K737" s="48"/>
      <c r="M737" s="205" t="s">
        <v>3047</v>
      </c>
    </row>
    <row r="738" spans="2:13" ht="15.75" customHeight="1" x14ac:dyDescent="0.2">
      <c r="B738" s="46"/>
      <c r="E738" s="71"/>
      <c r="F738" s="71" t="str">
        <f ca="1">IFERROR(__xludf.DUMMYFUNCTION("unique(filter($C$5:$C1123,$B$5:$B1123=E738))"),"")</f>
        <v/>
      </c>
      <c r="G738" s="203" t="str">
        <f ca="1">IFERROR(__xludf.DUMMYFUNCTION("unique(filter($D$5:$D1123,$B$5:$B1123=E738))"),"")</f>
        <v/>
      </c>
      <c r="K738" s="48"/>
      <c r="M738" s="205" t="s">
        <v>3048</v>
      </c>
    </row>
    <row r="739" spans="2:13" ht="15.75" customHeight="1" x14ac:dyDescent="0.2">
      <c r="B739" s="46"/>
      <c r="E739" s="71"/>
      <c r="F739" s="71" t="str">
        <f ca="1">IFERROR(__xludf.DUMMYFUNCTION("unique(filter($C$5:$C1123,$B$5:$B1123=E739))"),"")</f>
        <v/>
      </c>
      <c r="G739" s="203" t="str">
        <f ca="1">IFERROR(__xludf.DUMMYFUNCTION("unique(filter($D$5:$D1123,$B$5:$B1123=E739))"),"")</f>
        <v/>
      </c>
      <c r="K739" s="48"/>
      <c r="M739" s="205" t="s">
        <v>3049</v>
      </c>
    </row>
    <row r="740" spans="2:13" ht="15.75" customHeight="1" x14ac:dyDescent="0.2">
      <c r="B740" s="46"/>
      <c r="E740" s="71"/>
      <c r="F740" s="71" t="str">
        <f ca="1">IFERROR(__xludf.DUMMYFUNCTION("unique(filter($C$5:$C1123,$B$5:$B1123=E740))"),"")</f>
        <v/>
      </c>
      <c r="G740" s="203" t="str">
        <f ca="1">IFERROR(__xludf.DUMMYFUNCTION("unique(filter($D$5:$D1123,$B$5:$B1123=E740))"),"")</f>
        <v/>
      </c>
      <c r="K740" s="48"/>
      <c r="M740" s="205" t="s">
        <v>3050</v>
      </c>
    </row>
    <row r="741" spans="2:13" ht="15.75" customHeight="1" x14ac:dyDescent="0.2">
      <c r="B741" s="46"/>
      <c r="E741" s="71"/>
      <c r="F741" s="71" t="str">
        <f ca="1">IFERROR(__xludf.DUMMYFUNCTION("unique(filter($C$5:$C1123,$B$5:$B1123=E741))"),"")</f>
        <v/>
      </c>
      <c r="G741" s="203" t="str">
        <f ca="1">IFERROR(__xludf.DUMMYFUNCTION("unique(filter($D$5:$D1123,$B$5:$B1123=E741))"),"")</f>
        <v/>
      </c>
      <c r="K741" s="48"/>
      <c r="M741" s="205" t="s">
        <v>3051</v>
      </c>
    </row>
    <row r="742" spans="2:13" ht="15.75" customHeight="1" x14ac:dyDescent="0.2">
      <c r="B742" s="46"/>
      <c r="E742" s="71"/>
      <c r="F742" s="71" t="str">
        <f ca="1">IFERROR(__xludf.DUMMYFUNCTION("unique(filter($C$5:$C1123,$B$5:$B1123=E742))"),"")</f>
        <v/>
      </c>
      <c r="G742" s="203" t="str">
        <f ca="1">IFERROR(__xludf.DUMMYFUNCTION("unique(filter($D$5:$D1123,$B$5:$B1123=E742))"),"")</f>
        <v/>
      </c>
      <c r="K742" s="48"/>
      <c r="M742" s="205" t="s">
        <v>3052</v>
      </c>
    </row>
    <row r="743" spans="2:13" ht="15.75" customHeight="1" x14ac:dyDescent="0.2">
      <c r="B743" s="46"/>
      <c r="E743" s="71"/>
      <c r="F743" s="71" t="str">
        <f ca="1">IFERROR(__xludf.DUMMYFUNCTION("unique(filter($C$5:$C1123,$B$5:$B1123=E743))"),"")</f>
        <v/>
      </c>
      <c r="G743" s="203" t="str">
        <f ca="1">IFERROR(__xludf.DUMMYFUNCTION("unique(filter($D$5:$D1123,$B$5:$B1123=E743))"),"")</f>
        <v/>
      </c>
      <c r="K743" s="48"/>
      <c r="M743" s="205" t="s">
        <v>3053</v>
      </c>
    </row>
    <row r="744" spans="2:13" ht="15.75" customHeight="1" x14ac:dyDescent="0.2">
      <c r="B744" s="46"/>
      <c r="E744" s="71"/>
      <c r="F744" s="71" t="str">
        <f ca="1">IFERROR(__xludf.DUMMYFUNCTION("unique(filter($C$5:$C1123,$B$5:$B1123=E744))"),"")</f>
        <v/>
      </c>
      <c r="G744" s="203" t="str">
        <f ca="1">IFERROR(__xludf.DUMMYFUNCTION("unique(filter($D$5:$D1123,$B$5:$B1123=E744))"),"")</f>
        <v/>
      </c>
      <c r="K744" s="48"/>
      <c r="M744" s="205" t="s">
        <v>3054</v>
      </c>
    </row>
    <row r="745" spans="2:13" ht="15.75" customHeight="1" x14ac:dyDescent="0.2">
      <c r="B745" s="46"/>
      <c r="E745" s="71"/>
      <c r="F745" s="71" t="str">
        <f ca="1">IFERROR(__xludf.DUMMYFUNCTION("unique(filter($C$5:$C1123,$B$5:$B1123=E745))"),"")</f>
        <v/>
      </c>
      <c r="G745" s="203" t="str">
        <f ca="1">IFERROR(__xludf.DUMMYFUNCTION("unique(filter($D$5:$D1123,$B$5:$B1123=E745))"),"")</f>
        <v/>
      </c>
      <c r="K745" s="48"/>
      <c r="M745" s="205" t="s">
        <v>3055</v>
      </c>
    </row>
    <row r="746" spans="2:13" ht="15.75" customHeight="1" x14ac:dyDescent="0.2">
      <c r="B746" s="46"/>
      <c r="E746" s="71"/>
      <c r="F746" s="71" t="str">
        <f ca="1">IFERROR(__xludf.DUMMYFUNCTION("unique(filter($C$5:$C1123,$B$5:$B1123=E746))"),"")</f>
        <v/>
      </c>
      <c r="G746" s="203" t="str">
        <f ca="1">IFERROR(__xludf.DUMMYFUNCTION("unique(filter($D$5:$D1123,$B$5:$B1123=E746))"),"")</f>
        <v/>
      </c>
      <c r="K746" s="48"/>
      <c r="M746" s="205" t="s">
        <v>3056</v>
      </c>
    </row>
    <row r="747" spans="2:13" ht="15.75" customHeight="1" x14ac:dyDescent="0.2">
      <c r="B747" s="46"/>
      <c r="E747" s="71"/>
      <c r="F747" s="71" t="str">
        <f ca="1">IFERROR(__xludf.DUMMYFUNCTION("unique(filter($C$5:$C1123,$B$5:$B1123=E747))"),"")</f>
        <v/>
      </c>
      <c r="G747" s="203" t="str">
        <f ca="1">IFERROR(__xludf.DUMMYFUNCTION("unique(filter($D$5:$D1123,$B$5:$B1123=E747))"),"")</f>
        <v/>
      </c>
      <c r="K747" s="48"/>
      <c r="M747" s="205" t="s">
        <v>3057</v>
      </c>
    </row>
    <row r="748" spans="2:13" ht="15.75" customHeight="1" x14ac:dyDescent="0.2">
      <c r="B748" s="46"/>
      <c r="E748" s="71"/>
      <c r="F748" s="71" t="str">
        <f ca="1">IFERROR(__xludf.DUMMYFUNCTION("unique(filter($C$5:$C1123,$B$5:$B1123=E748))"),"")</f>
        <v/>
      </c>
      <c r="G748" s="203" t="str">
        <f ca="1">IFERROR(__xludf.DUMMYFUNCTION("unique(filter($D$5:$D1123,$B$5:$B1123=E748))"),"")</f>
        <v/>
      </c>
      <c r="K748" s="48"/>
      <c r="M748" s="205" t="s">
        <v>3058</v>
      </c>
    </row>
    <row r="749" spans="2:13" ht="15.75" customHeight="1" x14ac:dyDescent="0.2">
      <c r="B749" s="46"/>
      <c r="E749" s="71"/>
      <c r="F749" s="71" t="str">
        <f ca="1">IFERROR(__xludf.DUMMYFUNCTION("unique(filter($C$5:$C1123,$B$5:$B1123=E749))"),"")</f>
        <v/>
      </c>
      <c r="G749" s="203" t="str">
        <f ca="1">IFERROR(__xludf.DUMMYFUNCTION("unique(filter($D$5:$D1123,$B$5:$B1123=E749))"),"")</f>
        <v/>
      </c>
      <c r="K749" s="48"/>
      <c r="M749" s="205" t="s">
        <v>3059</v>
      </c>
    </row>
    <row r="750" spans="2:13" ht="15.75" customHeight="1" x14ac:dyDescent="0.2">
      <c r="B750" s="46"/>
      <c r="E750" s="71"/>
      <c r="F750" s="71" t="str">
        <f ca="1">IFERROR(__xludf.DUMMYFUNCTION("unique(filter($C$5:$C1123,$B$5:$B1123=E750))"),"")</f>
        <v/>
      </c>
      <c r="G750" s="203" t="str">
        <f ca="1">IFERROR(__xludf.DUMMYFUNCTION("unique(filter($D$5:$D1123,$B$5:$B1123=E750))"),"")</f>
        <v/>
      </c>
      <c r="K750" s="48"/>
      <c r="M750" s="205" t="s">
        <v>3060</v>
      </c>
    </row>
    <row r="751" spans="2:13" ht="15.75" customHeight="1" x14ac:dyDescent="0.2">
      <c r="B751" s="46"/>
      <c r="E751" s="71"/>
      <c r="F751" s="71" t="str">
        <f ca="1">IFERROR(__xludf.DUMMYFUNCTION("unique(filter($C$5:$C1123,$B$5:$B1123=E751))"),"")</f>
        <v/>
      </c>
      <c r="G751" s="203" t="str">
        <f ca="1">IFERROR(__xludf.DUMMYFUNCTION("unique(filter($D$5:$D1123,$B$5:$B1123=E751))"),"")</f>
        <v/>
      </c>
      <c r="K751" s="48"/>
      <c r="M751" s="205" t="s">
        <v>3061</v>
      </c>
    </row>
    <row r="752" spans="2:13" ht="15.75" customHeight="1" x14ac:dyDescent="0.2">
      <c r="B752" s="46"/>
      <c r="E752" s="71"/>
      <c r="F752" s="71" t="str">
        <f ca="1">IFERROR(__xludf.DUMMYFUNCTION("unique(filter($C$5:$C1123,$B$5:$B1123=E752))"),"")</f>
        <v/>
      </c>
      <c r="G752" s="203" t="str">
        <f ca="1">IFERROR(__xludf.DUMMYFUNCTION("unique(filter($D$5:$D1123,$B$5:$B1123=E752))"),"")</f>
        <v/>
      </c>
      <c r="K752" s="48"/>
      <c r="M752" s="205" t="s">
        <v>3062</v>
      </c>
    </row>
    <row r="753" spans="2:13" ht="15.75" customHeight="1" x14ac:dyDescent="0.2">
      <c r="B753" s="46"/>
      <c r="E753" s="71"/>
      <c r="F753" s="71" t="str">
        <f ca="1">IFERROR(__xludf.DUMMYFUNCTION("unique(filter($C$5:$C1123,$B$5:$B1123=E753))"),"")</f>
        <v/>
      </c>
      <c r="G753" s="203" t="str">
        <f ca="1">IFERROR(__xludf.DUMMYFUNCTION("unique(filter($D$5:$D1123,$B$5:$B1123=E753))"),"")</f>
        <v/>
      </c>
      <c r="K753" s="48"/>
      <c r="M753" s="205" t="s">
        <v>3063</v>
      </c>
    </row>
    <row r="754" spans="2:13" ht="15.75" customHeight="1" x14ac:dyDescent="0.2">
      <c r="B754" s="46"/>
      <c r="E754" s="71"/>
      <c r="F754" s="71" t="str">
        <f ca="1">IFERROR(__xludf.DUMMYFUNCTION("unique(filter($C$5:$C1123,$B$5:$B1123=E754))"),"")</f>
        <v/>
      </c>
      <c r="G754" s="203" t="str">
        <f ca="1">IFERROR(__xludf.DUMMYFUNCTION("unique(filter($D$5:$D1123,$B$5:$B1123=E754))"),"")</f>
        <v/>
      </c>
      <c r="K754" s="48"/>
      <c r="M754" s="205" t="s">
        <v>3064</v>
      </c>
    </row>
    <row r="755" spans="2:13" ht="15.75" customHeight="1" x14ac:dyDescent="0.2">
      <c r="B755" s="46"/>
      <c r="E755" s="71"/>
      <c r="F755" s="71" t="str">
        <f ca="1">IFERROR(__xludf.DUMMYFUNCTION("unique(filter($C$5:$C1123,$B$5:$B1123=E755))"),"")</f>
        <v/>
      </c>
      <c r="G755" s="203" t="str">
        <f ca="1">IFERROR(__xludf.DUMMYFUNCTION("unique(filter($D$5:$D1123,$B$5:$B1123=E755))"),"")</f>
        <v/>
      </c>
      <c r="K755" s="48"/>
      <c r="M755" s="205" t="s">
        <v>3065</v>
      </c>
    </row>
    <row r="756" spans="2:13" ht="15.75" customHeight="1" x14ac:dyDescent="0.2">
      <c r="B756" s="46"/>
      <c r="E756" s="71"/>
      <c r="F756" s="71" t="str">
        <f ca="1">IFERROR(__xludf.DUMMYFUNCTION("unique(filter($C$5:$C1123,$B$5:$B1123=E756))"),"")</f>
        <v/>
      </c>
      <c r="G756" s="203" t="str">
        <f ca="1">IFERROR(__xludf.DUMMYFUNCTION("unique(filter($D$5:$D1123,$B$5:$B1123=E756))"),"")</f>
        <v/>
      </c>
      <c r="K756" s="48"/>
      <c r="M756" s="205" t="s">
        <v>3066</v>
      </c>
    </row>
    <row r="757" spans="2:13" ht="15.75" customHeight="1" x14ac:dyDescent="0.2">
      <c r="B757" s="46"/>
      <c r="E757" s="71"/>
      <c r="F757" s="71" t="str">
        <f ca="1">IFERROR(__xludf.DUMMYFUNCTION("unique(filter($C$5:$C1123,$B$5:$B1123=E757))"),"")</f>
        <v/>
      </c>
      <c r="G757" s="203" t="str">
        <f ca="1">IFERROR(__xludf.DUMMYFUNCTION("unique(filter($D$5:$D1123,$B$5:$B1123=E757))"),"")</f>
        <v/>
      </c>
      <c r="K757" s="48"/>
      <c r="M757" s="205" t="s">
        <v>3067</v>
      </c>
    </row>
    <row r="758" spans="2:13" ht="15.75" customHeight="1" x14ac:dyDescent="0.2">
      <c r="B758" s="46"/>
      <c r="E758" s="71"/>
      <c r="F758" s="71" t="str">
        <f ca="1">IFERROR(__xludf.DUMMYFUNCTION("unique(filter($C$5:$C1123,$B$5:$B1123=E758))"),"")</f>
        <v/>
      </c>
      <c r="G758" s="203" t="str">
        <f ca="1">IFERROR(__xludf.DUMMYFUNCTION("unique(filter($D$5:$D1123,$B$5:$B1123=E758))"),"")</f>
        <v/>
      </c>
      <c r="K758" s="48"/>
      <c r="M758" s="205" t="s">
        <v>3068</v>
      </c>
    </row>
    <row r="759" spans="2:13" ht="15.75" customHeight="1" x14ac:dyDescent="0.2">
      <c r="B759" s="46"/>
      <c r="E759" s="71"/>
      <c r="F759" s="71" t="str">
        <f ca="1">IFERROR(__xludf.DUMMYFUNCTION("unique(filter($C$5:$C1123,$B$5:$B1123=E759))"),"")</f>
        <v/>
      </c>
      <c r="G759" s="203" t="str">
        <f ca="1">IFERROR(__xludf.DUMMYFUNCTION("unique(filter($D$5:$D1123,$B$5:$B1123=E759))"),"")</f>
        <v/>
      </c>
      <c r="K759" s="48"/>
      <c r="M759" s="205" t="s">
        <v>3069</v>
      </c>
    </row>
    <row r="760" spans="2:13" ht="15.75" customHeight="1" x14ac:dyDescent="0.2">
      <c r="B760" s="46"/>
      <c r="E760" s="71"/>
      <c r="F760" s="71" t="str">
        <f ca="1">IFERROR(__xludf.DUMMYFUNCTION("unique(filter($C$5:$C1123,$B$5:$B1123=E760))"),"")</f>
        <v/>
      </c>
      <c r="G760" s="203" t="str">
        <f ca="1">IFERROR(__xludf.DUMMYFUNCTION("unique(filter($D$5:$D1123,$B$5:$B1123=E760))"),"")</f>
        <v/>
      </c>
      <c r="K760" s="48"/>
      <c r="M760" s="205" t="s">
        <v>3070</v>
      </c>
    </row>
    <row r="761" spans="2:13" ht="15.75" customHeight="1" x14ac:dyDescent="0.2">
      <c r="B761" s="46"/>
      <c r="E761" s="71"/>
      <c r="F761" s="71" t="str">
        <f ca="1">IFERROR(__xludf.DUMMYFUNCTION("unique(filter($C$5:$C1123,$B$5:$B1123=E761))"),"")</f>
        <v/>
      </c>
      <c r="G761" s="203" t="str">
        <f ca="1">IFERROR(__xludf.DUMMYFUNCTION("unique(filter($D$5:$D1123,$B$5:$B1123=E761))"),"")</f>
        <v/>
      </c>
      <c r="K761" s="48"/>
      <c r="M761" s="205" t="s">
        <v>3071</v>
      </c>
    </row>
    <row r="762" spans="2:13" ht="15.75" customHeight="1" x14ac:dyDescent="0.2">
      <c r="B762" s="46"/>
      <c r="E762" s="71"/>
      <c r="F762" s="71" t="str">
        <f ca="1">IFERROR(__xludf.DUMMYFUNCTION("unique(filter($C$5:$C1123,$B$5:$B1123=E762))"),"")</f>
        <v/>
      </c>
      <c r="G762" s="203" t="str">
        <f ca="1">IFERROR(__xludf.DUMMYFUNCTION("unique(filter($D$5:$D1123,$B$5:$B1123=E762))"),"")</f>
        <v/>
      </c>
      <c r="K762" s="48"/>
      <c r="M762" s="205" t="s">
        <v>3072</v>
      </c>
    </row>
    <row r="763" spans="2:13" ht="15.75" customHeight="1" x14ac:dyDescent="0.2">
      <c r="B763" s="46"/>
      <c r="E763" s="71"/>
      <c r="F763" s="71" t="str">
        <f ca="1">IFERROR(__xludf.DUMMYFUNCTION("unique(filter($C$5:$C1123,$B$5:$B1123=E763))"),"")</f>
        <v/>
      </c>
      <c r="G763" s="203" t="str">
        <f ca="1">IFERROR(__xludf.DUMMYFUNCTION("unique(filter($D$5:$D1123,$B$5:$B1123=E763))"),"")</f>
        <v/>
      </c>
      <c r="K763" s="48"/>
      <c r="M763" s="205" t="s">
        <v>3073</v>
      </c>
    </row>
    <row r="764" spans="2:13" ht="15.75" customHeight="1" x14ac:dyDescent="0.2">
      <c r="B764" s="46"/>
      <c r="E764" s="71"/>
      <c r="F764" s="71" t="str">
        <f ca="1">IFERROR(__xludf.DUMMYFUNCTION("unique(filter($C$5:$C1123,$B$5:$B1123=E764))"),"")</f>
        <v/>
      </c>
      <c r="G764" s="203" t="str">
        <f ca="1">IFERROR(__xludf.DUMMYFUNCTION("unique(filter($D$5:$D1123,$B$5:$B1123=E764))"),"")</f>
        <v/>
      </c>
      <c r="K764" s="48"/>
      <c r="M764" s="205" t="s">
        <v>3074</v>
      </c>
    </row>
    <row r="765" spans="2:13" ht="15.75" customHeight="1" x14ac:dyDescent="0.2">
      <c r="B765" s="46"/>
      <c r="E765" s="71"/>
      <c r="F765" s="71" t="str">
        <f ca="1">IFERROR(__xludf.DUMMYFUNCTION("unique(filter($C$5:$C1123,$B$5:$B1123=E765))"),"")</f>
        <v/>
      </c>
      <c r="G765" s="203" t="str">
        <f ca="1">IFERROR(__xludf.DUMMYFUNCTION("unique(filter($D$5:$D1123,$B$5:$B1123=E765))"),"")</f>
        <v/>
      </c>
      <c r="K765" s="48"/>
      <c r="M765" s="205" t="s">
        <v>3075</v>
      </c>
    </row>
    <row r="766" spans="2:13" ht="15.75" customHeight="1" x14ac:dyDescent="0.2">
      <c r="B766" s="46"/>
      <c r="E766" s="71"/>
      <c r="F766" s="71" t="str">
        <f ca="1">IFERROR(__xludf.DUMMYFUNCTION("unique(filter($C$5:$C1123,$B$5:$B1123=E766))"),"")</f>
        <v/>
      </c>
      <c r="G766" s="203" t="str">
        <f ca="1">IFERROR(__xludf.DUMMYFUNCTION("unique(filter($D$5:$D1123,$B$5:$B1123=E766))"),"")</f>
        <v/>
      </c>
      <c r="K766" s="48"/>
      <c r="M766" s="205" t="s">
        <v>3076</v>
      </c>
    </row>
    <row r="767" spans="2:13" ht="15.75" customHeight="1" x14ac:dyDescent="0.2">
      <c r="B767" s="46"/>
      <c r="E767" s="71"/>
      <c r="F767" s="71" t="str">
        <f ca="1">IFERROR(__xludf.DUMMYFUNCTION("unique(filter($C$5:$C1123,$B$5:$B1123=E767))"),"")</f>
        <v/>
      </c>
      <c r="G767" s="203" t="str">
        <f ca="1">IFERROR(__xludf.DUMMYFUNCTION("unique(filter($D$5:$D1123,$B$5:$B1123=E767))"),"")</f>
        <v/>
      </c>
      <c r="K767" s="48"/>
      <c r="M767" s="205" t="s">
        <v>3077</v>
      </c>
    </row>
    <row r="768" spans="2:13" ht="15.75" customHeight="1" x14ac:dyDescent="0.2">
      <c r="B768" s="46"/>
      <c r="E768" s="71"/>
      <c r="F768" s="71" t="str">
        <f ca="1">IFERROR(__xludf.DUMMYFUNCTION("unique(filter($C$5:$C1123,$B$5:$B1123=E768))"),"")</f>
        <v/>
      </c>
      <c r="G768" s="203" t="str">
        <f ca="1">IFERROR(__xludf.DUMMYFUNCTION("unique(filter($D$5:$D1123,$B$5:$B1123=E768))"),"")</f>
        <v/>
      </c>
      <c r="K768" s="48"/>
      <c r="M768" s="205" t="s">
        <v>3078</v>
      </c>
    </row>
    <row r="769" spans="2:13" ht="15.75" customHeight="1" x14ac:dyDescent="0.2">
      <c r="B769" s="46"/>
      <c r="E769" s="71"/>
      <c r="F769" s="71" t="str">
        <f ca="1">IFERROR(__xludf.DUMMYFUNCTION("unique(filter($C$5:$C1123,$B$5:$B1123=E769))"),"")</f>
        <v/>
      </c>
      <c r="G769" s="203" t="str">
        <f ca="1">IFERROR(__xludf.DUMMYFUNCTION("unique(filter($D$5:$D1123,$B$5:$B1123=E769))"),"")</f>
        <v/>
      </c>
      <c r="K769" s="48"/>
      <c r="M769" s="205" t="s">
        <v>3079</v>
      </c>
    </row>
    <row r="770" spans="2:13" ht="15.75" customHeight="1" x14ac:dyDescent="0.2">
      <c r="B770" s="46"/>
      <c r="E770" s="71"/>
      <c r="F770" s="71" t="str">
        <f ca="1">IFERROR(__xludf.DUMMYFUNCTION("unique(filter($C$5:$C1123,$B$5:$B1123=E770))"),"")</f>
        <v/>
      </c>
      <c r="G770" s="203" t="str">
        <f ca="1">IFERROR(__xludf.DUMMYFUNCTION("unique(filter($D$5:$D1123,$B$5:$B1123=E770))"),"")</f>
        <v/>
      </c>
      <c r="K770" s="48"/>
      <c r="M770" s="205" t="s">
        <v>3080</v>
      </c>
    </row>
    <row r="771" spans="2:13" ht="15.75" customHeight="1" x14ac:dyDescent="0.2">
      <c r="B771" s="46"/>
      <c r="E771" s="71"/>
      <c r="F771" s="71" t="str">
        <f ca="1">IFERROR(__xludf.DUMMYFUNCTION("unique(filter($C$5:$C1123,$B$5:$B1123=E771))"),"")</f>
        <v/>
      </c>
      <c r="G771" s="203" t="str">
        <f ca="1">IFERROR(__xludf.DUMMYFUNCTION("unique(filter($D$5:$D1123,$B$5:$B1123=E771))"),"")</f>
        <v/>
      </c>
      <c r="K771" s="48"/>
      <c r="M771" s="205" t="s">
        <v>3081</v>
      </c>
    </row>
    <row r="772" spans="2:13" ht="15.75" customHeight="1" x14ac:dyDescent="0.2">
      <c r="B772" s="46"/>
      <c r="E772" s="71"/>
      <c r="F772" s="71" t="str">
        <f ca="1">IFERROR(__xludf.DUMMYFUNCTION("unique(filter($C$5:$C1123,$B$5:$B1123=E772))"),"")</f>
        <v/>
      </c>
      <c r="G772" s="203" t="str">
        <f ca="1">IFERROR(__xludf.DUMMYFUNCTION("unique(filter($D$5:$D1123,$B$5:$B1123=E772))"),"")</f>
        <v/>
      </c>
      <c r="K772" s="48"/>
      <c r="M772" s="205" t="s">
        <v>3082</v>
      </c>
    </row>
    <row r="773" spans="2:13" ht="15.75" customHeight="1" x14ac:dyDescent="0.2">
      <c r="B773" s="46"/>
      <c r="E773" s="71"/>
      <c r="F773" s="71" t="str">
        <f ca="1">IFERROR(__xludf.DUMMYFUNCTION("unique(filter($C$5:$C1123,$B$5:$B1123=E773))"),"")</f>
        <v/>
      </c>
      <c r="G773" s="203" t="str">
        <f ca="1">IFERROR(__xludf.DUMMYFUNCTION("unique(filter($D$5:$D1123,$B$5:$B1123=E773))"),"")</f>
        <v/>
      </c>
      <c r="K773" s="48"/>
      <c r="M773" s="205" t="s">
        <v>3083</v>
      </c>
    </row>
    <row r="774" spans="2:13" ht="15.75" customHeight="1" x14ac:dyDescent="0.2">
      <c r="B774" s="46"/>
      <c r="E774" s="71"/>
      <c r="F774" s="71" t="str">
        <f ca="1">IFERROR(__xludf.DUMMYFUNCTION("unique(filter($C$5:$C1123,$B$5:$B1123=E774))"),"")</f>
        <v/>
      </c>
      <c r="G774" s="203" t="str">
        <f ca="1">IFERROR(__xludf.DUMMYFUNCTION("unique(filter($D$5:$D1123,$B$5:$B1123=E774))"),"")</f>
        <v/>
      </c>
      <c r="K774" s="48"/>
      <c r="M774" s="205" t="s">
        <v>3084</v>
      </c>
    </row>
    <row r="775" spans="2:13" ht="15.75" customHeight="1" x14ac:dyDescent="0.2">
      <c r="B775" s="46"/>
      <c r="E775" s="71"/>
      <c r="F775" s="71" t="str">
        <f ca="1">IFERROR(__xludf.DUMMYFUNCTION("unique(filter($C$5:$C1123,$B$5:$B1123=E775))"),"")</f>
        <v/>
      </c>
      <c r="G775" s="203" t="str">
        <f ca="1">IFERROR(__xludf.DUMMYFUNCTION("unique(filter($D$5:$D1123,$B$5:$B1123=E775))"),"")</f>
        <v/>
      </c>
      <c r="K775" s="48"/>
      <c r="M775" s="205" t="s">
        <v>3085</v>
      </c>
    </row>
    <row r="776" spans="2:13" ht="15.75" customHeight="1" x14ac:dyDescent="0.2">
      <c r="B776" s="46"/>
      <c r="E776" s="71"/>
      <c r="F776" s="71" t="str">
        <f ca="1">IFERROR(__xludf.DUMMYFUNCTION("unique(filter($C$5:$C1123,$B$5:$B1123=E776))"),"")</f>
        <v/>
      </c>
      <c r="G776" s="203" t="str">
        <f ca="1">IFERROR(__xludf.DUMMYFUNCTION("unique(filter($D$5:$D1123,$B$5:$B1123=E776))"),"")</f>
        <v/>
      </c>
      <c r="K776" s="48"/>
      <c r="M776" s="205" t="s">
        <v>3086</v>
      </c>
    </row>
    <row r="777" spans="2:13" ht="15.75" customHeight="1" x14ac:dyDescent="0.2">
      <c r="B777" s="46"/>
      <c r="E777" s="71"/>
      <c r="F777" s="71" t="str">
        <f ca="1">IFERROR(__xludf.DUMMYFUNCTION("unique(filter($C$5:$C1123,$B$5:$B1123=E777))"),"")</f>
        <v/>
      </c>
      <c r="G777" s="203" t="str">
        <f ca="1">IFERROR(__xludf.DUMMYFUNCTION("unique(filter($D$5:$D1123,$B$5:$B1123=E777))"),"")</f>
        <v/>
      </c>
      <c r="K777" s="48"/>
      <c r="M777" s="205" t="s">
        <v>3087</v>
      </c>
    </row>
    <row r="778" spans="2:13" ht="15.75" customHeight="1" x14ac:dyDescent="0.2">
      <c r="B778" s="46"/>
      <c r="E778" s="71"/>
      <c r="F778" s="71" t="str">
        <f ca="1">IFERROR(__xludf.DUMMYFUNCTION("unique(filter($C$5:$C1123,$B$5:$B1123=E778))"),"")</f>
        <v/>
      </c>
      <c r="G778" s="203" t="str">
        <f ca="1">IFERROR(__xludf.DUMMYFUNCTION("unique(filter($D$5:$D1123,$B$5:$B1123=E778))"),"")</f>
        <v/>
      </c>
      <c r="K778" s="48"/>
      <c r="M778" s="205" t="s">
        <v>3088</v>
      </c>
    </row>
    <row r="779" spans="2:13" ht="15.75" customHeight="1" x14ac:dyDescent="0.2">
      <c r="B779" s="46"/>
      <c r="E779" s="71"/>
      <c r="F779" s="71" t="str">
        <f ca="1">IFERROR(__xludf.DUMMYFUNCTION("unique(filter($C$5:$C1123,$B$5:$B1123=E779))"),"")</f>
        <v/>
      </c>
      <c r="G779" s="203" t="str">
        <f ca="1">IFERROR(__xludf.DUMMYFUNCTION("unique(filter($D$5:$D1123,$B$5:$B1123=E779))"),"")</f>
        <v/>
      </c>
      <c r="K779" s="48"/>
      <c r="M779" s="205" t="s">
        <v>3089</v>
      </c>
    </row>
    <row r="780" spans="2:13" ht="15.75" customHeight="1" x14ac:dyDescent="0.2">
      <c r="B780" s="46"/>
      <c r="E780" s="71"/>
      <c r="F780" s="71" t="str">
        <f ca="1">IFERROR(__xludf.DUMMYFUNCTION("unique(filter($C$5:$C1123,$B$5:$B1123=E780))"),"")</f>
        <v/>
      </c>
      <c r="G780" s="203" t="str">
        <f ca="1">IFERROR(__xludf.DUMMYFUNCTION("unique(filter($D$5:$D1123,$B$5:$B1123=E780))"),"")</f>
        <v/>
      </c>
      <c r="K780" s="48"/>
      <c r="M780" s="205" t="s">
        <v>3090</v>
      </c>
    </row>
    <row r="781" spans="2:13" ht="15.75" customHeight="1" x14ac:dyDescent="0.2">
      <c r="B781" s="46"/>
      <c r="E781" s="71"/>
      <c r="F781" s="71" t="str">
        <f ca="1">IFERROR(__xludf.DUMMYFUNCTION("unique(filter($C$5:$C1123,$B$5:$B1123=E781))"),"")</f>
        <v/>
      </c>
      <c r="G781" s="203" t="str">
        <f ca="1">IFERROR(__xludf.DUMMYFUNCTION("unique(filter($D$5:$D1123,$B$5:$B1123=E781))"),"")</f>
        <v/>
      </c>
      <c r="K781" s="48"/>
      <c r="M781" s="205" t="s">
        <v>3091</v>
      </c>
    </row>
    <row r="782" spans="2:13" ht="15.75" customHeight="1" x14ac:dyDescent="0.2">
      <c r="B782" s="46"/>
      <c r="E782" s="71"/>
      <c r="F782" s="71" t="str">
        <f ca="1">IFERROR(__xludf.DUMMYFUNCTION("unique(filter($C$5:$C1123,$B$5:$B1123=E782))"),"")</f>
        <v/>
      </c>
      <c r="G782" s="203" t="str">
        <f ca="1">IFERROR(__xludf.DUMMYFUNCTION("unique(filter($D$5:$D1123,$B$5:$B1123=E782))"),"")</f>
        <v/>
      </c>
      <c r="K782" s="48"/>
      <c r="M782" s="205" t="s">
        <v>3092</v>
      </c>
    </row>
    <row r="783" spans="2:13" ht="15.75" customHeight="1" x14ac:dyDescent="0.2">
      <c r="B783" s="46"/>
      <c r="E783" s="71"/>
      <c r="F783" s="71" t="str">
        <f ca="1">IFERROR(__xludf.DUMMYFUNCTION("unique(filter($C$5:$C1123,$B$5:$B1123=E783))"),"")</f>
        <v/>
      </c>
      <c r="G783" s="203" t="str">
        <f ca="1">IFERROR(__xludf.DUMMYFUNCTION("unique(filter($D$5:$D1123,$B$5:$B1123=E783))"),"")</f>
        <v/>
      </c>
      <c r="K783" s="48"/>
      <c r="M783" s="205" t="s">
        <v>3093</v>
      </c>
    </row>
    <row r="784" spans="2:13" ht="15.75" customHeight="1" x14ac:dyDescent="0.2">
      <c r="B784" s="46"/>
      <c r="E784" s="71"/>
      <c r="F784" s="71" t="str">
        <f ca="1">IFERROR(__xludf.DUMMYFUNCTION("unique(filter($C$5:$C1123,$B$5:$B1123=E784))"),"")</f>
        <v/>
      </c>
      <c r="G784" s="203" t="str">
        <f ca="1">IFERROR(__xludf.DUMMYFUNCTION("unique(filter($D$5:$D1123,$B$5:$B1123=E784))"),"")</f>
        <v/>
      </c>
      <c r="K784" s="48"/>
      <c r="M784" s="205" t="s">
        <v>3094</v>
      </c>
    </row>
    <row r="785" spans="2:13" ht="15.75" customHeight="1" x14ac:dyDescent="0.2">
      <c r="B785" s="46"/>
      <c r="E785" s="71"/>
      <c r="F785" s="71" t="str">
        <f ca="1">IFERROR(__xludf.DUMMYFUNCTION("unique(filter($C$5:$C1123,$B$5:$B1123=E785))"),"")</f>
        <v/>
      </c>
      <c r="G785" s="203" t="str">
        <f ca="1">IFERROR(__xludf.DUMMYFUNCTION("unique(filter($D$5:$D1123,$B$5:$B1123=E785))"),"")</f>
        <v/>
      </c>
      <c r="K785" s="48"/>
      <c r="M785" s="205" t="s">
        <v>3095</v>
      </c>
    </row>
    <row r="786" spans="2:13" ht="15.75" customHeight="1" x14ac:dyDescent="0.2">
      <c r="B786" s="46"/>
      <c r="E786" s="71"/>
      <c r="F786" s="71" t="str">
        <f ca="1">IFERROR(__xludf.DUMMYFUNCTION("unique(filter($C$5:$C1123,$B$5:$B1123=E786))"),"")</f>
        <v/>
      </c>
      <c r="G786" s="203" t="str">
        <f ca="1">IFERROR(__xludf.DUMMYFUNCTION("unique(filter($D$5:$D1123,$B$5:$B1123=E786))"),"")</f>
        <v/>
      </c>
      <c r="K786" s="48"/>
      <c r="M786" s="205" t="s">
        <v>3096</v>
      </c>
    </row>
    <row r="787" spans="2:13" ht="15.75" customHeight="1" x14ac:dyDescent="0.2">
      <c r="B787" s="46"/>
      <c r="E787" s="71"/>
      <c r="F787" s="71" t="str">
        <f ca="1">IFERROR(__xludf.DUMMYFUNCTION("unique(filter($C$5:$C1123,$B$5:$B1123=E787))"),"")</f>
        <v/>
      </c>
      <c r="G787" s="203" t="str">
        <f ca="1">IFERROR(__xludf.DUMMYFUNCTION("unique(filter($D$5:$D1123,$B$5:$B1123=E787))"),"")</f>
        <v/>
      </c>
      <c r="K787" s="48"/>
      <c r="M787" s="205" t="s">
        <v>3097</v>
      </c>
    </row>
    <row r="788" spans="2:13" ht="15.75" customHeight="1" x14ac:dyDescent="0.2">
      <c r="B788" s="46"/>
      <c r="E788" s="71"/>
      <c r="F788" s="71" t="str">
        <f ca="1">IFERROR(__xludf.DUMMYFUNCTION("unique(filter($C$5:$C1123,$B$5:$B1123=E788))"),"")</f>
        <v/>
      </c>
      <c r="G788" s="203" t="str">
        <f ca="1">IFERROR(__xludf.DUMMYFUNCTION("unique(filter($D$5:$D1123,$B$5:$B1123=E788))"),"")</f>
        <v/>
      </c>
      <c r="K788" s="48"/>
      <c r="M788" s="205" t="s">
        <v>3098</v>
      </c>
    </row>
    <row r="789" spans="2:13" ht="15.75" customHeight="1" x14ac:dyDescent="0.2">
      <c r="B789" s="46"/>
      <c r="E789" s="71"/>
      <c r="F789" s="71" t="str">
        <f ca="1">IFERROR(__xludf.DUMMYFUNCTION("unique(filter($C$5:$C1123,$B$5:$B1123=E789))"),"")</f>
        <v/>
      </c>
      <c r="G789" s="203" t="str">
        <f ca="1">IFERROR(__xludf.DUMMYFUNCTION("unique(filter($D$5:$D1123,$B$5:$B1123=E789))"),"")</f>
        <v/>
      </c>
      <c r="K789" s="48"/>
      <c r="M789" s="205" t="s">
        <v>3099</v>
      </c>
    </row>
    <row r="790" spans="2:13" ht="15.75" customHeight="1" x14ac:dyDescent="0.2">
      <c r="B790" s="46"/>
      <c r="E790" s="71"/>
      <c r="F790" s="71" t="str">
        <f ca="1">IFERROR(__xludf.DUMMYFUNCTION("unique(filter($C$5:$C1123,$B$5:$B1123=E790))"),"")</f>
        <v/>
      </c>
      <c r="G790" s="203" t="str">
        <f ca="1">IFERROR(__xludf.DUMMYFUNCTION("unique(filter($D$5:$D1123,$B$5:$B1123=E790))"),"")</f>
        <v/>
      </c>
      <c r="K790" s="48"/>
      <c r="M790" s="205" t="s">
        <v>3100</v>
      </c>
    </row>
    <row r="791" spans="2:13" ht="15.75" customHeight="1" x14ac:dyDescent="0.2">
      <c r="B791" s="46"/>
      <c r="E791" s="71"/>
      <c r="F791" s="71" t="str">
        <f ca="1">IFERROR(__xludf.DUMMYFUNCTION("unique(filter($C$5:$C1123,$B$5:$B1123=E791))"),"")</f>
        <v/>
      </c>
      <c r="G791" s="203" t="str">
        <f ca="1">IFERROR(__xludf.DUMMYFUNCTION("unique(filter($D$5:$D1123,$B$5:$B1123=E791))"),"")</f>
        <v/>
      </c>
      <c r="K791" s="48"/>
      <c r="M791" s="205" t="s">
        <v>3101</v>
      </c>
    </row>
    <row r="792" spans="2:13" ht="15.75" customHeight="1" x14ac:dyDescent="0.2">
      <c r="B792" s="46"/>
      <c r="E792" s="71"/>
      <c r="F792" s="71" t="str">
        <f ca="1">IFERROR(__xludf.DUMMYFUNCTION("unique(filter($C$5:$C1123,$B$5:$B1123=E792))"),"")</f>
        <v/>
      </c>
      <c r="G792" s="203" t="str">
        <f ca="1">IFERROR(__xludf.DUMMYFUNCTION("unique(filter($D$5:$D1123,$B$5:$B1123=E792))"),"")</f>
        <v/>
      </c>
      <c r="K792" s="48"/>
      <c r="M792" s="205" t="s">
        <v>3102</v>
      </c>
    </row>
    <row r="793" spans="2:13" ht="15.75" customHeight="1" x14ac:dyDescent="0.2">
      <c r="B793" s="46"/>
      <c r="E793" s="71"/>
      <c r="F793" s="71" t="str">
        <f ca="1">IFERROR(__xludf.DUMMYFUNCTION("unique(filter($C$5:$C1123,$B$5:$B1123=E793))"),"")</f>
        <v/>
      </c>
      <c r="G793" s="203" t="str">
        <f ca="1">IFERROR(__xludf.DUMMYFUNCTION("unique(filter($D$5:$D1123,$B$5:$B1123=E793))"),"")</f>
        <v/>
      </c>
      <c r="K793" s="48"/>
      <c r="M793" s="205" t="s">
        <v>3103</v>
      </c>
    </row>
    <row r="794" spans="2:13" ht="15.75" customHeight="1" x14ac:dyDescent="0.2">
      <c r="B794" s="46"/>
      <c r="E794" s="71"/>
      <c r="F794" s="71" t="str">
        <f ca="1">IFERROR(__xludf.DUMMYFUNCTION("unique(filter($C$5:$C1123,$B$5:$B1123=E794))"),"")</f>
        <v/>
      </c>
      <c r="G794" s="203" t="str">
        <f ca="1">IFERROR(__xludf.DUMMYFUNCTION("unique(filter($D$5:$D1123,$B$5:$B1123=E794))"),"")</f>
        <v/>
      </c>
      <c r="K794" s="48"/>
      <c r="M794" s="205" t="s">
        <v>3104</v>
      </c>
    </row>
    <row r="795" spans="2:13" ht="15.75" customHeight="1" x14ac:dyDescent="0.2">
      <c r="B795" s="46"/>
      <c r="E795" s="71"/>
      <c r="F795" s="71" t="str">
        <f ca="1">IFERROR(__xludf.DUMMYFUNCTION("unique(filter($C$5:$C1123,$B$5:$B1123=E795))"),"")</f>
        <v/>
      </c>
      <c r="G795" s="203" t="str">
        <f ca="1">IFERROR(__xludf.DUMMYFUNCTION("unique(filter($D$5:$D1123,$B$5:$B1123=E795))"),"")</f>
        <v/>
      </c>
      <c r="K795" s="48"/>
      <c r="M795" s="205" t="s">
        <v>3105</v>
      </c>
    </row>
    <row r="796" spans="2:13" ht="15.75" customHeight="1" x14ac:dyDescent="0.2">
      <c r="B796" s="46"/>
      <c r="E796" s="71"/>
      <c r="F796" s="71" t="str">
        <f ca="1">IFERROR(__xludf.DUMMYFUNCTION("unique(filter($C$5:$C1123,$B$5:$B1123=E796))"),"")</f>
        <v/>
      </c>
      <c r="G796" s="203" t="str">
        <f ca="1">IFERROR(__xludf.DUMMYFUNCTION("unique(filter($D$5:$D1123,$B$5:$B1123=E796))"),"")</f>
        <v/>
      </c>
      <c r="K796" s="48"/>
      <c r="M796" s="205" t="s">
        <v>3106</v>
      </c>
    </row>
    <row r="797" spans="2:13" ht="15.75" customHeight="1" x14ac:dyDescent="0.2">
      <c r="B797" s="46"/>
      <c r="E797" s="71"/>
      <c r="F797" s="71" t="str">
        <f ca="1">IFERROR(__xludf.DUMMYFUNCTION("unique(filter($C$5:$C1123,$B$5:$B1123=E797))"),"")</f>
        <v/>
      </c>
      <c r="G797" s="203" t="str">
        <f ca="1">IFERROR(__xludf.DUMMYFUNCTION("unique(filter($D$5:$D1123,$B$5:$B1123=E797))"),"")</f>
        <v/>
      </c>
      <c r="K797" s="48"/>
      <c r="M797" s="205" t="s">
        <v>3107</v>
      </c>
    </row>
    <row r="798" spans="2:13" ht="15.75" customHeight="1" x14ac:dyDescent="0.2">
      <c r="B798" s="46"/>
      <c r="E798" s="71"/>
      <c r="F798" s="71" t="str">
        <f ca="1">IFERROR(__xludf.DUMMYFUNCTION("unique(filter($C$5:$C1123,$B$5:$B1123=E798))"),"")</f>
        <v/>
      </c>
      <c r="G798" s="203" t="str">
        <f ca="1">IFERROR(__xludf.DUMMYFUNCTION("unique(filter($D$5:$D1123,$B$5:$B1123=E798))"),"")</f>
        <v/>
      </c>
      <c r="K798" s="48"/>
      <c r="M798" s="205" t="s">
        <v>3108</v>
      </c>
    </row>
    <row r="799" spans="2:13" ht="15.75" customHeight="1" x14ac:dyDescent="0.2">
      <c r="B799" s="46"/>
      <c r="E799" s="71"/>
      <c r="F799" s="71" t="str">
        <f ca="1">IFERROR(__xludf.DUMMYFUNCTION("unique(filter($C$5:$C1123,$B$5:$B1123=E799))"),"")</f>
        <v/>
      </c>
      <c r="G799" s="203" t="str">
        <f ca="1">IFERROR(__xludf.DUMMYFUNCTION("unique(filter($D$5:$D1123,$B$5:$B1123=E799))"),"")</f>
        <v/>
      </c>
      <c r="K799" s="48"/>
      <c r="M799" s="205" t="s">
        <v>3109</v>
      </c>
    </row>
    <row r="800" spans="2:13" ht="15.75" customHeight="1" x14ac:dyDescent="0.2">
      <c r="B800" s="46"/>
      <c r="E800" s="71"/>
      <c r="F800" s="71" t="str">
        <f ca="1">IFERROR(__xludf.DUMMYFUNCTION("unique(filter($C$5:$C1123,$B$5:$B1123=E800))"),"")</f>
        <v/>
      </c>
      <c r="G800" s="203" t="str">
        <f ca="1">IFERROR(__xludf.DUMMYFUNCTION("unique(filter($D$5:$D1123,$B$5:$B1123=E800))"),"")</f>
        <v/>
      </c>
      <c r="K800" s="48"/>
      <c r="M800" s="205" t="s">
        <v>3110</v>
      </c>
    </row>
    <row r="801" spans="2:13" ht="15.75" customHeight="1" x14ac:dyDescent="0.2">
      <c r="B801" s="46"/>
      <c r="E801" s="71"/>
      <c r="F801" s="71" t="str">
        <f ca="1">IFERROR(__xludf.DUMMYFUNCTION("unique(filter($C$5:$C1123,$B$5:$B1123=E801))"),"")</f>
        <v/>
      </c>
      <c r="G801" s="203" t="str">
        <f ca="1">IFERROR(__xludf.DUMMYFUNCTION("unique(filter($D$5:$D1123,$B$5:$B1123=E801))"),"")</f>
        <v/>
      </c>
      <c r="K801" s="48"/>
      <c r="M801" s="205" t="s">
        <v>3111</v>
      </c>
    </row>
    <row r="802" spans="2:13" ht="15.75" customHeight="1" x14ac:dyDescent="0.2">
      <c r="B802" s="46"/>
      <c r="E802" s="71"/>
      <c r="F802" s="71" t="str">
        <f ca="1">IFERROR(__xludf.DUMMYFUNCTION("unique(filter($C$5:$C1123,$B$5:$B1123=E802))"),"")</f>
        <v/>
      </c>
      <c r="G802" s="203" t="str">
        <f ca="1">IFERROR(__xludf.DUMMYFUNCTION("unique(filter($D$5:$D1123,$B$5:$B1123=E802))"),"")</f>
        <v/>
      </c>
      <c r="K802" s="48"/>
      <c r="M802" s="205" t="s">
        <v>3112</v>
      </c>
    </row>
    <row r="803" spans="2:13" ht="15.75" customHeight="1" x14ac:dyDescent="0.2">
      <c r="B803" s="46"/>
      <c r="E803" s="71"/>
      <c r="F803" s="71" t="str">
        <f ca="1">IFERROR(__xludf.DUMMYFUNCTION("unique(filter($C$5:$C1123,$B$5:$B1123=E803))"),"")</f>
        <v/>
      </c>
      <c r="G803" s="203" t="str">
        <f ca="1">IFERROR(__xludf.DUMMYFUNCTION("unique(filter($D$5:$D1123,$B$5:$B1123=E803))"),"")</f>
        <v/>
      </c>
      <c r="K803" s="48"/>
      <c r="M803" s="205" t="s">
        <v>3113</v>
      </c>
    </row>
    <row r="804" spans="2:13" ht="15.75" customHeight="1" x14ac:dyDescent="0.2">
      <c r="B804" s="46"/>
      <c r="E804" s="71"/>
      <c r="F804" s="71" t="str">
        <f ca="1">IFERROR(__xludf.DUMMYFUNCTION("unique(filter($C$5:$C1123,$B$5:$B1123=E804))"),"")</f>
        <v/>
      </c>
      <c r="G804" s="203" t="str">
        <f ca="1">IFERROR(__xludf.DUMMYFUNCTION("unique(filter($D$5:$D1123,$B$5:$B1123=E804))"),"")</f>
        <v/>
      </c>
      <c r="K804" s="48"/>
      <c r="M804" s="205" t="s">
        <v>3114</v>
      </c>
    </row>
    <row r="805" spans="2:13" ht="15.75" customHeight="1" x14ac:dyDescent="0.2">
      <c r="B805" s="46"/>
      <c r="E805" s="71"/>
      <c r="F805" s="71" t="str">
        <f ca="1">IFERROR(__xludf.DUMMYFUNCTION("unique(filter($C$5:$C1123,$B$5:$B1123=E805))"),"")</f>
        <v/>
      </c>
      <c r="G805" s="203" t="str">
        <f ca="1">IFERROR(__xludf.DUMMYFUNCTION("unique(filter($D$5:$D1123,$B$5:$B1123=E805))"),"")</f>
        <v/>
      </c>
      <c r="K805" s="48"/>
      <c r="M805" s="205" t="s">
        <v>3115</v>
      </c>
    </row>
    <row r="806" spans="2:13" ht="15.75" customHeight="1" x14ac:dyDescent="0.2">
      <c r="B806" s="46"/>
      <c r="E806" s="71"/>
      <c r="F806" s="71" t="str">
        <f ca="1">IFERROR(__xludf.DUMMYFUNCTION("unique(filter($C$5:$C1123,$B$5:$B1123=E806))"),"")</f>
        <v/>
      </c>
      <c r="G806" s="203" t="str">
        <f ca="1">IFERROR(__xludf.DUMMYFUNCTION("unique(filter($D$5:$D1123,$B$5:$B1123=E806))"),"")</f>
        <v/>
      </c>
      <c r="K806" s="48"/>
      <c r="M806" s="205" t="s">
        <v>3116</v>
      </c>
    </row>
    <row r="807" spans="2:13" ht="15.75" customHeight="1" x14ac:dyDescent="0.2">
      <c r="B807" s="46"/>
      <c r="E807" s="71"/>
      <c r="F807" s="71" t="str">
        <f ca="1">IFERROR(__xludf.DUMMYFUNCTION("unique(filter($C$5:$C1123,$B$5:$B1123=E807))"),"")</f>
        <v/>
      </c>
      <c r="G807" s="203" t="str">
        <f ca="1">IFERROR(__xludf.DUMMYFUNCTION("unique(filter($D$5:$D1123,$B$5:$B1123=E807))"),"")</f>
        <v/>
      </c>
      <c r="K807" s="48"/>
      <c r="M807" s="205" t="s">
        <v>3117</v>
      </c>
    </row>
    <row r="808" spans="2:13" ht="15.75" customHeight="1" x14ac:dyDescent="0.2">
      <c r="B808" s="46"/>
      <c r="E808" s="71"/>
      <c r="F808" s="71" t="str">
        <f ca="1">IFERROR(__xludf.DUMMYFUNCTION("unique(filter($C$5:$C1123,$B$5:$B1123=E808))"),"")</f>
        <v/>
      </c>
      <c r="G808" s="203" t="str">
        <f ca="1">IFERROR(__xludf.DUMMYFUNCTION("unique(filter($D$5:$D1123,$B$5:$B1123=E808))"),"")</f>
        <v/>
      </c>
      <c r="K808" s="48"/>
      <c r="M808" s="205" t="s">
        <v>3118</v>
      </c>
    </row>
    <row r="809" spans="2:13" ht="15.75" customHeight="1" x14ac:dyDescent="0.2">
      <c r="B809" s="46"/>
      <c r="E809" s="71"/>
      <c r="F809" s="71" t="str">
        <f ca="1">IFERROR(__xludf.DUMMYFUNCTION("unique(filter($C$5:$C1123,$B$5:$B1123=E809))"),"")</f>
        <v/>
      </c>
      <c r="G809" s="203" t="str">
        <f ca="1">IFERROR(__xludf.DUMMYFUNCTION("unique(filter($D$5:$D1123,$B$5:$B1123=E809))"),"")</f>
        <v/>
      </c>
      <c r="K809" s="48"/>
      <c r="M809" s="205" t="s">
        <v>3119</v>
      </c>
    </row>
    <row r="810" spans="2:13" ht="15.75" customHeight="1" x14ac:dyDescent="0.2">
      <c r="B810" s="46"/>
      <c r="E810" s="71"/>
      <c r="F810" s="71" t="str">
        <f ca="1">IFERROR(__xludf.DUMMYFUNCTION("unique(filter($C$5:$C1123,$B$5:$B1123=E810))"),"")</f>
        <v/>
      </c>
      <c r="G810" s="203" t="str">
        <f ca="1">IFERROR(__xludf.DUMMYFUNCTION("unique(filter($D$5:$D1123,$B$5:$B1123=E810))"),"")</f>
        <v/>
      </c>
      <c r="K810" s="48"/>
      <c r="M810" s="205" t="s">
        <v>3120</v>
      </c>
    </row>
    <row r="811" spans="2:13" ht="15.75" customHeight="1" x14ac:dyDescent="0.2">
      <c r="B811" s="46"/>
      <c r="E811" s="71"/>
      <c r="F811" s="71" t="str">
        <f ca="1">IFERROR(__xludf.DUMMYFUNCTION("unique(filter($C$5:$C1123,$B$5:$B1123=E811))"),"")</f>
        <v/>
      </c>
      <c r="G811" s="203" t="str">
        <f ca="1">IFERROR(__xludf.DUMMYFUNCTION("unique(filter($D$5:$D1123,$B$5:$B1123=E811))"),"")</f>
        <v/>
      </c>
      <c r="K811" s="48"/>
      <c r="M811" s="205" t="s">
        <v>3121</v>
      </c>
    </row>
    <row r="812" spans="2:13" ht="15.75" customHeight="1" x14ac:dyDescent="0.2">
      <c r="B812" s="46"/>
      <c r="E812" s="71"/>
      <c r="F812" s="71" t="str">
        <f ca="1">IFERROR(__xludf.DUMMYFUNCTION("unique(filter($C$5:$C1123,$B$5:$B1123=E812))"),"")</f>
        <v/>
      </c>
      <c r="G812" s="203" t="str">
        <f ca="1">IFERROR(__xludf.DUMMYFUNCTION("unique(filter($D$5:$D1123,$B$5:$B1123=E812))"),"")</f>
        <v/>
      </c>
      <c r="K812" s="48"/>
      <c r="M812" s="205" t="s">
        <v>3122</v>
      </c>
    </row>
    <row r="813" spans="2:13" ht="15.75" customHeight="1" x14ac:dyDescent="0.2">
      <c r="B813" s="46"/>
      <c r="E813" s="71"/>
      <c r="F813" s="71" t="str">
        <f ca="1">IFERROR(__xludf.DUMMYFUNCTION("unique(filter($C$5:$C1123,$B$5:$B1123=E813))"),"")</f>
        <v/>
      </c>
      <c r="G813" s="203" t="str">
        <f ca="1">IFERROR(__xludf.DUMMYFUNCTION("unique(filter($D$5:$D1123,$B$5:$B1123=E813))"),"")</f>
        <v/>
      </c>
      <c r="K813" s="48"/>
      <c r="M813" s="205" t="s">
        <v>3123</v>
      </c>
    </row>
    <row r="814" spans="2:13" ht="15.75" customHeight="1" x14ac:dyDescent="0.2">
      <c r="B814" s="46"/>
      <c r="E814" s="71"/>
      <c r="F814" s="71" t="str">
        <f ca="1">IFERROR(__xludf.DUMMYFUNCTION("unique(filter($C$5:$C1123,$B$5:$B1123=E814))"),"")</f>
        <v/>
      </c>
      <c r="G814" s="203" t="str">
        <f ca="1">IFERROR(__xludf.DUMMYFUNCTION("unique(filter($D$5:$D1123,$B$5:$B1123=E814))"),"")</f>
        <v/>
      </c>
      <c r="K814" s="48"/>
      <c r="M814" s="205" t="s">
        <v>3124</v>
      </c>
    </row>
    <row r="815" spans="2:13" ht="15.75" customHeight="1" x14ac:dyDescent="0.2">
      <c r="B815" s="46"/>
      <c r="E815" s="71"/>
      <c r="F815" s="71" t="str">
        <f ca="1">IFERROR(__xludf.DUMMYFUNCTION("unique(filter($C$5:$C1123,$B$5:$B1123=E815))"),"")</f>
        <v/>
      </c>
      <c r="G815" s="203" t="str">
        <f ca="1">IFERROR(__xludf.DUMMYFUNCTION("unique(filter($D$5:$D1123,$B$5:$B1123=E815))"),"")</f>
        <v/>
      </c>
      <c r="K815" s="48"/>
      <c r="M815" s="205" t="s">
        <v>3125</v>
      </c>
    </row>
    <row r="816" spans="2:13" ht="15.75" customHeight="1" x14ac:dyDescent="0.2">
      <c r="B816" s="46"/>
      <c r="E816" s="71"/>
      <c r="F816" s="71" t="str">
        <f ca="1">IFERROR(__xludf.DUMMYFUNCTION("unique(filter($C$5:$C1123,$B$5:$B1123=E816))"),"")</f>
        <v/>
      </c>
      <c r="G816" s="203" t="str">
        <f ca="1">IFERROR(__xludf.DUMMYFUNCTION("unique(filter($D$5:$D1123,$B$5:$B1123=E816))"),"")</f>
        <v/>
      </c>
      <c r="K816" s="48"/>
      <c r="M816" s="205" t="s">
        <v>3126</v>
      </c>
    </row>
    <row r="817" spans="2:13" ht="15.75" customHeight="1" x14ac:dyDescent="0.2">
      <c r="B817" s="46"/>
      <c r="E817" s="71"/>
      <c r="F817" s="71" t="str">
        <f ca="1">IFERROR(__xludf.DUMMYFUNCTION("unique(filter($C$5:$C1123,$B$5:$B1123=E817))"),"")</f>
        <v/>
      </c>
      <c r="G817" s="203" t="str">
        <f ca="1">IFERROR(__xludf.DUMMYFUNCTION("unique(filter($D$5:$D1123,$B$5:$B1123=E817))"),"")</f>
        <v/>
      </c>
      <c r="K817" s="48"/>
      <c r="M817" s="205" t="s">
        <v>3127</v>
      </c>
    </row>
    <row r="818" spans="2:13" ht="15.75" customHeight="1" x14ac:dyDescent="0.2">
      <c r="B818" s="46"/>
      <c r="E818" s="71"/>
      <c r="F818" s="71" t="str">
        <f ca="1">IFERROR(__xludf.DUMMYFUNCTION("unique(filter($C$5:$C1123,$B$5:$B1123=E818))"),"")</f>
        <v/>
      </c>
      <c r="G818" s="203" t="str">
        <f ca="1">IFERROR(__xludf.DUMMYFUNCTION("unique(filter($D$5:$D1123,$B$5:$B1123=E818))"),"")</f>
        <v/>
      </c>
      <c r="K818" s="48"/>
      <c r="M818" s="205" t="s">
        <v>3128</v>
      </c>
    </row>
    <row r="819" spans="2:13" ht="15.75" customHeight="1" x14ac:dyDescent="0.2">
      <c r="B819" s="46"/>
      <c r="E819" s="71"/>
      <c r="F819" s="71" t="str">
        <f ca="1">IFERROR(__xludf.DUMMYFUNCTION("unique(filter($C$5:$C1123,$B$5:$B1123=E819))"),"")</f>
        <v/>
      </c>
      <c r="G819" s="203" t="str">
        <f ca="1">IFERROR(__xludf.DUMMYFUNCTION("unique(filter($D$5:$D1123,$B$5:$B1123=E819))"),"")</f>
        <v/>
      </c>
      <c r="K819" s="48"/>
      <c r="M819" s="205" t="s">
        <v>3129</v>
      </c>
    </row>
    <row r="820" spans="2:13" ht="15.75" customHeight="1" x14ac:dyDescent="0.2">
      <c r="B820" s="46"/>
      <c r="E820" s="71"/>
      <c r="F820" s="71" t="str">
        <f ca="1">IFERROR(__xludf.DUMMYFUNCTION("unique(filter($C$5:$C1123,$B$5:$B1123=E820))"),"")</f>
        <v/>
      </c>
      <c r="G820" s="203" t="str">
        <f ca="1">IFERROR(__xludf.DUMMYFUNCTION("unique(filter($D$5:$D1123,$B$5:$B1123=E820))"),"")</f>
        <v/>
      </c>
      <c r="K820" s="48"/>
      <c r="M820" s="205" t="s">
        <v>3130</v>
      </c>
    </row>
    <row r="821" spans="2:13" ht="15.75" customHeight="1" x14ac:dyDescent="0.2">
      <c r="B821" s="46"/>
      <c r="E821" s="71"/>
      <c r="F821" s="71" t="str">
        <f ca="1">IFERROR(__xludf.DUMMYFUNCTION("unique(filter($C$5:$C1123,$B$5:$B1123=E821))"),"")</f>
        <v/>
      </c>
      <c r="G821" s="203" t="str">
        <f ca="1">IFERROR(__xludf.DUMMYFUNCTION("unique(filter($D$5:$D1123,$B$5:$B1123=E821))"),"")</f>
        <v/>
      </c>
      <c r="K821" s="48"/>
      <c r="M821" s="205" t="s">
        <v>3131</v>
      </c>
    </row>
    <row r="822" spans="2:13" ht="15.75" customHeight="1" x14ac:dyDescent="0.2">
      <c r="B822" s="46"/>
      <c r="E822" s="71"/>
      <c r="F822" s="71" t="str">
        <f ca="1">IFERROR(__xludf.DUMMYFUNCTION("unique(filter($C$5:$C1123,$B$5:$B1123=E822))"),"")</f>
        <v/>
      </c>
      <c r="G822" s="203" t="str">
        <f ca="1">IFERROR(__xludf.DUMMYFUNCTION("unique(filter($D$5:$D1123,$B$5:$B1123=E822))"),"")</f>
        <v/>
      </c>
      <c r="K822" s="48"/>
      <c r="M822" s="205" t="s">
        <v>3132</v>
      </c>
    </row>
    <row r="823" spans="2:13" ht="15.75" customHeight="1" x14ac:dyDescent="0.2">
      <c r="B823" s="46"/>
      <c r="E823" s="71"/>
      <c r="F823" s="71" t="str">
        <f ca="1">IFERROR(__xludf.DUMMYFUNCTION("unique(filter($C$5:$C1123,$B$5:$B1123=E823))"),"")</f>
        <v/>
      </c>
      <c r="G823" s="203" t="str">
        <f ca="1">IFERROR(__xludf.DUMMYFUNCTION("unique(filter($D$5:$D1123,$B$5:$B1123=E823))"),"")</f>
        <v/>
      </c>
      <c r="K823" s="48"/>
      <c r="M823" s="205" t="s">
        <v>3133</v>
      </c>
    </row>
    <row r="824" spans="2:13" ht="15.75" customHeight="1" x14ac:dyDescent="0.2">
      <c r="B824" s="46"/>
      <c r="E824" s="71"/>
      <c r="F824" s="71" t="str">
        <f ca="1">IFERROR(__xludf.DUMMYFUNCTION("unique(filter($C$5:$C1123,$B$5:$B1123=E824))"),"")</f>
        <v/>
      </c>
      <c r="G824" s="203" t="str">
        <f ca="1">IFERROR(__xludf.DUMMYFUNCTION("unique(filter($D$5:$D1123,$B$5:$B1123=E824))"),"")</f>
        <v/>
      </c>
      <c r="K824" s="48"/>
      <c r="M824" s="205" t="s">
        <v>3134</v>
      </c>
    </row>
    <row r="825" spans="2:13" ht="15.75" customHeight="1" x14ac:dyDescent="0.2">
      <c r="B825" s="46"/>
      <c r="E825" s="71"/>
      <c r="F825" s="71" t="str">
        <f ca="1">IFERROR(__xludf.DUMMYFUNCTION("unique(filter($C$5:$C1123,$B$5:$B1123=E825))"),"")</f>
        <v/>
      </c>
      <c r="G825" s="203" t="str">
        <f ca="1">IFERROR(__xludf.DUMMYFUNCTION("unique(filter($D$5:$D1123,$B$5:$B1123=E825))"),"")</f>
        <v/>
      </c>
      <c r="K825" s="48"/>
      <c r="M825" s="205" t="s">
        <v>3135</v>
      </c>
    </row>
    <row r="826" spans="2:13" ht="15.75" customHeight="1" x14ac:dyDescent="0.2">
      <c r="B826" s="46"/>
      <c r="E826" s="71"/>
      <c r="F826" s="71" t="str">
        <f ca="1">IFERROR(__xludf.DUMMYFUNCTION("unique(filter($C$5:$C1123,$B$5:$B1123=E826))"),"")</f>
        <v/>
      </c>
      <c r="G826" s="203" t="str">
        <f ca="1">IFERROR(__xludf.DUMMYFUNCTION("unique(filter($D$5:$D1123,$B$5:$B1123=E826))"),"")</f>
        <v/>
      </c>
      <c r="K826" s="48"/>
      <c r="M826" s="205" t="s">
        <v>3136</v>
      </c>
    </row>
    <row r="827" spans="2:13" ht="15.75" customHeight="1" x14ac:dyDescent="0.2">
      <c r="B827" s="46"/>
      <c r="E827" s="71"/>
      <c r="F827" s="71" t="str">
        <f ca="1">IFERROR(__xludf.DUMMYFUNCTION("unique(filter($C$5:$C1123,$B$5:$B1123=E827))"),"")</f>
        <v/>
      </c>
      <c r="G827" s="203" t="str">
        <f ca="1">IFERROR(__xludf.DUMMYFUNCTION("unique(filter($D$5:$D1123,$B$5:$B1123=E827))"),"")</f>
        <v/>
      </c>
      <c r="K827" s="48"/>
      <c r="M827" s="205" t="s">
        <v>3137</v>
      </c>
    </row>
    <row r="828" spans="2:13" ht="15.75" customHeight="1" x14ac:dyDescent="0.2">
      <c r="B828" s="46"/>
      <c r="E828" s="71"/>
      <c r="F828" s="71" t="str">
        <f ca="1">IFERROR(__xludf.DUMMYFUNCTION("unique(filter($C$5:$C1123,$B$5:$B1123=E828))"),"")</f>
        <v/>
      </c>
      <c r="G828" s="203" t="str">
        <f ca="1">IFERROR(__xludf.DUMMYFUNCTION("unique(filter($D$5:$D1123,$B$5:$B1123=E828))"),"")</f>
        <v/>
      </c>
      <c r="K828" s="48"/>
      <c r="M828" s="205" t="s">
        <v>3138</v>
      </c>
    </row>
    <row r="829" spans="2:13" ht="15.75" customHeight="1" x14ac:dyDescent="0.2">
      <c r="B829" s="46"/>
      <c r="E829" s="71"/>
      <c r="F829" s="71" t="str">
        <f ca="1">IFERROR(__xludf.DUMMYFUNCTION("unique(filter($C$5:$C1123,$B$5:$B1123=E829))"),"")</f>
        <v/>
      </c>
      <c r="G829" s="203" t="str">
        <f ca="1">IFERROR(__xludf.DUMMYFUNCTION("unique(filter($D$5:$D1123,$B$5:$B1123=E829))"),"")</f>
        <v/>
      </c>
      <c r="K829" s="48"/>
      <c r="M829" s="205" t="s">
        <v>3139</v>
      </c>
    </row>
    <row r="830" spans="2:13" ht="15.75" customHeight="1" x14ac:dyDescent="0.2">
      <c r="B830" s="46"/>
      <c r="E830" s="71"/>
      <c r="F830" s="71" t="str">
        <f ca="1">IFERROR(__xludf.DUMMYFUNCTION("unique(filter($C$5:$C1123,$B$5:$B1123=E830))"),"")</f>
        <v/>
      </c>
      <c r="G830" s="203" t="str">
        <f ca="1">IFERROR(__xludf.DUMMYFUNCTION("unique(filter($D$5:$D1123,$B$5:$B1123=E830))"),"")</f>
        <v/>
      </c>
      <c r="K830" s="48"/>
      <c r="M830" s="205" t="s">
        <v>3140</v>
      </c>
    </row>
    <row r="831" spans="2:13" ht="15.75" customHeight="1" x14ac:dyDescent="0.2">
      <c r="B831" s="46"/>
      <c r="E831" s="71"/>
      <c r="F831" s="71" t="str">
        <f ca="1">IFERROR(__xludf.DUMMYFUNCTION("unique(filter($C$5:$C1123,$B$5:$B1123=E831))"),"")</f>
        <v/>
      </c>
      <c r="G831" s="203" t="str">
        <f ca="1">IFERROR(__xludf.DUMMYFUNCTION("unique(filter($D$5:$D1123,$B$5:$B1123=E831))"),"")</f>
        <v/>
      </c>
      <c r="K831" s="48"/>
      <c r="M831" s="205" t="s">
        <v>3141</v>
      </c>
    </row>
    <row r="832" spans="2:13" ht="15.75" customHeight="1" x14ac:dyDescent="0.2">
      <c r="B832" s="46"/>
      <c r="E832" s="71"/>
      <c r="F832" s="71" t="str">
        <f ca="1">IFERROR(__xludf.DUMMYFUNCTION("unique(filter($C$5:$C1123,$B$5:$B1123=E832))"),"")</f>
        <v/>
      </c>
      <c r="G832" s="203" t="str">
        <f ca="1">IFERROR(__xludf.DUMMYFUNCTION("unique(filter($D$5:$D1123,$B$5:$B1123=E832))"),"")</f>
        <v/>
      </c>
      <c r="K832" s="48"/>
      <c r="M832" s="205" t="s">
        <v>3142</v>
      </c>
    </row>
    <row r="833" spans="2:13" ht="15.75" customHeight="1" x14ac:dyDescent="0.2">
      <c r="B833" s="46"/>
      <c r="E833" s="71"/>
      <c r="F833" s="71" t="str">
        <f ca="1">IFERROR(__xludf.DUMMYFUNCTION("unique(filter($C$5:$C1123,$B$5:$B1123=E833))"),"")</f>
        <v/>
      </c>
      <c r="G833" s="203" t="str">
        <f ca="1">IFERROR(__xludf.DUMMYFUNCTION("unique(filter($D$5:$D1123,$B$5:$B1123=E833))"),"")</f>
        <v/>
      </c>
      <c r="K833" s="48"/>
      <c r="M833" s="205" t="s">
        <v>3143</v>
      </c>
    </row>
    <row r="834" spans="2:13" ht="15.75" customHeight="1" x14ac:dyDescent="0.2">
      <c r="B834" s="46"/>
      <c r="E834" s="71"/>
      <c r="F834" s="71" t="str">
        <f ca="1">IFERROR(__xludf.DUMMYFUNCTION("unique(filter($C$5:$C1123,$B$5:$B1123=E834))"),"")</f>
        <v/>
      </c>
      <c r="G834" s="203" t="str">
        <f ca="1">IFERROR(__xludf.DUMMYFUNCTION("unique(filter($D$5:$D1123,$B$5:$B1123=E834))"),"")</f>
        <v/>
      </c>
      <c r="K834" s="48"/>
      <c r="M834" s="205" t="s">
        <v>3144</v>
      </c>
    </row>
    <row r="835" spans="2:13" ht="15.75" customHeight="1" x14ac:dyDescent="0.2">
      <c r="B835" s="46"/>
      <c r="E835" s="71"/>
      <c r="F835" s="71" t="str">
        <f ca="1">IFERROR(__xludf.DUMMYFUNCTION("unique(filter($C$5:$C1123,$B$5:$B1123=E835))"),"")</f>
        <v/>
      </c>
      <c r="G835" s="203" t="str">
        <f ca="1">IFERROR(__xludf.DUMMYFUNCTION("unique(filter($D$5:$D1123,$B$5:$B1123=E835))"),"")</f>
        <v/>
      </c>
      <c r="K835" s="48"/>
      <c r="M835" s="205" t="s">
        <v>3145</v>
      </c>
    </row>
    <row r="836" spans="2:13" ht="15.75" customHeight="1" x14ac:dyDescent="0.2">
      <c r="B836" s="46"/>
      <c r="E836" s="71"/>
      <c r="F836" s="71" t="str">
        <f ca="1">IFERROR(__xludf.DUMMYFUNCTION("unique(filter($C$5:$C1123,$B$5:$B1123=E836))"),"")</f>
        <v/>
      </c>
      <c r="G836" s="203" t="str">
        <f ca="1">IFERROR(__xludf.DUMMYFUNCTION("unique(filter($D$5:$D1123,$B$5:$B1123=E836))"),"")</f>
        <v/>
      </c>
      <c r="K836" s="48"/>
      <c r="M836" s="205" t="s">
        <v>3146</v>
      </c>
    </row>
    <row r="837" spans="2:13" ht="15.75" customHeight="1" x14ac:dyDescent="0.2">
      <c r="B837" s="46"/>
      <c r="E837" s="71"/>
      <c r="F837" s="71" t="str">
        <f ca="1">IFERROR(__xludf.DUMMYFUNCTION("unique(filter($C$5:$C1123,$B$5:$B1123=E837))"),"")</f>
        <v/>
      </c>
      <c r="G837" s="203" t="str">
        <f ca="1">IFERROR(__xludf.DUMMYFUNCTION("unique(filter($D$5:$D1123,$B$5:$B1123=E837))"),"")</f>
        <v/>
      </c>
      <c r="K837" s="48"/>
      <c r="M837" s="205" t="s">
        <v>3147</v>
      </c>
    </row>
    <row r="838" spans="2:13" ht="15.75" customHeight="1" x14ac:dyDescent="0.2">
      <c r="B838" s="46"/>
      <c r="E838" s="71"/>
      <c r="F838" s="71" t="str">
        <f ca="1">IFERROR(__xludf.DUMMYFUNCTION("unique(filter($C$5:$C1123,$B$5:$B1123=E838))"),"")</f>
        <v/>
      </c>
      <c r="G838" s="203" t="str">
        <f ca="1">IFERROR(__xludf.DUMMYFUNCTION("unique(filter($D$5:$D1123,$B$5:$B1123=E838))"),"")</f>
        <v/>
      </c>
      <c r="K838" s="48"/>
      <c r="M838" s="205" t="s">
        <v>3148</v>
      </c>
    </row>
    <row r="839" spans="2:13" ht="15.75" customHeight="1" x14ac:dyDescent="0.2">
      <c r="B839" s="46"/>
      <c r="E839" s="71"/>
      <c r="F839" s="71" t="str">
        <f ca="1">IFERROR(__xludf.DUMMYFUNCTION("unique(filter($C$5:$C1123,$B$5:$B1123=E839))"),"")</f>
        <v/>
      </c>
      <c r="G839" s="203" t="str">
        <f ca="1">IFERROR(__xludf.DUMMYFUNCTION("unique(filter($D$5:$D1123,$B$5:$B1123=E839))"),"")</f>
        <v/>
      </c>
      <c r="K839" s="48"/>
      <c r="M839" s="205" t="s">
        <v>3149</v>
      </c>
    </row>
    <row r="840" spans="2:13" ht="15.75" customHeight="1" x14ac:dyDescent="0.2">
      <c r="B840" s="46"/>
      <c r="E840" s="71"/>
      <c r="F840" s="71" t="str">
        <f ca="1">IFERROR(__xludf.DUMMYFUNCTION("unique(filter($C$5:$C1123,$B$5:$B1123=E840))"),"")</f>
        <v/>
      </c>
      <c r="G840" s="203" t="str">
        <f ca="1">IFERROR(__xludf.DUMMYFUNCTION("unique(filter($D$5:$D1123,$B$5:$B1123=E840))"),"")</f>
        <v/>
      </c>
      <c r="K840" s="48"/>
      <c r="M840" s="205" t="s">
        <v>3150</v>
      </c>
    </row>
    <row r="841" spans="2:13" ht="15.75" customHeight="1" x14ac:dyDescent="0.2">
      <c r="B841" s="46"/>
      <c r="E841" s="71"/>
      <c r="F841" s="71" t="str">
        <f ca="1">IFERROR(__xludf.DUMMYFUNCTION("unique(filter($C$5:$C1123,$B$5:$B1123=E841))"),"")</f>
        <v/>
      </c>
      <c r="G841" s="203" t="str">
        <f ca="1">IFERROR(__xludf.DUMMYFUNCTION("unique(filter($D$5:$D1123,$B$5:$B1123=E841))"),"")</f>
        <v/>
      </c>
      <c r="K841" s="48"/>
      <c r="M841" s="205" t="s">
        <v>3151</v>
      </c>
    </row>
    <row r="842" spans="2:13" ht="15.75" customHeight="1" x14ac:dyDescent="0.2">
      <c r="B842" s="46"/>
      <c r="E842" s="71"/>
      <c r="F842" s="71" t="str">
        <f ca="1">IFERROR(__xludf.DUMMYFUNCTION("unique(filter($C$5:$C1123,$B$5:$B1123=E842))"),"")</f>
        <v/>
      </c>
      <c r="G842" s="203" t="str">
        <f ca="1">IFERROR(__xludf.DUMMYFUNCTION("unique(filter($D$5:$D1123,$B$5:$B1123=E842))"),"")</f>
        <v/>
      </c>
      <c r="K842" s="48"/>
      <c r="M842" s="205" t="s">
        <v>3152</v>
      </c>
    </row>
    <row r="843" spans="2:13" ht="15.75" customHeight="1" x14ac:dyDescent="0.2">
      <c r="B843" s="46"/>
      <c r="E843" s="71"/>
      <c r="F843" s="71" t="str">
        <f ca="1">IFERROR(__xludf.DUMMYFUNCTION("unique(filter($C$5:$C1123,$B$5:$B1123=E843))"),"")</f>
        <v/>
      </c>
      <c r="G843" s="203" t="str">
        <f ca="1">IFERROR(__xludf.DUMMYFUNCTION("unique(filter($D$5:$D1123,$B$5:$B1123=E843))"),"")</f>
        <v/>
      </c>
      <c r="K843" s="48"/>
      <c r="M843" s="205" t="s">
        <v>3153</v>
      </c>
    </row>
    <row r="844" spans="2:13" ht="15.75" customHeight="1" x14ac:dyDescent="0.2">
      <c r="B844" s="46"/>
      <c r="E844" s="71"/>
      <c r="F844" s="71" t="str">
        <f ca="1">IFERROR(__xludf.DUMMYFUNCTION("unique(filter($C$5:$C1123,$B$5:$B1123=E844))"),"")</f>
        <v/>
      </c>
      <c r="G844" s="203" t="str">
        <f ca="1">IFERROR(__xludf.DUMMYFUNCTION("unique(filter($D$5:$D1123,$B$5:$B1123=E844))"),"")</f>
        <v/>
      </c>
      <c r="K844" s="48"/>
      <c r="M844" s="205" t="s">
        <v>3154</v>
      </c>
    </row>
    <row r="845" spans="2:13" ht="15.75" customHeight="1" x14ac:dyDescent="0.2">
      <c r="B845" s="46"/>
      <c r="E845" s="71"/>
      <c r="F845" s="71" t="str">
        <f ca="1">IFERROR(__xludf.DUMMYFUNCTION("unique(filter($C$5:$C1123,$B$5:$B1123=E845))"),"")</f>
        <v/>
      </c>
      <c r="G845" s="203" t="str">
        <f ca="1">IFERROR(__xludf.DUMMYFUNCTION("unique(filter($D$5:$D1123,$B$5:$B1123=E845))"),"")</f>
        <v/>
      </c>
      <c r="K845" s="48"/>
      <c r="M845" s="205" t="s">
        <v>3155</v>
      </c>
    </row>
    <row r="846" spans="2:13" ht="15.75" customHeight="1" x14ac:dyDescent="0.2">
      <c r="B846" s="46"/>
      <c r="E846" s="71"/>
      <c r="F846" s="71" t="str">
        <f ca="1">IFERROR(__xludf.DUMMYFUNCTION("unique(filter($C$5:$C1123,$B$5:$B1123=E846))"),"")</f>
        <v/>
      </c>
      <c r="G846" s="203" t="str">
        <f ca="1">IFERROR(__xludf.DUMMYFUNCTION("unique(filter($D$5:$D1123,$B$5:$B1123=E846))"),"")</f>
        <v/>
      </c>
      <c r="K846" s="48"/>
      <c r="M846" s="205" t="s">
        <v>3156</v>
      </c>
    </row>
    <row r="847" spans="2:13" ht="15.75" customHeight="1" x14ac:dyDescent="0.2">
      <c r="B847" s="46"/>
      <c r="E847" s="71"/>
      <c r="F847" s="71" t="str">
        <f ca="1">IFERROR(__xludf.DUMMYFUNCTION("unique(filter($C$5:$C1123,$B$5:$B1123=E847))"),"")</f>
        <v/>
      </c>
      <c r="G847" s="203" t="str">
        <f ca="1">IFERROR(__xludf.DUMMYFUNCTION("unique(filter($D$5:$D1123,$B$5:$B1123=E847))"),"")</f>
        <v/>
      </c>
      <c r="K847" s="48"/>
      <c r="M847" s="205" t="s">
        <v>3157</v>
      </c>
    </row>
    <row r="848" spans="2:13" ht="15.75" customHeight="1" x14ac:dyDescent="0.2">
      <c r="B848" s="46"/>
      <c r="E848" s="71"/>
      <c r="F848" s="71" t="str">
        <f ca="1">IFERROR(__xludf.DUMMYFUNCTION("unique(filter($C$5:$C1123,$B$5:$B1123=E848))"),"")</f>
        <v/>
      </c>
      <c r="G848" s="203" t="str">
        <f ca="1">IFERROR(__xludf.DUMMYFUNCTION("unique(filter($D$5:$D1123,$B$5:$B1123=E848))"),"")</f>
        <v/>
      </c>
      <c r="K848" s="48"/>
      <c r="M848" s="205" t="s">
        <v>3158</v>
      </c>
    </row>
    <row r="849" spans="2:13" ht="15.75" customHeight="1" x14ac:dyDescent="0.2">
      <c r="B849" s="46"/>
      <c r="E849" s="71"/>
      <c r="F849" s="71" t="str">
        <f ca="1">IFERROR(__xludf.DUMMYFUNCTION("unique(filter($C$5:$C1123,$B$5:$B1123=E849))"),"")</f>
        <v/>
      </c>
      <c r="G849" s="203" t="str">
        <f ca="1">IFERROR(__xludf.DUMMYFUNCTION("unique(filter($D$5:$D1123,$B$5:$B1123=E849))"),"")</f>
        <v/>
      </c>
      <c r="K849" s="48"/>
      <c r="M849" s="205" t="s">
        <v>3159</v>
      </c>
    </row>
    <row r="850" spans="2:13" ht="15.75" customHeight="1" x14ac:dyDescent="0.2">
      <c r="B850" s="46"/>
      <c r="E850" s="71"/>
      <c r="F850" s="71" t="str">
        <f ca="1">IFERROR(__xludf.DUMMYFUNCTION("unique(filter($C$5:$C1123,$B$5:$B1123=E850))"),"")</f>
        <v/>
      </c>
      <c r="G850" s="203" t="str">
        <f ca="1">IFERROR(__xludf.DUMMYFUNCTION("unique(filter($D$5:$D1123,$B$5:$B1123=E850))"),"")</f>
        <v/>
      </c>
      <c r="K850" s="48"/>
      <c r="M850" s="205" t="s">
        <v>3160</v>
      </c>
    </row>
    <row r="851" spans="2:13" ht="15.75" customHeight="1" x14ac:dyDescent="0.2">
      <c r="B851" s="46"/>
      <c r="E851" s="71"/>
      <c r="F851" s="71" t="str">
        <f ca="1">IFERROR(__xludf.DUMMYFUNCTION("unique(filter($C$5:$C1123,$B$5:$B1123=E851))"),"")</f>
        <v/>
      </c>
      <c r="G851" s="203" t="str">
        <f ca="1">IFERROR(__xludf.DUMMYFUNCTION("unique(filter($D$5:$D1123,$B$5:$B1123=E851))"),"")</f>
        <v/>
      </c>
      <c r="K851" s="48"/>
      <c r="M851" s="205" t="s">
        <v>3161</v>
      </c>
    </row>
    <row r="852" spans="2:13" ht="15.75" customHeight="1" x14ac:dyDescent="0.2">
      <c r="B852" s="46"/>
      <c r="E852" s="71"/>
      <c r="F852" s="71" t="str">
        <f ca="1">IFERROR(__xludf.DUMMYFUNCTION("unique(filter($C$5:$C1123,$B$5:$B1123=E852))"),"")</f>
        <v/>
      </c>
      <c r="G852" s="203" t="str">
        <f ca="1">IFERROR(__xludf.DUMMYFUNCTION("unique(filter($D$5:$D1123,$B$5:$B1123=E852))"),"")</f>
        <v/>
      </c>
      <c r="K852" s="48"/>
      <c r="M852" s="205" t="s">
        <v>3162</v>
      </c>
    </row>
    <row r="853" spans="2:13" ht="15.75" customHeight="1" x14ac:dyDescent="0.2">
      <c r="B853" s="46"/>
      <c r="E853" s="71"/>
      <c r="F853" s="71" t="str">
        <f ca="1">IFERROR(__xludf.DUMMYFUNCTION("unique(filter($C$5:$C1123,$B$5:$B1123=E853))"),"")</f>
        <v/>
      </c>
      <c r="G853" s="203" t="str">
        <f ca="1">IFERROR(__xludf.DUMMYFUNCTION("unique(filter($D$5:$D1123,$B$5:$B1123=E853))"),"")</f>
        <v/>
      </c>
      <c r="K853" s="48"/>
      <c r="M853" s="205" t="s">
        <v>3163</v>
      </c>
    </row>
    <row r="854" spans="2:13" ht="15.75" customHeight="1" x14ac:dyDescent="0.2">
      <c r="B854" s="46"/>
      <c r="E854" s="71"/>
      <c r="F854" s="71" t="str">
        <f ca="1">IFERROR(__xludf.DUMMYFUNCTION("unique(filter($C$5:$C1123,$B$5:$B1123=E854))"),"")</f>
        <v/>
      </c>
      <c r="G854" s="203" t="str">
        <f ca="1">IFERROR(__xludf.DUMMYFUNCTION("unique(filter($D$5:$D1123,$B$5:$B1123=E854))"),"")</f>
        <v/>
      </c>
      <c r="K854" s="48"/>
      <c r="M854" s="205" t="s">
        <v>3164</v>
      </c>
    </row>
    <row r="855" spans="2:13" ht="15.75" customHeight="1" x14ac:dyDescent="0.2">
      <c r="B855" s="46"/>
      <c r="E855" s="71"/>
      <c r="F855" s="71" t="str">
        <f ca="1">IFERROR(__xludf.DUMMYFUNCTION("unique(filter($C$5:$C1123,$B$5:$B1123=E855))"),"")</f>
        <v/>
      </c>
      <c r="G855" s="203" t="str">
        <f ca="1">IFERROR(__xludf.DUMMYFUNCTION("unique(filter($D$5:$D1123,$B$5:$B1123=E855))"),"")</f>
        <v/>
      </c>
      <c r="K855" s="48"/>
      <c r="M855" s="205" t="s">
        <v>3165</v>
      </c>
    </row>
    <row r="856" spans="2:13" ht="15.75" customHeight="1" x14ac:dyDescent="0.2">
      <c r="B856" s="46"/>
      <c r="E856" s="71"/>
      <c r="F856" s="71" t="str">
        <f ca="1">IFERROR(__xludf.DUMMYFUNCTION("unique(filter($C$5:$C1123,$B$5:$B1123=E856))"),"")</f>
        <v/>
      </c>
      <c r="G856" s="203" t="str">
        <f ca="1">IFERROR(__xludf.DUMMYFUNCTION("unique(filter($D$5:$D1123,$B$5:$B1123=E856))"),"")</f>
        <v/>
      </c>
      <c r="K856" s="48"/>
      <c r="M856" s="205" t="s">
        <v>3166</v>
      </c>
    </row>
    <row r="857" spans="2:13" ht="15.75" customHeight="1" x14ac:dyDescent="0.2">
      <c r="B857" s="46"/>
      <c r="E857" s="71"/>
      <c r="F857" s="71" t="str">
        <f ca="1">IFERROR(__xludf.DUMMYFUNCTION("unique(filter($C$5:$C1123,$B$5:$B1123=E857))"),"")</f>
        <v/>
      </c>
      <c r="G857" s="203" t="str">
        <f ca="1">IFERROR(__xludf.DUMMYFUNCTION("unique(filter($D$5:$D1123,$B$5:$B1123=E857))"),"")</f>
        <v/>
      </c>
      <c r="K857" s="48"/>
      <c r="M857" s="205" t="s">
        <v>3167</v>
      </c>
    </row>
    <row r="858" spans="2:13" ht="15.75" customHeight="1" x14ac:dyDescent="0.2">
      <c r="B858" s="46"/>
      <c r="E858" s="71"/>
      <c r="F858" s="71" t="str">
        <f ca="1">IFERROR(__xludf.DUMMYFUNCTION("unique(filter($C$5:$C1123,$B$5:$B1123=E858))"),"")</f>
        <v/>
      </c>
      <c r="G858" s="203" t="str">
        <f ca="1">IFERROR(__xludf.DUMMYFUNCTION("unique(filter($D$5:$D1123,$B$5:$B1123=E858))"),"")</f>
        <v/>
      </c>
      <c r="K858" s="48"/>
      <c r="M858" s="205" t="s">
        <v>3168</v>
      </c>
    </row>
    <row r="859" spans="2:13" ht="15.75" customHeight="1" x14ac:dyDescent="0.2">
      <c r="B859" s="46"/>
      <c r="E859" s="71"/>
      <c r="F859" s="71" t="str">
        <f ca="1">IFERROR(__xludf.DUMMYFUNCTION("unique(filter($C$5:$C1123,$B$5:$B1123=E859))"),"")</f>
        <v/>
      </c>
      <c r="G859" s="203" t="str">
        <f ca="1">IFERROR(__xludf.DUMMYFUNCTION("unique(filter($D$5:$D1123,$B$5:$B1123=E859))"),"")</f>
        <v/>
      </c>
      <c r="K859" s="48"/>
      <c r="M859" s="205" t="s">
        <v>3169</v>
      </c>
    </row>
    <row r="860" spans="2:13" ht="15.75" customHeight="1" x14ac:dyDescent="0.2">
      <c r="B860" s="46"/>
      <c r="E860" s="71"/>
      <c r="F860" s="71" t="str">
        <f ca="1">IFERROR(__xludf.DUMMYFUNCTION("unique(filter($C$5:$C1123,$B$5:$B1123=E860))"),"")</f>
        <v/>
      </c>
      <c r="G860" s="203" t="str">
        <f ca="1">IFERROR(__xludf.DUMMYFUNCTION("unique(filter($D$5:$D1123,$B$5:$B1123=E860))"),"")</f>
        <v/>
      </c>
      <c r="K860" s="48"/>
      <c r="M860" s="205" t="s">
        <v>3170</v>
      </c>
    </row>
    <row r="861" spans="2:13" ht="15.75" customHeight="1" x14ac:dyDescent="0.2">
      <c r="B861" s="46"/>
      <c r="E861" s="71"/>
      <c r="F861" s="71" t="str">
        <f ca="1">IFERROR(__xludf.DUMMYFUNCTION("unique(filter($C$5:$C1123,$B$5:$B1123=E861))"),"")</f>
        <v/>
      </c>
      <c r="G861" s="203" t="str">
        <f ca="1">IFERROR(__xludf.DUMMYFUNCTION("unique(filter($D$5:$D1123,$B$5:$B1123=E861))"),"")</f>
        <v/>
      </c>
      <c r="K861" s="48"/>
      <c r="M861" s="205" t="s">
        <v>3171</v>
      </c>
    </row>
    <row r="862" spans="2:13" ht="15.75" customHeight="1" x14ac:dyDescent="0.2">
      <c r="B862" s="46"/>
      <c r="E862" s="71"/>
      <c r="F862" s="71" t="str">
        <f ca="1">IFERROR(__xludf.DUMMYFUNCTION("unique(filter($C$5:$C1123,$B$5:$B1123=E862))"),"")</f>
        <v/>
      </c>
      <c r="G862" s="203" t="str">
        <f ca="1">IFERROR(__xludf.DUMMYFUNCTION("unique(filter($D$5:$D1123,$B$5:$B1123=E862))"),"")</f>
        <v/>
      </c>
      <c r="K862" s="48"/>
      <c r="M862" s="205" t="s">
        <v>3172</v>
      </c>
    </row>
    <row r="863" spans="2:13" ht="15.75" customHeight="1" x14ac:dyDescent="0.2">
      <c r="B863" s="46"/>
      <c r="E863" s="71"/>
      <c r="F863" s="71" t="str">
        <f ca="1">IFERROR(__xludf.DUMMYFUNCTION("unique(filter($C$5:$C1123,$B$5:$B1123=E863))"),"")</f>
        <v/>
      </c>
      <c r="G863" s="203" t="str">
        <f ca="1">IFERROR(__xludf.DUMMYFUNCTION("unique(filter($D$5:$D1123,$B$5:$B1123=E863))"),"")</f>
        <v/>
      </c>
      <c r="K863" s="48"/>
      <c r="M863" s="205" t="s">
        <v>3173</v>
      </c>
    </row>
    <row r="864" spans="2:13" ht="15.75" customHeight="1" x14ac:dyDescent="0.2">
      <c r="B864" s="46"/>
      <c r="E864" s="71"/>
      <c r="F864" s="71" t="str">
        <f ca="1">IFERROR(__xludf.DUMMYFUNCTION("unique(filter($C$5:$C1123,$B$5:$B1123=E864))"),"")</f>
        <v/>
      </c>
      <c r="G864" s="203" t="str">
        <f ca="1">IFERROR(__xludf.DUMMYFUNCTION("unique(filter($D$5:$D1123,$B$5:$B1123=E864))"),"")</f>
        <v/>
      </c>
      <c r="K864" s="48"/>
      <c r="M864" s="205" t="s">
        <v>3174</v>
      </c>
    </row>
    <row r="865" spans="2:13" ht="15.75" customHeight="1" x14ac:dyDescent="0.2">
      <c r="B865" s="46"/>
      <c r="E865" s="71"/>
      <c r="F865" s="71" t="str">
        <f ca="1">IFERROR(__xludf.DUMMYFUNCTION("unique(filter($C$5:$C1123,$B$5:$B1123=E865))"),"")</f>
        <v/>
      </c>
      <c r="G865" s="203" t="str">
        <f ca="1">IFERROR(__xludf.DUMMYFUNCTION("unique(filter($D$5:$D1123,$B$5:$B1123=E865))"),"")</f>
        <v/>
      </c>
      <c r="K865" s="48"/>
      <c r="M865" s="205" t="s">
        <v>3175</v>
      </c>
    </row>
    <row r="866" spans="2:13" ht="15.75" customHeight="1" x14ac:dyDescent="0.2">
      <c r="B866" s="46"/>
      <c r="E866" s="71"/>
      <c r="F866" s="71" t="str">
        <f ca="1">IFERROR(__xludf.DUMMYFUNCTION("unique(filter($C$5:$C1123,$B$5:$B1123=E866))"),"")</f>
        <v/>
      </c>
      <c r="G866" s="203" t="str">
        <f ca="1">IFERROR(__xludf.DUMMYFUNCTION("unique(filter($D$5:$D1123,$B$5:$B1123=E866))"),"")</f>
        <v/>
      </c>
      <c r="K866" s="48"/>
      <c r="M866" s="205" t="s">
        <v>3176</v>
      </c>
    </row>
    <row r="867" spans="2:13" ht="15.75" customHeight="1" x14ac:dyDescent="0.2">
      <c r="B867" s="46"/>
      <c r="E867" s="71"/>
      <c r="F867" s="71" t="str">
        <f ca="1">IFERROR(__xludf.DUMMYFUNCTION("unique(filter($C$5:$C1123,$B$5:$B1123=E867))"),"")</f>
        <v/>
      </c>
      <c r="G867" s="203" t="str">
        <f ca="1">IFERROR(__xludf.DUMMYFUNCTION("unique(filter($D$5:$D1123,$B$5:$B1123=E867))"),"")</f>
        <v/>
      </c>
      <c r="K867" s="48"/>
      <c r="M867" s="205" t="s">
        <v>3177</v>
      </c>
    </row>
    <row r="868" spans="2:13" ht="15.75" customHeight="1" x14ac:dyDescent="0.2">
      <c r="B868" s="46"/>
      <c r="E868" s="71"/>
      <c r="F868" s="71" t="str">
        <f ca="1">IFERROR(__xludf.DUMMYFUNCTION("unique(filter($C$5:$C1123,$B$5:$B1123=E868))"),"")</f>
        <v/>
      </c>
      <c r="G868" s="203" t="str">
        <f ca="1">IFERROR(__xludf.DUMMYFUNCTION("unique(filter($D$5:$D1123,$B$5:$B1123=E868))"),"")</f>
        <v/>
      </c>
      <c r="K868" s="48"/>
      <c r="M868" s="205" t="s">
        <v>3178</v>
      </c>
    </row>
    <row r="869" spans="2:13" ht="15.75" customHeight="1" x14ac:dyDescent="0.2">
      <c r="B869" s="46"/>
      <c r="E869" s="71"/>
      <c r="F869" s="71" t="str">
        <f ca="1">IFERROR(__xludf.DUMMYFUNCTION("unique(filter($C$5:$C1123,$B$5:$B1123=E869))"),"")</f>
        <v/>
      </c>
      <c r="G869" s="203" t="str">
        <f ca="1">IFERROR(__xludf.DUMMYFUNCTION("unique(filter($D$5:$D1123,$B$5:$B1123=E869))"),"")</f>
        <v/>
      </c>
      <c r="K869" s="48"/>
      <c r="M869" s="205" t="s">
        <v>3179</v>
      </c>
    </row>
    <row r="870" spans="2:13" ht="15.75" customHeight="1" x14ac:dyDescent="0.2">
      <c r="B870" s="46"/>
      <c r="E870" s="71"/>
      <c r="F870" s="71" t="str">
        <f ca="1">IFERROR(__xludf.DUMMYFUNCTION("unique(filter($C$5:$C1123,$B$5:$B1123=E870))"),"")</f>
        <v/>
      </c>
      <c r="G870" s="203" t="str">
        <f ca="1">IFERROR(__xludf.DUMMYFUNCTION("unique(filter($D$5:$D1123,$B$5:$B1123=E870))"),"")</f>
        <v/>
      </c>
      <c r="K870" s="48"/>
      <c r="M870" s="205" t="s">
        <v>3180</v>
      </c>
    </row>
    <row r="871" spans="2:13" ht="15.75" customHeight="1" x14ac:dyDescent="0.2">
      <c r="B871" s="46"/>
      <c r="E871" s="71"/>
      <c r="F871" s="71" t="str">
        <f ca="1">IFERROR(__xludf.DUMMYFUNCTION("unique(filter($C$5:$C1123,$B$5:$B1123=E871))"),"")</f>
        <v/>
      </c>
      <c r="G871" s="203" t="str">
        <f ca="1">IFERROR(__xludf.DUMMYFUNCTION("unique(filter($D$5:$D1123,$B$5:$B1123=E871))"),"")</f>
        <v/>
      </c>
      <c r="K871" s="48"/>
      <c r="M871" s="205" t="s">
        <v>3181</v>
      </c>
    </row>
    <row r="872" spans="2:13" ht="15.75" customHeight="1" x14ac:dyDescent="0.2">
      <c r="B872" s="46"/>
      <c r="E872" s="71"/>
      <c r="F872" s="71" t="str">
        <f ca="1">IFERROR(__xludf.DUMMYFUNCTION("unique(filter($C$5:$C1123,$B$5:$B1123=E872))"),"")</f>
        <v/>
      </c>
      <c r="G872" s="203" t="str">
        <f ca="1">IFERROR(__xludf.DUMMYFUNCTION("unique(filter($D$5:$D1123,$B$5:$B1123=E872))"),"")</f>
        <v/>
      </c>
      <c r="K872" s="48"/>
      <c r="M872" s="205" t="s">
        <v>3182</v>
      </c>
    </row>
    <row r="873" spans="2:13" ht="15.75" customHeight="1" x14ac:dyDescent="0.2">
      <c r="B873" s="46"/>
      <c r="E873" s="71"/>
      <c r="F873" s="71" t="str">
        <f ca="1">IFERROR(__xludf.DUMMYFUNCTION("unique(filter($C$5:$C1123,$B$5:$B1123=E873))"),"")</f>
        <v/>
      </c>
      <c r="G873" s="203" t="str">
        <f ca="1">IFERROR(__xludf.DUMMYFUNCTION("unique(filter($D$5:$D1123,$B$5:$B1123=E873))"),"")</f>
        <v/>
      </c>
      <c r="K873" s="48"/>
      <c r="M873" s="205" t="s">
        <v>3183</v>
      </c>
    </row>
    <row r="874" spans="2:13" ht="15.75" customHeight="1" x14ac:dyDescent="0.2">
      <c r="B874" s="46"/>
      <c r="E874" s="71"/>
      <c r="F874" s="71" t="str">
        <f ca="1">IFERROR(__xludf.DUMMYFUNCTION("unique(filter($C$5:$C1123,$B$5:$B1123=E874))"),"")</f>
        <v/>
      </c>
      <c r="G874" s="203" t="str">
        <f ca="1">IFERROR(__xludf.DUMMYFUNCTION("unique(filter($D$5:$D1123,$B$5:$B1123=E874))"),"")</f>
        <v/>
      </c>
      <c r="K874" s="48"/>
      <c r="M874" s="205" t="s">
        <v>3184</v>
      </c>
    </row>
    <row r="875" spans="2:13" ht="15.75" customHeight="1" x14ac:dyDescent="0.2">
      <c r="B875" s="46"/>
      <c r="E875" s="71"/>
      <c r="F875" s="71" t="str">
        <f ca="1">IFERROR(__xludf.DUMMYFUNCTION("unique(filter($C$5:$C1123,$B$5:$B1123=E875))"),"")</f>
        <v/>
      </c>
      <c r="G875" s="203" t="str">
        <f ca="1">IFERROR(__xludf.DUMMYFUNCTION("unique(filter($D$5:$D1123,$B$5:$B1123=E875))"),"")</f>
        <v/>
      </c>
      <c r="K875" s="48"/>
      <c r="M875" s="205" t="s">
        <v>3185</v>
      </c>
    </row>
    <row r="876" spans="2:13" ht="15.75" customHeight="1" x14ac:dyDescent="0.2">
      <c r="B876" s="46"/>
      <c r="E876" s="71"/>
      <c r="F876" s="71" t="str">
        <f ca="1">IFERROR(__xludf.DUMMYFUNCTION("unique(filter($C$5:$C1123,$B$5:$B1123=E876))"),"")</f>
        <v/>
      </c>
      <c r="G876" s="203" t="str">
        <f ca="1">IFERROR(__xludf.DUMMYFUNCTION("unique(filter($D$5:$D1123,$B$5:$B1123=E876))"),"")</f>
        <v/>
      </c>
      <c r="K876" s="48"/>
      <c r="M876" s="205" t="s">
        <v>3186</v>
      </c>
    </row>
    <row r="877" spans="2:13" ht="15.75" customHeight="1" x14ac:dyDescent="0.2">
      <c r="B877" s="46"/>
      <c r="E877" s="71"/>
      <c r="F877" s="71" t="str">
        <f ca="1">IFERROR(__xludf.DUMMYFUNCTION("unique(filter($C$5:$C1123,$B$5:$B1123=E877))"),"")</f>
        <v/>
      </c>
      <c r="G877" s="203" t="str">
        <f ca="1">IFERROR(__xludf.DUMMYFUNCTION("unique(filter($D$5:$D1123,$B$5:$B1123=E877))"),"")</f>
        <v/>
      </c>
      <c r="K877" s="48"/>
      <c r="M877" s="205" t="s">
        <v>3187</v>
      </c>
    </row>
    <row r="878" spans="2:13" ht="15.75" customHeight="1" x14ac:dyDescent="0.2">
      <c r="B878" s="46"/>
      <c r="E878" s="71"/>
      <c r="F878" s="71" t="str">
        <f ca="1">IFERROR(__xludf.DUMMYFUNCTION("unique(filter($C$5:$C1123,$B$5:$B1123=E878))"),"")</f>
        <v/>
      </c>
      <c r="G878" s="203" t="str">
        <f ca="1">IFERROR(__xludf.DUMMYFUNCTION("unique(filter($D$5:$D1123,$B$5:$B1123=E878))"),"")</f>
        <v/>
      </c>
      <c r="K878" s="48"/>
      <c r="M878" s="205" t="s">
        <v>3188</v>
      </c>
    </row>
    <row r="879" spans="2:13" ht="15.75" customHeight="1" x14ac:dyDescent="0.2">
      <c r="B879" s="46"/>
      <c r="E879" s="71"/>
      <c r="F879" s="71" t="str">
        <f ca="1">IFERROR(__xludf.DUMMYFUNCTION("unique(filter($C$5:$C1123,$B$5:$B1123=E879))"),"")</f>
        <v/>
      </c>
      <c r="G879" s="203" t="str">
        <f ca="1">IFERROR(__xludf.DUMMYFUNCTION("unique(filter($D$5:$D1123,$B$5:$B1123=E879))"),"")</f>
        <v/>
      </c>
      <c r="K879" s="48"/>
      <c r="M879" s="205" t="s">
        <v>3189</v>
      </c>
    </row>
    <row r="880" spans="2:13" ht="15.75" customHeight="1" x14ac:dyDescent="0.2">
      <c r="B880" s="46"/>
      <c r="E880" s="71"/>
      <c r="F880" s="71" t="str">
        <f ca="1">IFERROR(__xludf.DUMMYFUNCTION("unique(filter($C$5:$C1123,$B$5:$B1123=E880))"),"")</f>
        <v/>
      </c>
      <c r="G880" s="203" t="str">
        <f ca="1">IFERROR(__xludf.DUMMYFUNCTION("unique(filter($D$5:$D1123,$B$5:$B1123=E880))"),"")</f>
        <v/>
      </c>
      <c r="K880" s="48"/>
      <c r="M880" s="205" t="s">
        <v>3190</v>
      </c>
    </row>
    <row r="881" spans="2:13" ht="15.75" customHeight="1" x14ac:dyDescent="0.2">
      <c r="B881" s="46"/>
      <c r="E881" s="71"/>
      <c r="F881" s="71" t="str">
        <f ca="1">IFERROR(__xludf.DUMMYFUNCTION("unique(filter($C$5:$C1123,$B$5:$B1123=E881))"),"")</f>
        <v/>
      </c>
      <c r="G881" s="203" t="str">
        <f ca="1">IFERROR(__xludf.DUMMYFUNCTION("unique(filter($D$5:$D1123,$B$5:$B1123=E881))"),"")</f>
        <v/>
      </c>
      <c r="K881" s="48"/>
      <c r="M881" s="205" t="s">
        <v>3191</v>
      </c>
    </row>
    <row r="882" spans="2:13" ht="15.75" customHeight="1" x14ac:dyDescent="0.2">
      <c r="B882" s="46"/>
      <c r="E882" s="71"/>
      <c r="F882" s="71" t="str">
        <f ca="1">IFERROR(__xludf.DUMMYFUNCTION("unique(filter($C$5:$C1123,$B$5:$B1123=E882))"),"")</f>
        <v/>
      </c>
      <c r="G882" s="203" t="str">
        <f ca="1">IFERROR(__xludf.DUMMYFUNCTION("unique(filter($D$5:$D1123,$B$5:$B1123=E882))"),"")</f>
        <v/>
      </c>
      <c r="K882" s="48"/>
      <c r="M882" s="205" t="s">
        <v>3192</v>
      </c>
    </row>
    <row r="883" spans="2:13" ht="15.75" customHeight="1" x14ac:dyDescent="0.2">
      <c r="B883" s="46"/>
      <c r="E883" s="71"/>
      <c r="F883" s="71" t="str">
        <f ca="1">IFERROR(__xludf.DUMMYFUNCTION("unique(filter($C$5:$C1123,$B$5:$B1123=E883))"),"")</f>
        <v/>
      </c>
      <c r="G883" s="203" t="str">
        <f ca="1">IFERROR(__xludf.DUMMYFUNCTION("unique(filter($D$5:$D1123,$B$5:$B1123=E883))"),"")</f>
        <v/>
      </c>
      <c r="K883" s="48"/>
      <c r="M883" s="205" t="s">
        <v>3193</v>
      </c>
    </row>
    <row r="884" spans="2:13" ht="15.75" customHeight="1" x14ac:dyDescent="0.2">
      <c r="B884" s="46"/>
      <c r="E884" s="71"/>
      <c r="F884" s="71" t="str">
        <f ca="1">IFERROR(__xludf.DUMMYFUNCTION("unique(filter($C$5:$C1123,$B$5:$B1123=E884))"),"")</f>
        <v/>
      </c>
      <c r="G884" s="203" t="str">
        <f ca="1">IFERROR(__xludf.DUMMYFUNCTION("unique(filter($D$5:$D1123,$B$5:$B1123=E884))"),"")</f>
        <v/>
      </c>
      <c r="K884" s="48"/>
      <c r="M884" s="205" t="s">
        <v>3194</v>
      </c>
    </row>
    <row r="885" spans="2:13" ht="15.75" customHeight="1" x14ac:dyDescent="0.2">
      <c r="B885" s="46"/>
      <c r="E885" s="71"/>
      <c r="F885" s="71" t="str">
        <f ca="1">IFERROR(__xludf.DUMMYFUNCTION("unique(filter($C$5:$C1123,$B$5:$B1123=E885))"),"")</f>
        <v/>
      </c>
      <c r="G885" s="203" t="str">
        <f ca="1">IFERROR(__xludf.DUMMYFUNCTION("unique(filter($D$5:$D1123,$B$5:$B1123=E885))"),"")</f>
        <v/>
      </c>
      <c r="K885" s="48"/>
      <c r="M885" s="205" t="s">
        <v>3195</v>
      </c>
    </row>
    <row r="886" spans="2:13" ht="15.75" customHeight="1" x14ac:dyDescent="0.2">
      <c r="B886" s="46"/>
      <c r="E886" s="71"/>
      <c r="F886" s="71" t="str">
        <f ca="1">IFERROR(__xludf.DUMMYFUNCTION("unique(filter($C$5:$C1123,$B$5:$B1123=E886))"),"")</f>
        <v/>
      </c>
      <c r="G886" s="203" t="str">
        <f ca="1">IFERROR(__xludf.DUMMYFUNCTION("unique(filter($D$5:$D1123,$B$5:$B1123=E886))"),"")</f>
        <v/>
      </c>
      <c r="K886" s="48"/>
      <c r="M886" s="205" t="s">
        <v>3196</v>
      </c>
    </row>
    <row r="887" spans="2:13" ht="15.75" customHeight="1" x14ac:dyDescent="0.2">
      <c r="B887" s="46"/>
      <c r="E887" s="71"/>
      <c r="F887" s="71" t="str">
        <f ca="1">IFERROR(__xludf.DUMMYFUNCTION("unique(filter($C$5:$C1123,$B$5:$B1123=E887))"),"")</f>
        <v/>
      </c>
      <c r="G887" s="203" t="str">
        <f ca="1">IFERROR(__xludf.DUMMYFUNCTION("unique(filter($D$5:$D1123,$B$5:$B1123=E887))"),"")</f>
        <v/>
      </c>
      <c r="K887" s="48"/>
      <c r="M887" s="205" t="s">
        <v>3197</v>
      </c>
    </row>
    <row r="888" spans="2:13" ht="15.75" customHeight="1" x14ac:dyDescent="0.2">
      <c r="B888" s="46"/>
      <c r="E888" s="71"/>
      <c r="F888" s="71" t="str">
        <f ca="1">IFERROR(__xludf.DUMMYFUNCTION("unique(filter($C$5:$C1123,$B$5:$B1123=E888))"),"")</f>
        <v/>
      </c>
      <c r="G888" s="203" t="str">
        <f ca="1">IFERROR(__xludf.DUMMYFUNCTION("unique(filter($D$5:$D1123,$B$5:$B1123=E888))"),"")</f>
        <v/>
      </c>
      <c r="K888" s="48"/>
      <c r="M888" s="205" t="s">
        <v>3198</v>
      </c>
    </row>
    <row r="889" spans="2:13" ht="15.75" customHeight="1" x14ac:dyDescent="0.2">
      <c r="B889" s="46"/>
      <c r="E889" s="71"/>
      <c r="F889" s="71" t="str">
        <f ca="1">IFERROR(__xludf.DUMMYFUNCTION("unique(filter($C$5:$C1123,$B$5:$B1123=E889))"),"")</f>
        <v/>
      </c>
      <c r="G889" s="203" t="str">
        <f ca="1">IFERROR(__xludf.DUMMYFUNCTION("unique(filter($D$5:$D1123,$B$5:$B1123=E889))"),"")</f>
        <v/>
      </c>
      <c r="K889" s="48"/>
      <c r="M889" s="205" t="s">
        <v>3199</v>
      </c>
    </row>
    <row r="890" spans="2:13" ht="15.75" customHeight="1" x14ac:dyDescent="0.2">
      <c r="B890" s="46"/>
      <c r="E890" s="71"/>
      <c r="F890" s="71" t="str">
        <f ca="1">IFERROR(__xludf.DUMMYFUNCTION("unique(filter($C$5:$C1123,$B$5:$B1123=E890))"),"")</f>
        <v/>
      </c>
      <c r="G890" s="203" t="str">
        <f ca="1">IFERROR(__xludf.DUMMYFUNCTION("unique(filter($D$5:$D1123,$B$5:$B1123=E890))"),"")</f>
        <v/>
      </c>
      <c r="K890" s="48"/>
      <c r="M890" s="205" t="s">
        <v>3200</v>
      </c>
    </row>
    <row r="891" spans="2:13" ht="15.75" customHeight="1" x14ac:dyDescent="0.2">
      <c r="B891" s="46"/>
      <c r="E891" s="71"/>
      <c r="F891" s="71" t="str">
        <f ca="1">IFERROR(__xludf.DUMMYFUNCTION("unique(filter($C$5:$C1123,$B$5:$B1123=E891))"),"")</f>
        <v/>
      </c>
      <c r="G891" s="203" t="str">
        <f ca="1">IFERROR(__xludf.DUMMYFUNCTION("unique(filter($D$5:$D1123,$B$5:$B1123=E891))"),"")</f>
        <v/>
      </c>
      <c r="K891" s="48"/>
      <c r="M891" s="205" t="s">
        <v>3201</v>
      </c>
    </row>
    <row r="892" spans="2:13" ht="15.75" customHeight="1" x14ac:dyDescent="0.2">
      <c r="B892" s="46"/>
      <c r="E892" s="71"/>
      <c r="F892" s="71" t="str">
        <f ca="1">IFERROR(__xludf.DUMMYFUNCTION("unique(filter($C$5:$C1123,$B$5:$B1123=E892))"),"")</f>
        <v/>
      </c>
      <c r="G892" s="203" t="str">
        <f ca="1">IFERROR(__xludf.DUMMYFUNCTION("unique(filter($D$5:$D1123,$B$5:$B1123=E892))"),"")</f>
        <v/>
      </c>
      <c r="K892" s="48"/>
      <c r="M892" s="205" t="s">
        <v>3202</v>
      </c>
    </row>
    <row r="893" spans="2:13" ht="15.75" customHeight="1" x14ac:dyDescent="0.2">
      <c r="B893" s="46"/>
      <c r="E893" s="71"/>
      <c r="F893" s="71" t="str">
        <f ca="1">IFERROR(__xludf.DUMMYFUNCTION("unique(filter($C$5:$C1123,$B$5:$B1123=E893))"),"")</f>
        <v/>
      </c>
      <c r="G893" s="203" t="str">
        <f ca="1">IFERROR(__xludf.DUMMYFUNCTION("unique(filter($D$5:$D1123,$B$5:$B1123=E893))"),"")</f>
        <v/>
      </c>
      <c r="K893" s="48"/>
      <c r="M893" s="205" t="s">
        <v>3203</v>
      </c>
    </row>
    <row r="894" spans="2:13" ht="15.75" customHeight="1" x14ac:dyDescent="0.2">
      <c r="B894" s="46"/>
      <c r="E894" s="71"/>
      <c r="F894" s="71" t="str">
        <f ca="1">IFERROR(__xludf.DUMMYFUNCTION("unique(filter($C$5:$C1123,$B$5:$B1123=E894))"),"")</f>
        <v/>
      </c>
      <c r="G894" s="203" t="str">
        <f ca="1">IFERROR(__xludf.DUMMYFUNCTION("unique(filter($D$5:$D1123,$B$5:$B1123=E894))"),"")</f>
        <v/>
      </c>
      <c r="K894" s="48"/>
      <c r="M894" s="205" t="s">
        <v>3204</v>
      </c>
    </row>
    <row r="895" spans="2:13" ht="15.75" customHeight="1" x14ac:dyDescent="0.2">
      <c r="B895" s="46"/>
      <c r="E895" s="71"/>
      <c r="F895" s="71" t="str">
        <f ca="1">IFERROR(__xludf.DUMMYFUNCTION("unique(filter($C$5:$C1123,$B$5:$B1123=E895))"),"")</f>
        <v/>
      </c>
      <c r="G895" s="203" t="str">
        <f ca="1">IFERROR(__xludf.DUMMYFUNCTION("unique(filter($D$5:$D1123,$B$5:$B1123=E895))"),"")</f>
        <v/>
      </c>
      <c r="K895" s="48"/>
      <c r="M895" s="205" t="s">
        <v>3205</v>
      </c>
    </row>
    <row r="896" spans="2:13" ht="15.75" customHeight="1" x14ac:dyDescent="0.2">
      <c r="B896" s="46"/>
      <c r="E896" s="71"/>
      <c r="F896" s="71" t="str">
        <f ca="1">IFERROR(__xludf.DUMMYFUNCTION("unique(filter($C$5:$C1123,$B$5:$B1123=E896))"),"")</f>
        <v/>
      </c>
      <c r="G896" s="203" t="str">
        <f ca="1">IFERROR(__xludf.DUMMYFUNCTION("unique(filter($D$5:$D1123,$B$5:$B1123=E896))"),"")</f>
        <v/>
      </c>
      <c r="K896" s="48"/>
      <c r="M896" s="205" t="s">
        <v>3206</v>
      </c>
    </row>
    <row r="897" spans="2:13" ht="15.75" customHeight="1" x14ac:dyDescent="0.2">
      <c r="B897" s="46"/>
      <c r="E897" s="71"/>
      <c r="F897" s="71" t="str">
        <f ca="1">IFERROR(__xludf.DUMMYFUNCTION("unique(filter($C$5:$C1123,$B$5:$B1123=E897))"),"")</f>
        <v/>
      </c>
      <c r="G897" s="203" t="str">
        <f ca="1">IFERROR(__xludf.DUMMYFUNCTION("unique(filter($D$5:$D1123,$B$5:$B1123=E897))"),"")</f>
        <v/>
      </c>
      <c r="K897" s="48"/>
      <c r="M897" s="205" t="s">
        <v>3207</v>
      </c>
    </row>
    <row r="898" spans="2:13" ht="15.75" customHeight="1" x14ac:dyDescent="0.2">
      <c r="B898" s="46"/>
      <c r="E898" s="71"/>
      <c r="F898" s="71" t="str">
        <f ca="1">IFERROR(__xludf.DUMMYFUNCTION("unique(filter($C$5:$C1123,$B$5:$B1123=E898))"),"")</f>
        <v/>
      </c>
      <c r="G898" s="203" t="str">
        <f ca="1">IFERROR(__xludf.DUMMYFUNCTION("unique(filter($D$5:$D1123,$B$5:$B1123=E898))"),"")</f>
        <v/>
      </c>
      <c r="K898" s="48"/>
      <c r="M898" s="205" t="s">
        <v>3208</v>
      </c>
    </row>
    <row r="899" spans="2:13" ht="15.75" customHeight="1" x14ac:dyDescent="0.2">
      <c r="B899" s="46"/>
      <c r="E899" s="71"/>
      <c r="F899" s="71" t="str">
        <f ca="1">IFERROR(__xludf.DUMMYFUNCTION("unique(filter($C$5:$C1123,$B$5:$B1123=E899))"),"")</f>
        <v/>
      </c>
      <c r="G899" s="203" t="str">
        <f ca="1">IFERROR(__xludf.DUMMYFUNCTION("unique(filter($D$5:$D1123,$B$5:$B1123=E899))"),"")</f>
        <v/>
      </c>
      <c r="K899" s="48"/>
      <c r="M899" s="205" t="s">
        <v>3209</v>
      </c>
    </row>
    <row r="900" spans="2:13" ht="15.75" customHeight="1" x14ac:dyDescent="0.2">
      <c r="B900" s="46"/>
      <c r="E900" s="71"/>
      <c r="F900" s="71" t="str">
        <f ca="1">IFERROR(__xludf.DUMMYFUNCTION("unique(filter($C$5:$C1123,$B$5:$B1123=E900))"),"")</f>
        <v/>
      </c>
      <c r="G900" s="203" t="str">
        <f ca="1">IFERROR(__xludf.DUMMYFUNCTION("unique(filter($D$5:$D1123,$B$5:$B1123=E900))"),"")</f>
        <v/>
      </c>
      <c r="K900" s="48"/>
      <c r="M900" s="205" t="s">
        <v>3210</v>
      </c>
    </row>
    <row r="901" spans="2:13" ht="15.75" customHeight="1" x14ac:dyDescent="0.2">
      <c r="B901" s="46"/>
      <c r="E901" s="71"/>
      <c r="F901" s="71" t="str">
        <f ca="1">IFERROR(__xludf.DUMMYFUNCTION("unique(filter($C$5:$C1123,$B$5:$B1123=E901))"),"")</f>
        <v/>
      </c>
      <c r="G901" s="203" t="str">
        <f ca="1">IFERROR(__xludf.DUMMYFUNCTION("unique(filter($D$5:$D1123,$B$5:$B1123=E901))"),"")</f>
        <v/>
      </c>
      <c r="K901" s="48"/>
      <c r="M901" s="205" t="s">
        <v>3211</v>
      </c>
    </row>
    <row r="902" spans="2:13" ht="15.75" customHeight="1" x14ac:dyDescent="0.2">
      <c r="B902" s="46"/>
      <c r="E902" s="71"/>
      <c r="F902" s="71" t="str">
        <f ca="1">IFERROR(__xludf.DUMMYFUNCTION("unique(filter($C$5:$C1123,$B$5:$B1123=E902))"),"")</f>
        <v/>
      </c>
      <c r="G902" s="203" t="str">
        <f ca="1">IFERROR(__xludf.DUMMYFUNCTION("unique(filter($D$5:$D1123,$B$5:$B1123=E902))"),"")</f>
        <v/>
      </c>
      <c r="K902" s="48"/>
      <c r="M902" s="205" t="s">
        <v>3212</v>
      </c>
    </row>
    <row r="903" spans="2:13" ht="15.75" customHeight="1" x14ac:dyDescent="0.2">
      <c r="B903" s="46"/>
      <c r="E903" s="71"/>
      <c r="F903" s="71" t="str">
        <f ca="1">IFERROR(__xludf.DUMMYFUNCTION("unique(filter($C$5:$C1123,$B$5:$B1123=E903))"),"")</f>
        <v/>
      </c>
      <c r="G903" s="203" t="str">
        <f ca="1">IFERROR(__xludf.DUMMYFUNCTION("unique(filter($D$5:$D1123,$B$5:$B1123=E903))"),"")</f>
        <v/>
      </c>
      <c r="K903" s="48"/>
      <c r="M903" s="205" t="s">
        <v>3213</v>
      </c>
    </row>
    <row r="904" spans="2:13" ht="15.75" customHeight="1" x14ac:dyDescent="0.2">
      <c r="B904" s="46"/>
      <c r="E904" s="71"/>
      <c r="F904" s="71" t="str">
        <f ca="1">IFERROR(__xludf.DUMMYFUNCTION("unique(filter($C$5:$C1123,$B$5:$B1123=E904))"),"")</f>
        <v/>
      </c>
      <c r="G904" s="203" t="str">
        <f ca="1">IFERROR(__xludf.DUMMYFUNCTION("unique(filter($D$5:$D1123,$B$5:$B1123=E904))"),"")</f>
        <v/>
      </c>
      <c r="K904" s="48"/>
      <c r="M904" s="205" t="s">
        <v>3214</v>
      </c>
    </row>
    <row r="905" spans="2:13" ht="15.75" customHeight="1" x14ac:dyDescent="0.2">
      <c r="B905" s="46"/>
      <c r="E905" s="71"/>
      <c r="F905" s="71" t="str">
        <f ca="1">IFERROR(__xludf.DUMMYFUNCTION("unique(filter($C$5:$C1123,$B$5:$B1123=E905))"),"")</f>
        <v/>
      </c>
      <c r="G905" s="203" t="str">
        <f ca="1">IFERROR(__xludf.DUMMYFUNCTION("unique(filter($D$5:$D1123,$B$5:$B1123=E905))"),"")</f>
        <v/>
      </c>
      <c r="K905" s="48"/>
      <c r="M905" s="205" t="s">
        <v>3215</v>
      </c>
    </row>
    <row r="906" spans="2:13" ht="15.75" customHeight="1" x14ac:dyDescent="0.2">
      <c r="B906" s="46"/>
      <c r="E906" s="71"/>
      <c r="F906" s="71" t="str">
        <f ca="1">IFERROR(__xludf.DUMMYFUNCTION("unique(filter($C$5:$C1123,$B$5:$B1123=E906))"),"")</f>
        <v/>
      </c>
      <c r="G906" s="203" t="str">
        <f ca="1">IFERROR(__xludf.DUMMYFUNCTION("unique(filter($D$5:$D1123,$B$5:$B1123=E906))"),"")</f>
        <v/>
      </c>
      <c r="K906" s="48"/>
      <c r="M906" s="205" t="s">
        <v>3216</v>
      </c>
    </row>
    <row r="907" spans="2:13" ht="15.75" customHeight="1" x14ac:dyDescent="0.2">
      <c r="B907" s="46"/>
      <c r="E907" s="71"/>
      <c r="F907" s="71" t="str">
        <f ca="1">IFERROR(__xludf.DUMMYFUNCTION("unique(filter($C$5:$C1123,$B$5:$B1123=E907))"),"")</f>
        <v/>
      </c>
      <c r="G907" s="203" t="str">
        <f ca="1">IFERROR(__xludf.DUMMYFUNCTION("unique(filter($D$5:$D1123,$B$5:$B1123=E907))"),"")</f>
        <v/>
      </c>
      <c r="K907" s="48"/>
      <c r="M907" s="205" t="s">
        <v>3217</v>
      </c>
    </row>
    <row r="908" spans="2:13" ht="15.75" customHeight="1" x14ac:dyDescent="0.2">
      <c r="B908" s="46"/>
      <c r="E908" s="71"/>
      <c r="F908" s="71" t="str">
        <f ca="1">IFERROR(__xludf.DUMMYFUNCTION("unique(filter($C$5:$C1123,$B$5:$B1123=E908))"),"")</f>
        <v/>
      </c>
      <c r="G908" s="203" t="str">
        <f ca="1">IFERROR(__xludf.DUMMYFUNCTION("unique(filter($D$5:$D1123,$B$5:$B1123=E908))"),"")</f>
        <v/>
      </c>
      <c r="K908" s="48"/>
      <c r="M908" s="205" t="s">
        <v>3218</v>
      </c>
    </row>
    <row r="909" spans="2:13" ht="15.75" customHeight="1" x14ac:dyDescent="0.2">
      <c r="B909" s="46"/>
      <c r="E909" s="71"/>
      <c r="F909" s="71" t="str">
        <f ca="1">IFERROR(__xludf.DUMMYFUNCTION("unique(filter($C$5:$C1123,$B$5:$B1123=E909))"),"")</f>
        <v/>
      </c>
      <c r="G909" s="203" t="str">
        <f ca="1">IFERROR(__xludf.DUMMYFUNCTION("unique(filter($D$5:$D1123,$B$5:$B1123=E909))"),"")</f>
        <v/>
      </c>
      <c r="K909" s="48"/>
      <c r="M909" s="205" t="s">
        <v>3219</v>
      </c>
    </row>
    <row r="910" spans="2:13" ht="15.75" customHeight="1" x14ac:dyDescent="0.2">
      <c r="B910" s="46"/>
      <c r="E910" s="71"/>
      <c r="F910" s="71" t="str">
        <f ca="1">IFERROR(__xludf.DUMMYFUNCTION("unique(filter($C$5:$C1123,$B$5:$B1123=E910))"),"")</f>
        <v/>
      </c>
      <c r="G910" s="203" t="str">
        <f ca="1">IFERROR(__xludf.DUMMYFUNCTION("unique(filter($D$5:$D1123,$B$5:$B1123=E910))"),"")</f>
        <v/>
      </c>
      <c r="K910" s="48"/>
      <c r="M910" s="205" t="s">
        <v>3220</v>
      </c>
    </row>
    <row r="911" spans="2:13" ht="15.75" customHeight="1" x14ac:dyDescent="0.2">
      <c r="B911" s="46"/>
      <c r="E911" s="71"/>
      <c r="F911" s="71" t="str">
        <f ca="1">IFERROR(__xludf.DUMMYFUNCTION("unique(filter($C$5:$C1123,$B$5:$B1123=E911))"),"")</f>
        <v/>
      </c>
      <c r="G911" s="203" t="str">
        <f ca="1">IFERROR(__xludf.DUMMYFUNCTION("unique(filter($D$5:$D1123,$B$5:$B1123=E911))"),"")</f>
        <v/>
      </c>
      <c r="K911" s="48"/>
      <c r="M911" s="205" t="s">
        <v>3221</v>
      </c>
    </row>
    <row r="912" spans="2:13" ht="15.75" customHeight="1" x14ac:dyDescent="0.2">
      <c r="B912" s="46"/>
      <c r="E912" s="71"/>
      <c r="F912" s="71" t="str">
        <f ca="1">IFERROR(__xludf.DUMMYFUNCTION("unique(filter($C$5:$C1123,$B$5:$B1123=E912))"),"")</f>
        <v/>
      </c>
      <c r="G912" s="203" t="str">
        <f ca="1">IFERROR(__xludf.DUMMYFUNCTION("unique(filter($D$5:$D1123,$B$5:$B1123=E912))"),"")</f>
        <v/>
      </c>
      <c r="K912" s="48"/>
      <c r="M912" s="205" t="s">
        <v>3222</v>
      </c>
    </row>
    <row r="913" spans="2:13" ht="15.75" customHeight="1" x14ac:dyDescent="0.2">
      <c r="B913" s="46"/>
      <c r="E913" s="71"/>
      <c r="F913" s="71" t="str">
        <f ca="1">IFERROR(__xludf.DUMMYFUNCTION("unique(filter($C$5:$C1123,$B$5:$B1123=E913))"),"")</f>
        <v/>
      </c>
      <c r="G913" s="203" t="str">
        <f ca="1">IFERROR(__xludf.DUMMYFUNCTION("unique(filter($D$5:$D1123,$B$5:$B1123=E913))"),"")</f>
        <v/>
      </c>
      <c r="K913" s="48"/>
      <c r="M913" s="205" t="s">
        <v>3223</v>
      </c>
    </row>
    <row r="914" spans="2:13" ht="15.75" customHeight="1" x14ac:dyDescent="0.2">
      <c r="B914" s="46"/>
      <c r="E914" s="71"/>
      <c r="F914" s="71" t="str">
        <f ca="1">IFERROR(__xludf.DUMMYFUNCTION("unique(filter($C$5:$C1123,$B$5:$B1123=E914))"),"")</f>
        <v/>
      </c>
      <c r="G914" s="203" t="str">
        <f ca="1">IFERROR(__xludf.DUMMYFUNCTION("unique(filter($D$5:$D1123,$B$5:$B1123=E914))"),"")</f>
        <v/>
      </c>
      <c r="K914" s="48"/>
      <c r="M914" s="205" t="s">
        <v>3224</v>
      </c>
    </row>
    <row r="915" spans="2:13" ht="15.75" customHeight="1" x14ac:dyDescent="0.2">
      <c r="B915" s="46"/>
      <c r="E915" s="71"/>
      <c r="F915" s="71" t="str">
        <f ca="1">IFERROR(__xludf.DUMMYFUNCTION("unique(filter($C$5:$C1123,$B$5:$B1123=E915))"),"")</f>
        <v/>
      </c>
      <c r="G915" s="203" t="str">
        <f ca="1">IFERROR(__xludf.DUMMYFUNCTION("unique(filter($D$5:$D1123,$B$5:$B1123=E915))"),"")</f>
        <v/>
      </c>
      <c r="K915" s="48"/>
      <c r="M915" s="205" t="s">
        <v>3225</v>
      </c>
    </row>
    <row r="916" spans="2:13" ht="15.75" customHeight="1" x14ac:dyDescent="0.2">
      <c r="B916" s="46"/>
      <c r="E916" s="71"/>
      <c r="F916" s="71" t="str">
        <f ca="1">IFERROR(__xludf.DUMMYFUNCTION("unique(filter($C$5:$C1123,$B$5:$B1123=E916))"),"")</f>
        <v/>
      </c>
      <c r="G916" s="203" t="str">
        <f ca="1">IFERROR(__xludf.DUMMYFUNCTION("unique(filter($D$5:$D1123,$B$5:$B1123=E916))"),"")</f>
        <v/>
      </c>
      <c r="K916" s="48"/>
      <c r="M916" s="205" t="s">
        <v>3226</v>
      </c>
    </row>
    <row r="917" spans="2:13" ht="15.75" customHeight="1" x14ac:dyDescent="0.2">
      <c r="B917" s="46"/>
      <c r="E917" s="71"/>
      <c r="F917" s="71" t="str">
        <f ca="1">IFERROR(__xludf.DUMMYFUNCTION("unique(filter($C$5:$C1123,$B$5:$B1123=E917))"),"")</f>
        <v/>
      </c>
      <c r="G917" s="203" t="str">
        <f ca="1">IFERROR(__xludf.DUMMYFUNCTION("unique(filter($D$5:$D1123,$B$5:$B1123=E917))"),"")</f>
        <v/>
      </c>
      <c r="K917" s="48"/>
      <c r="M917" s="205" t="s">
        <v>3227</v>
      </c>
    </row>
    <row r="918" spans="2:13" ht="15.75" customHeight="1" x14ac:dyDescent="0.2">
      <c r="B918" s="46"/>
      <c r="E918" s="71"/>
      <c r="F918" s="71" t="str">
        <f ca="1">IFERROR(__xludf.DUMMYFUNCTION("unique(filter($C$5:$C1123,$B$5:$B1123=E918))"),"")</f>
        <v/>
      </c>
      <c r="G918" s="203" t="str">
        <f ca="1">IFERROR(__xludf.DUMMYFUNCTION("unique(filter($D$5:$D1123,$B$5:$B1123=E918))"),"")</f>
        <v/>
      </c>
      <c r="K918" s="48"/>
      <c r="M918" s="205" t="s">
        <v>3228</v>
      </c>
    </row>
    <row r="919" spans="2:13" ht="15.75" customHeight="1" x14ac:dyDescent="0.2">
      <c r="B919" s="46"/>
      <c r="E919" s="71"/>
      <c r="F919" s="71" t="str">
        <f ca="1">IFERROR(__xludf.DUMMYFUNCTION("unique(filter($C$5:$C1123,$B$5:$B1123=E919))"),"")</f>
        <v/>
      </c>
      <c r="G919" s="203" t="str">
        <f ca="1">IFERROR(__xludf.DUMMYFUNCTION("unique(filter($D$5:$D1123,$B$5:$B1123=E919))"),"")</f>
        <v/>
      </c>
      <c r="K919" s="48"/>
      <c r="M919" s="205" t="s">
        <v>3229</v>
      </c>
    </row>
    <row r="920" spans="2:13" ht="15.75" customHeight="1" x14ac:dyDescent="0.2">
      <c r="B920" s="46"/>
      <c r="E920" s="71"/>
      <c r="F920" s="71" t="str">
        <f ca="1">IFERROR(__xludf.DUMMYFUNCTION("unique(filter($C$5:$C1123,$B$5:$B1123=E920))"),"")</f>
        <v/>
      </c>
      <c r="G920" s="203" t="str">
        <f ca="1">IFERROR(__xludf.DUMMYFUNCTION("unique(filter($D$5:$D1123,$B$5:$B1123=E920))"),"")</f>
        <v/>
      </c>
      <c r="K920" s="48"/>
      <c r="M920" s="205" t="s">
        <v>3230</v>
      </c>
    </row>
    <row r="921" spans="2:13" ht="15.75" customHeight="1" x14ac:dyDescent="0.2">
      <c r="B921" s="46"/>
      <c r="E921" s="71"/>
      <c r="F921" s="71" t="str">
        <f ca="1">IFERROR(__xludf.DUMMYFUNCTION("unique(filter($C$5:$C1123,$B$5:$B1123=E921))"),"")</f>
        <v/>
      </c>
      <c r="G921" s="203" t="str">
        <f ca="1">IFERROR(__xludf.DUMMYFUNCTION("unique(filter($D$5:$D1123,$B$5:$B1123=E921))"),"")</f>
        <v/>
      </c>
      <c r="K921" s="48"/>
      <c r="M921" s="205" t="s">
        <v>3231</v>
      </c>
    </row>
    <row r="922" spans="2:13" ht="15.75" customHeight="1" x14ac:dyDescent="0.2">
      <c r="B922" s="46"/>
      <c r="E922" s="71"/>
      <c r="F922" s="71" t="str">
        <f ca="1">IFERROR(__xludf.DUMMYFUNCTION("unique(filter($C$5:$C1123,$B$5:$B1123=E922))"),"")</f>
        <v/>
      </c>
      <c r="G922" s="203" t="str">
        <f ca="1">IFERROR(__xludf.DUMMYFUNCTION("unique(filter($D$5:$D1123,$B$5:$B1123=E922))"),"")</f>
        <v/>
      </c>
      <c r="K922" s="48"/>
      <c r="M922" s="205" t="s">
        <v>3232</v>
      </c>
    </row>
    <row r="923" spans="2:13" ht="15.75" customHeight="1" x14ac:dyDescent="0.2">
      <c r="B923" s="46"/>
      <c r="E923" s="71"/>
      <c r="F923" s="71" t="str">
        <f ca="1">IFERROR(__xludf.DUMMYFUNCTION("unique(filter($C$5:$C1123,$B$5:$B1123=E923))"),"")</f>
        <v/>
      </c>
      <c r="G923" s="203" t="str">
        <f ca="1">IFERROR(__xludf.DUMMYFUNCTION("unique(filter($D$5:$D1123,$B$5:$B1123=E923))"),"")</f>
        <v/>
      </c>
      <c r="K923" s="48"/>
      <c r="M923" s="205" t="s">
        <v>3233</v>
      </c>
    </row>
    <row r="924" spans="2:13" ht="15.75" customHeight="1" x14ac:dyDescent="0.2">
      <c r="B924" s="46"/>
      <c r="E924" s="71"/>
      <c r="F924" s="71" t="str">
        <f ca="1">IFERROR(__xludf.DUMMYFUNCTION("unique(filter($C$5:$C1123,$B$5:$B1123=E924))"),"")</f>
        <v/>
      </c>
      <c r="G924" s="203" t="str">
        <f ca="1">IFERROR(__xludf.DUMMYFUNCTION("unique(filter($D$5:$D1123,$B$5:$B1123=E924))"),"")</f>
        <v/>
      </c>
      <c r="K924" s="48"/>
      <c r="M924" s="205" t="s">
        <v>3234</v>
      </c>
    </row>
    <row r="925" spans="2:13" ht="15.75" customHeight="1" x14ac:dyDescent="0.2">
      <c r="B925" s="46"/>
      <c r="E925" s="71"/>
      <c r="F925" s="71" t="str">
        <f ca="1">IFERROR(__xludf.DUMMYFUNCTION("unique(filter($C$5:$C1123,$B$5:$B1123=E925))"),"")</f>
        <v/>
      </c>
      <c r="G925" s="203" t="str">
        <f ca="1">IFERROR(__xludf.DUMMYFUNCTION("unique(filter($D$5:$D1123,$B$5:$B1123=E925))"),"")</f>
        <v/>
      </c>
      <c r="K925" s="48"/>
      <c r="M925" s="205" t="s">
        <v>3235</v>
      </c>
    </row>
    <row r="926" spans="2:13" ht="15.75" customHeight="1" x14ac:dyDescent="0.2">
      <c r="B926" s="46"/>
      <c r="E926" s="71"/>
      <c r="F926" s="71" t="str">
        <f ca="1">IFERROR(__xludf.DUMMYFUNCTION("unique(filter($C$5:$C1123,$B$5:$B1123=E926))"),"")</f>
        <v/>
      </c>
      <c r="G926" s="203" t="str">
        <f ca="1">IFERROR(__xludf.DUMMYFUNCTION("unique(filter($D$5:$D1123,$B$5:$B1123=E926))"),"")</f>
        <v/>
      </c>
      <c r="K926" s="48"/>
      <c r="M926" s="205" t="s">
        <v>3236</v>
      </c>
    </row>
    <row r="927" spans="2:13" ht="15.75" customHeight="1" x14ac:dyDescent="0.2">
      <c r="B927" s="46"/>
      <c r="E927" s="71"/>
      <c r="F927" s="71" t="str">
        <f ca="1">IFERROR(__xludf.DUMMYFUNCTION("unique(filter($C$5:$C1123,$B$5:$B1123=E927))"),"")</f>
        <v/>
      </c>
      <c r="G927" s="203" t="str">
        <f ca="1">IFERROR(__xludf.DUMMYFUNCTION("unique(filter($D$5:$D1123,$B$5:$B1123=E927))"),"")</f>
        <v/>
      </c>
      <c r="K927" s="48"/>
      <c r="M927" s="205" t="s">
        <v>3237</v>
      </c>
    </row>
    <row r="928" spans="2:13" ht="15.75" customHeight="1" x14ac:dyDescent="0.2">
      <c r="B928" s="46"/>
      <c r="E928" s="71"/>
      <c r="F928" s="71" t="str">
        <f ca="1">IFERROR(__xludf.DUMMYFUNCTION("unique(filter($C$5:$C1123,$B$5:$B1123=E928))"),"")</f>
        <v/>
      </c>
      <c r="G928" s="203" t="str">
        <f ca="1">IFERROR(__xludf.DUMMYFUNCTION("unique(filter($D$5:$D1123,$B$5:$B1123=E928))"),"")</f>
        <v/>
      </c>
      <c r="K928" s="48"/>
      <c r="M928" s="205" t="s">
        <v>3238</v>
      </c>
    </row>
    <row r="929" spans="2:13" ht="15.75" customHeight="1" x14ac:dyDescent="0.2">
      <c r="B929" s="46"/>
      <c r="E929" s="71"/>
      <c r="F929" s="71" t="str">
        <f ca="1">IFERROR(__xludf.DUMMYFUNCTION("unique(filter($C$5:$C1123,$B$5:$B1123=E929))"),"")</f>
        <v/>
      </c>
      <c r="G929" s="203" t="str">
        <f ca="1">IFERROR(__xludf.DUMMYFUNCTION("unique(filter($D$5:$D1123,$B$5:$B1123=E929))"),"")</f>
        <v/>
      </c>
      <c r="K929" s="48"/>
      <c r="M929" s="205" t="s">
        <v>3239</v>
      </c>
    </row>
    <row r="930" spans="2:13" ht="15.75" customHeight="1" x14ac:dyDescent="0.2">
      <c r="B930" s="46"/>
      <c r="E930" s="71"/>
      <c r="F930" s="71" t="str">
        <f ca="1">IFERROR(__xludf.DUMMYFUNCTION("unique(filter($C$5:$C1123,$B$5:$B1123=E930))"),"")</f>
        <v/>
      </c>
      <c r="G930" s="203" t="str">
        <f ca="1">IFERROR(__xludf.DUMMYFUNCTION("unique(filter($D$5:$D1123,$B$5:$B1123=E930))"),"")</f>
        <v/>
      </c>
      <c r="K930" s="48"/>
      <c r="M930" s="205" t="s">
        <v>3240</v>
      </c>
    </row>
    <row r="931" spans="2:13" ht="15.75" customHeight="1" x14ac:dyDescent="0.2">
      <c r="B931" s="46"/>
      <c r="E931" s="71"/>
      <c r="F931" s="71" t="str">
        <f ca="1">IFERROR(__xludf.DUMMYFUNCTION("unique(filter($C$5:$C1123,$B$5:$B1123=E931))"),"")</f>
        <v/>
      </c>
      <c r="G931" s="203" t="str">
        <f ca="1">IFERROR(__xludf.DUMMYFUNCTION("unique(filter($D$5:$D1123,$B$5:$B1123=E931))"),"")</f>
        <v/>
      </c>
      <c r="K931" s="48"/>
      <c r="M931" s="205" t="s">
        <v>3241</v>
      </c>
    </row>
    <row r="932" spans="2:13" ht="15.75" customHeight="1" x14ac:dyDescent="0.2">
      <c r="B932" s="46"/>
      <c r="E932" s="71"/>
      <c r="F932" s="71" t="str">
        <f ca="1">IFERROR(__xludf.DUMMYFUNCTION("unique(filter($C$5:$C1123,$B$5:$B1123=E932))"),"")</f>
        <v/>
      </c>
      <c r="G932" s="203" t="str">
        <f ca="1">IFERROR(__xludf.DUMMYFUNCTION("unique(filter($D$5:$D1123,$B$5:$B1123=E932))"),"")</f>
        <v/>
      </c>
      <c r="K932" s="48"/>
      <c r="M932" s="205" t="s">
        <v>3242</v>
      </c>
    </row>
    <row r="933" spans="2:13" ht="15.75" customHeight="1" x14ac:dyDescent="0.2">
      <c r="B933" s="46"/>
      <c r="E933" s="71"/>
      <c r="F933" s="71" t="str">
        <f ca="1">IFERROR(__xludf.DUMMYFUNCTION("unique(filter($C$5:$C1123,$B$5:$B1123=E933))"),"")</f>
        <v/>
      </c>
      <c r="G933" s="203" t="str">
        <f ca="1">IFERROR(__xludf.DUMMYFUNCTION("unique(filter($D$5:$D1123,$B$5:$B1123=E933))"),"")</f>
        <v/>
      </c>
      <c r="K933" s="48"/>
      <c r="M933" s="205" t="s">
        <v>3243</v>
      </c>
    </row>
    <row r="934" spans="2:13" ht="15.75" customHeight="1" x14ac:dyDescent="0.2">
      <c r="B934" s="46"/>
      <c r="E934" s="71"/>
      <c r="F934" s="71" t="str">
        <f ca="1">IFERROR(__xludf.DUMMYFUNCTION("unique(filter($C$5:$C1123,$B$5:$B1123=E934))"),"")</f>
        <v/>
      </c>
      <c r="G934" s="203" t="str">
        <f ca="1">IFERROR(__xludf.DUMMYFUNCTION("unique(filter($D$5:$D1123,$B$5:$B1123=E934))"),"")</f>
        <v/>
      </c>
      <c r="K934" s="48"/>
      <c r="M934" s="205" t="s">
        <v>3244</v>
      </c>
    </row>
    <row r="935" spans="2:13" ht="15.75" customHeight="1" x14ac:dyDescent="0.2">
      <c r="B935" s="46"/>
      <c r="E935" s="71"/>
      <c r="F935" s="71" t="str">
        <f ca="1">IFERROR(__xludf.DUMMYFUNCTION("unique(filter($C$5:$C1123,$B$5:$B1123=E935))"),"")</f>
        <v/>
      </c>
      <c r="G935" s="203" t="str">
        <f ca="1">IFERROR(__xludf.DUMMYFUNCTION("unique(filter($D$5:$D1123,$B$5:$B1123=E935))"),"")</f>
        <v/>
      </c>
      <c r="K935" s="48"/>
      <c r="M935" s="205" t="s">
        <v>3245</v>
      </c>
    </row>
    <row r="936" spans="2:13" ht="15.75" customHeight="1" x14ac:dyDescent="0.2">
      <c r="B936" s="46"/>
      <c r="E936" s="71"/>
      <c r="F936" s="71" t="str">
        <f ca="1">IFERROR(__xludf.DUMMYFUNCTION("unique(filter($C$5:$C1123,$B$5:$B1123=E936))"),"")</f>
        <v/>
      </c>
      <c r="G936" s="203" t="str">
        <f ca="1">IFERROR(__xludf.DUMMYFUNCTION("unique(filter($D$5:$D1123,$B$5:$B1123=E936))"),"")</f>
        <v/>
      </c>
      <c r="K936" s="48"/>
      <c r="M936" s="205" t="s">
        <v>3246</v>
      </c>
    </row>
    <row r="937" spans="2:13" ht="15.75" customHeight="1" x14ac:dyDescent="0.2">
      <c r="B937" s="46"/>
      <c r="E937" s="71"/>
      <c r="F937" s="71" t="str">
        <f ca="1">IFERROR(__xludf.DUMMYFUNCTION("unique(filter($C$5:$C1123,$B$5:$B1123=E937))"),"")</f>
        <v/>
      </c>
      <c r="G937" s="203" t="str">
        <f ca="1">IFERROR(__xludf.DUMMYFUNCTION("unique(filter($D$5:$D1123,$B$5:$B1123=E937))"),"")</f>
        <v/>
      </c>
      <c r="K937" s="48"/>
      <c r="M937" s="205" t="s">
        <v>3247</v>
      </c>
    </row>
    <row r="938" spans="2:13" ht="15.75" customHeight="1" x14ac:dyDescent="0.2">
      <c r="B938" s="46"/>
      <c r="E938" s="71"/>
      <c r="F938" s="71" t="str">
        <f ca="1">IFERROR(__xludf.DUMMYFUNCTION("unique(filter($C$5:$C1123,$B$5:$B1123=E938))"),"")</f>
        <v/>
      </c>
      <c r="G938" s="203" t="str">
        <f ca="1">IFERROR(__xludf.DUMMYFUNCTION("unique(filter($D$5:$D1123,$B$5:$B1123=E938))"),"")</f>
        <v/>
      </c>
      <c r="K938" s="48"/>
      <c r="M938" s="205" t="s">
        <v>3248</v>
      </c>
    </row>
    <row r="939" spans="2:13" ht="15.75" customHeight="1" x14ac:dyDescent="0.2">
      <c r="B939" s="46"/>
      <c r="E939" s="71"/>
      <c r="F939" s="71" t="str">
        <f ca="1">IFERROR(__xludf.DUMMYFUNCTION("unique(filter($C$5:$C1123,$B$5:$B1123=E939))"),"")</f>
        <v/>
      </c>
      <c r="G939" s="203" t="str">
        <f ca="1">IFERROR(__xludf.DUMMYFUNCTION("unique(filter($D$5:$D1123,$B$5:$B1123=E939))"),"")</f>
        <v/>
      </c>
      <c r="K939" s="48"/>
      <c r="M939" s="205" t="s">
        <v>3249</v>
      </c>
    </row>
    <row r="940" spans="2:13" ht="15.75" customHeight="1" x14ac:dyDescent="0.2">
      <c r="B940" s="46"/>
      <c r="E940" s="71"/>
      <c r="F940" s="71" t="str">
        <f ca="1">IFERROR(__xludf.DUMMYFUNCTION("unique(filter($C$5:$C1123,$B$5:$B1123=E940))"),"")</f>
        <v/>
      </c>
      <c r="G940" s="203" t="str">
        <f ca="1">IFERROR(__xludf.DUMMYFUNCTION("unique(filter($D$5:$D1123,$B$5:$B1123=E940))"),"")</f>
        <v/>
      </c>
      <c r="K940" s="48"/>
      <c r="M940" s="205" t="s">
        <v>3250</v>
      </c>
    </row>
    <row r="941" spans="2:13" ht="15.75" customHeight="1" x14ac:dyDescent="0.2">
      <c r="B941" s="46"/>
      <c r="E941" s="71"/>
      <c r="F941" s="71" t="str">
        <f ca="1">IFERROR(__xludf.DUMMYFUNCTION("unique(filter($C$5:$C1123,$B$5:$B1123=E941))"),"")</f>
        <v/>
      </c>
      <c r="G941" s="203" t="str">
        <f ca="1">IFERROR(__xludf.DUMMYFUNCTION("unique(filter($D$5:$D1123,$B$5:$B1123=E941))"),"")</f>
        <v/>
      </c>
      <c r="K941" s="48"/>
      <c r="M941" s="205" t="s">
        <v>3251</v>
      </c>
    </row>
    <row r="942" spans="2:13" ht="15.75" customHeight="1" x14ac:dyDescent="0.2">
      <c r="B942" s="46"/>
      <c r="E942" s="71"/>
      <c r="F942" s="71" t="str">
        <f ca="1">IFERROR(__xludf.DUMMYFUNCTION("unique(filter($C$5:$C1123,$B$5:$B1123=E942))"),"")</f>
        <v/>
      </c>
      <c r="G942" s="203" t="str">
        <f ca="1">IFERROR(__xludf.DUMMYFUNCTION("unique(filter($D$5:$D1123,$B$5:$B1123=E942))"),"")</f>
        <v/>
      </c>
      <c r="K942" s="48"/>
      <c r="M942" s="205" t="s">
        <v>3252</v>
      </c>
    </row>
    <row r="943" spans="2:13" ht="15.75" customHeight="1" x14ac:dyDescent="0.2">
      <c r="B943" s="46"/>
      <c r="E943" s="71"/>
      <c r="F943" s="71" t="str">
        <f ca="1">IFERROR(__xludf.DUMMYFUNCTION("unique(filter($C$5:$C1123,$B$5:$B1123=E943))"),"")</f>
        <v/>
      </c>
      <c r="G943" s="203" t="str">
        <f ca="1">IFERROR(__xludf.DUMMYFUNCTION("unique(filter($D$5:$D1123,$B$5:$B1123=E943))"),"")</f>
        <v/>
      </c>
      <c r="K943" s="48"/>
      <c r="M943" s="205" t="s">
        <v>3253</v>
      </c>
    </row>
    <row r="944" spans="2:13" ht="15.75" customHeight="1" x14ac:dyDescent="0.2">
      <c r="B944" s="46"/>
      <c r="E944" s="71"/>
      <c r="F944" s="71" t="str">
        <f ca="1">IFERROR(__xludf.DUMMYFUNCTION("unique(filter($C$5:$C1123,$B$5:$B1123=E944))"),"")</f>
        <v/>
      </c>
      <c r="G944" s="203" t="str">
        <f ca="1">IFERROR(__xludf.DUMMYFUNCTION("unique(filter($D$5:$D1123,$B$5:$B1123=E944))"),"")</f>
        <v/>
      </c>
      <c r="K944" s="48"/>
      <c r="M944" s="205" t="s">
        <v>3254</v>
      </c>
    </row>
    <row r="945" spans="2:13" ht="15.75" customHeight="1" x14ac:dyDescent="0.2">
      <c r="B945" s="46"/>
      <c r="E945" s="71"/>
      <c r="F945" s="71" t="str">
        <f ca="1">IFERROR(__xludf.DUMMYFUNCTION("unique(filter($C$5:$C1123,$B$5:$B1123=E945))"),"")</f>
        <v/>
      </c>
      <c r="G945" s="203" t="str">
        <f ca="1">IFERROR(__xludf.DUMMYFUNCTION("unique(filter($D$5:$D1123,$B$5:$B1123=E945))"),"")</f>
        <v/>
      </c>
      <c r="K945" s="48"/>
      <c r="M945" s="205" t="s">
        <v>3255</v>
      </c>
    </row>
    <row r="946" spans="2:13" ht="15.75" customHeight="1" x14ac:dyDescent="0.2">
      <c r="B946" s="46"/>
      <c r="E946" s="71"/>
      <c r="F946" s="71" t="str">
        <f ca="1">IFERROR(__xludf.DUMMYFUNCTION("unique(filter($C$5:$C1123,$B$5:$B1123=E946))"),"")</f>
        <v/>
      </c>
      <c r="G946" s="203" t="str">
        <f ca="1">IFERROR(__xludf.DUMMYFUNCTION("unique(filter($D$5:$D1123,$B$5:$B1123=E946))"),"")</f>
        <v/>
      </c>
      <c r="K946" s="48"/>
      <c r="M946" s="205" t="s">
        <v>3256</v>
      </c>
    </row>
    <row r="947" spans="2:13" ht="15.75" customHeight="1" x14ac:dyDescent="0.2">
      <c r="B947" s="46"/>
      <c r="E947" s="71"/>
      <c r="F947" s="71" t="str">
        <f ca="1">IFERROR(__xludf.DUMMYFUNCTION("unique(filter($C$5:$C1123,$B$5:$B1123=E947))"),"")</f>
        <v/>
      </c>
      <c r="G947" s="203" t="str">
        <f ca="1">IFERROR(__xludf.DUMMYFUNCTION("unique(filter($D$5:$D1123,$B$5:$B1123=E947))"),"")</f>
        <v/>
      </c>
      <c r="K947" s="48"/>
      <c r="M947" s="205" t="s">
        <v>3257</v>
      </c>
    </row>
    <row r="948" spans="2:13" ht="15.75" customHeight="1" x14ac:dyDescent="0.2">
      <c r="B948" s="46"/>
      <c r="E948" s="71"/>
      <c r="F948" s="71" t="str">
        <f ca="1">IFERROR(__xludf.DUMMYFUNCTION("unique(filter($C$5:$C1123,$B$5:$B1123=E948))"),"")</f>
        <v/>
      </c>
      <c r="G948" s="203" t="str">
        <f ca="1">IFERROR(__xludf.DUMMYFUNCTION("unique(filter($D$5:$D1123,$B$5:$B1123=E948))"),"")</f>
        <v/>
      </c>
      <c r="K948" s="48"/>
      <c r="M948" s="205" t="s">
        <v>3258</v>
      </c>
    </row>
    <row r="949" spans="2:13" ht="15.75" customHeight="1" x14ac:dyDescent="0.2">
      <c r="B949" s="46"/>
      <c r="E949" s="71"/>
      <c r="F949" s="71" t="str">
        <f ca="1">IFERROR(__xludf.DUMMYFUNCTION("unique(filter($C$5:$C1123,$B$5:$B1123=E949))"),"")</f>
        <v/>
      </c>
      <c r="G949" s="203" t="str">
        <f ca="1">IFERROR(__xludf.DUMMYFUNCTION("unique(filter($D$5:$D1123,$B$5:$B1123=E949))"),"")</f>
        <v/>
      </c>
      <c r="K949" s="48"/>
      <c r="M949" s="205" t="s">
        <v>3259</v>
      </c>
    </row>
    <row r="950" spans="2:13" ht="15.75" customHeight="1" x14ac:dyDescent="0.2">
      <c r="B950" s="46"/>
      <c r="E950" s="71"/>
      <c r="F950" s="71" t="str">
        <f ca="1">IFERROR(__xludf.DUMMYFUNCTION("unique(filter($C$5:$C1123,$B$5:$B1123=E950))"),"")</f>
        <v/>
      </c>
      <c r="G950" s="203" t="str">
        <f ca="1">IFERROR(__xludf.DUMMYFUNCTION("unique(filter($D$5:$D1123,$B$5:$B1123=E950))"),"")</f>
        <v/>
      </c>
      <c r="K950" s="48"/>
      <c r="M950" s="205" t="s">
        <v>3260</v>
      </c>
    </row>
    <row r="951" spans="2:13" ht="15.75" customHeight="1" x14ac:dyDescent="0.2">
      <c r="B951" s="46"/>
      <c r="E951" s="71"/>
      <c r="F951" s="71" t="str">
        <f ca="1">IFERROR(__xludf.DUMMYFUNCTION("unique(filter($C$5:$C1123,$B$5:$B1123=E951))"),"")</f>
        <v/>
      </c>
      <c r="G951" s="203" t="str">
        <f ca="1">IFERROR(__xludf.DUMMYFUNCTION("unique(filter($D$5:$D1123,$B$5:$B1123=E951))"),"")</f>
        <v/>
      </c>
      <c r="K951" s="48"/>
      <c r="M951" s="205" t="s">
        <v>3261</v>
      </c>
    </row>
    <row r="952" spans="2:13" ht="15.75" customHeight="1" x14ac:dyDescent="0.2">
      <c r="B952" s="46"/>
      <c r="E952" s="71"/>
      <c r="F952" s="71" t="str">
        <f ca="1">IFERROR(__xludf.DUMMYFUNCTION("unique(filter($C$5:$C1123,$B$5:$B1123=E952))"),"")</f>
        <v/>
      </c>
      <c r="G952" s="203" t="str">
        <f ca="1">IFERROR(__xludf.DUMMYFUNCTION("unique(filter($D$5:$D1123,$B$5:$B1123=E952))"),"")</f>
        <v/>
      </c>
      <c r="K952" s="48"/>
      <c r="M952" s="205" t="s">
        <v>3262</v>
      </c>
    </row>
    <row r="953" spans="2:13" ht="15.75" customHeight="1" x14ac:dyDescent="0.2">
      <c r="B953" s="46"/>
      <c r="E953" s="71"/>
      <c r="F953" s="71" t="str">
        <f ca="1">IFERROR(__xludf.DUMMYFUNCTION("unique(filter($C$5:$C1123,$B$5:$B1123=E953))"),"")</f>
        <v/>
      </c>
      <c r="G953" s="203" t="str">
        <f ca="1">IFERROR(__xludf.DUMMYFUNCTION("unique(filter($D$5:$D1123,$B$5:$B1123=E953))"),"")</f>
        <v/>
      </c>
      <c r="K953" s="48"/>
      <c r="M953" s="205" t="s">
        <v>3263</v>
      </c>
    </row>
    <row r="954" spans="2:13" ht="15.75" customHeight="1" x14ac:dyDescent="0.2">
      <c r="B954" s="46"/>
      <c r="E954" s="71"/>
      <c r="F954" s="71" t="str">
        <f ca="1">IFERROR(__xludf.DUMMYFUNCTION("unique(filter($C$5:$C1123,$B$5:$B1123=E954))"),"")</f>
        <v/>
      </c>
      <c r="G954" s="203" t="str">
        <f ca="1">IFERROR(__xludf.DUMMYFUNCTION("unique(filter($D$5:$D1123,$B$5:$B1123=E954))"),"")</f>
        <v/>
      </c>
      <c r="K954" s="48"/>
      <c r="M954" s="205" t="s">
        <v>3264</v>
      </c>
    </row>
    <row r="955" spans="2:13" ht="15.75" customHeight="1" x14ac:dyDescent="0.2">
      <c r="B955" s="46"/>
      <c r="E955" s="71"/>
      <c r="F955" s="71" t="str">
        <f ca="1">IFERROR(__xludf.DUMMYFUNCTION("unique(filter($C$5:$C1123,$B$5:$B1123=E955))"),"")</f>
        <v/>
      </c>
      <c r="G955" s="203" t="str">
        <f ca="1">IFERROR(__xludf.DUMMYFUNCTION("unique(filter($D$5:$D1123,$B$5:$B1123=E955))"),"")</f>
        <v/>
      </c>
      <c r="K955" s="48"/>
      <c r="M955" s="205" t="s">
        <v>3265</v>
      </c>
    </row>
    <row r="956" spans="2:13" ht="15.75" customHeight="1" x14ac:dyDescent="0.2">
      <c r="B956" s="46"/>
      <c r="E956" s="71"/>
      <c r="F956" s="71" t="str">
        <f ca="1">IFERROR(__xludf.DUMMYFUNCTION("unique(filter($C$5:$C1123,$B$5:$B1123=E956))"),"")</f>
        <v/>
      </c>
      <c r="G956" s="203" t="str">
        <f ca="1">IFERROR(__xludf.DUMMYFUNCTION("unique(filter($D$5:$D1123,$B$5:$B1123=E956))"),"")</f>
        <v/>
      </c>
      <c r="K956" s="48"/>
      <c r="M956" s="205" t="s">
        <v>3266</v>
      </c>
    </row>
    <row r="957" spans="2:13" ht="15.75" customHeight="1" x14ac:dyDescent="0.2">
      <c r="B957" s="46"/>
      <c r="E957" s="71"/>
      <c r="F957" s="71" t="str">
        <f ca="1">IFERROR(__xludf.DUMMYFUNCTION("unique(filter($C$5:$C1123,$B$5:$B1123=E957))"),"")</f>
        <v/>
      </c>
      <c r="G957" s="203" t="str">
        <f ca="1">IFERROR(__xludf.DUMMYFUNCTION("unique(filter($D$5:$D1123,$B$5:$B1123=E957))"),"")</f>
        <v/>
      </c>
      <c r="K957" s="48"/>
      <c r="M957" s="205" t="s">
        <v>3267</v>
      </c>
    </row>
    <row r="958" spans="2:13" ht="15.75" customHeight="1" x14ac:dyDescent="0.2">
      <c r="B958" s="46"/>
      <c r="E958" s="71"/>
      <c r="F958" s="71" t="str">
        <f ca="1">IFERROR(__xludf.DUMMYFUNCTION("unique(filter($C$5:$C1123,$B$5:$B1123=E958))"),"")</f>
        <v/>
      </c>
      <c r="G958" s="203" t="str">
        <f ca="1">IFERROR(__xludf.DUMMYFUNCTION("unique(filter($D$5:$D1123,$B$5:$B1123=E958))"),"")</f>
        <v/>
      </c>
      <c r="K958" s="48"/>
      <c r="M958" s="205" t="s">
        <v>3268</v>
      </c>
    </row>
    <row r="959" spans="2:13" ht="15.75" customHeight="1" x14ac:dyDescent="0.2">
      <c r="B959" s="46"/>
      <c r="E959" s="71"/>
      <c r="F959" s="71" t="str">
        <f ca="1">IFERROR(__xludf.DUMMYFUNCTION("unique(filter($C$5:$C1123,$B$5:$B1123=E959))"),"")</f>
        <v/>
      </c>
      <c r="G959" s="203" t="str">
        <f ca="1">IFERROR(__xludf.DUMMYFUNCTION("unique(filter($D$5:$D1123,$B$5:$B1123=E959))"),"")</f>
        <v/>
      </c>
      <c r="K959" s="48"/>
      <c r="M959" s="205" t="s">
        <v>3269</v>
      </c>
    </row>
    <row r="960" spans="2:13" ht="15.75" customHeight="1" x14ac:dyDescent="0.2">
      <c r="B960" s="46"/>
      <c r="E960" s="71"/>
      <c r="F960" s="71" t="str">
        <f ca="1">IFERROR(__xludf.DUMMYFUNCTION("unique(filter($C$5:$C1123,$B$5:$B1123=E960))"),"")</f>
        <v/>
      </c>
      <c r="G960" s="203" t="str">
        <f ca="1">IFERROR(__xludf.DUMMYFUNCTION("unique(filter($D$5:$D1123,$B$5:$B1123=E960))"),"")</f>
        <v/>
      </c>
      <c r="K960" s="48"/>
      <c r="M960" s="205" t="s">
        <v>3270</v>
      </c>
    </row>
    <row r="961" spans="2:13" ht="15.75" customHeight="1" x14ac:dyDescent="0.2">
      <c r="B961" s="46"/>
      <c r="E961" s="71"/>
      <c r="F961" s="71" t="str">
        <f ca="1">IFERROR(__xludf.DUMMYFUNCTION("unique(filter($C$5:$C1123,$B$5:$B1123=E961))"),"")</f>
        <v/>
      </c>
      <c r="G961" s="203" t="str">
        <f ca="1">IFERROR(__xludf.DUMMYFUNCTION("unique(filter($D$5:$D1123,$B$5:$B1123=E961))"),"")</f>
        <v/>
      </c>
      <c r="K961" s="48"/>
      <c r="M961" s="205" t="s">
        <v>3271</v>
      </c>
    </row>
    <row r="962" spans="2:13" ht="15.75" customHeight="1" x14ac:dyDescent="0.2">
      <c r="B962" s="46"/>
      <c r="E962" s="71"/>
      <c r="F962" s="71" t="str">
        <f ca="1">IFERROR(__xludf.DUMMYFUNCTION("unique(filter($C$5:$C1123,$B$5:$B1123=E962))"),"")</f>
        <v/>
      </c>
      <c r="G962" s="203" t="str">
        <f ca="1">IFERROR(__xludf.DUMMYFUNCTION("unique(filter($D$5:$D1123,$B$5:$B1123=E962))"),"")</f>
        <v/>
      </c>
      <c r="K962" s="48"/>
      <c r="M962" s="205" t="s">
        <v>3272</v>
      </c>
    </row>
    <row r="963" spans="2:13" ht="15.75" customHeight="1" x14ac:dyDescent="0.2">
      <c r="B963" s="46"/>
      <c r="E963" s="71"/>
      <c r="F963" s="71" t="str">
        <f ca="1">IFERROR(__xludf.DUMMYFUNCTION("unique(filter($C$5:$C1123,$B$5:$B1123=E963))"),"")</f>
        <v/>
      </c>
      <c r="G963" s="203" t="str">
        <f ca="1">IFERROR(__xludf.DUMMYFUNCTION("unique(filter($D$5:$D1123,$B$5:$B1123=E963))"),"")</f>
        <v/>
      </c>
      <c r="K963" s="48"/>
      <c r="M963" s="205" t="s">
        <v>3273</v>
      </c>
    </row>
    <row r="964" spans="2:13" ht="15.75" customHeight="1" x14ac:dyDescent="0.2">
      <c r="B964" s="46"/>
      <c r="E964" s="71"/>
      <c r="F964" s="71" t="str">
        <f ca="1">IFERROR(__xludf.DUMMYFUNCTION("unique(filter($C$5:$C1123,$B$5:$B1123=E964))"),"")</f>
        <v/>
      </c>
      <c r="G964" s="203" t="str">
        <f ca="1">IFERROR(__xludf.DUMMYFUNCTION("unique(filter($D$5:$D1123,$B$5:$B1123=E964))"),"")</f>
        <v/>
      </c>
      <c r="K964" s="48"/>
      <c r="M964" s="205" t="s">
        <v>3274</v>
      </c>
    </row>
    <row r="965" spans="2:13" ht="15.75" customHeight="1" x14ac:dyDescent="0.2">
      <c r="B965" s="46"/>
      <c r="E965" s="71"/>
      <c r="F965" s="71" t="str">
        <f ca="1">IFERROR(__xludf.DUMMYFUNCTION("unique(filter($C$5:$C1123,$B$5:$B1123=E965))"),"")</f>
        <v/>
      </c>
      <c r="G965" s="203" t="str">
        <f ca="1">IFERROR(__xludf.DUMMYFUNCTION("unique(filter($D$5:$D1123,$B$5:$B1123=E965))"),"")</f>
        <v/>
      </c>
      <c r="K965" s="48"/>
      <c r="M965" s="205" t="s">
        <v>3275</v>
      </c>
    </row>
    <row r="966" spans="2:13" ht="15.75" customHeight="1" x14ac:dyDescent="0.2">
      <c r="B966" s="46"/>
      <c r="E966" s="71"/>
      <c r="F966" s="71" t="str">
        <f ca="1">IFERROR(__xludf.DUMMYFUNCTION("unique(filter($C$5:$C1123,$B$5:$B1123=E966))"),"")</f>
        <v/>
      </c>
      <c r="G966" s="203" t="str">
        <f ca="1">IFERROR(__xludf.DUMMYFUNCTION("unique(filter($D$5:$D1123,$B$5:$B1123=E966))"),"")</f>
        <v/>
      </c>
      <c r="K966" s="48"/>
      <c r="M966" s="205" t="s">
        <v>3276</v>
      </c>
    </row>
    <row r="967" spans="2:13" ht="15.75" customHeight="1" x14ac:dyDescent="0.2">
      <c r="B967" s="46"/>
      <c r="E967" s="71"/>
      <c r="F967" s="71" t="str">
        <f ca="1">IFERROR(__xludf.DUMMYFUNCTION("unique(filter($C$5:$C1123,$B$5:$B1123=E967))"),"")</f>
        <v/>
      </c>
      <c r="G967" s="203" t="str">
        <f ca="1">IFERROR(__xludf.DUMMYFUNCTION("unique(filter($D$5:$D1123,$B$5:$B1123=E967))"),"")</f>
        <v/>
      </c>
      <c r="K967" s="48"/>
      <c r="M967" s="205" t="s">
        <v>3277</v>
      </c>
    </row>
    <row r="968" spans="2:13" ht="15.75" customHeight="1" x14ac:dyDescent="0.2">
      <c r="B968" s="46"/>
      <c r="E968" s="71"/>
      <c r="F968" s="71" t="str">
        <f ca="1">IFERROR(__xludf.DUMMYFUNCTION("unique(filter($C$5:$C1123,$B$5:$B1123=E968))"),"")</f>
        <v/>
      </c>
      <c r="G968" s="203" t="str">
        <f ca="1">IFERROR(__xludf.DUMMYFUNCTION("unique(filter($D$5:$D1123,$B$5:$B1123=E968))"),"")</f>
        <v/>
      </c>
      <c r="K968" s="48"/>
      <c r="M968" s="205" t="s">
        <v>3278</v>
      </c>
    </row>
    <row r="969" spans="2:13" ht="15.75" customHeight="1" x14ac:dyDescent="0.2">
      <c r="B969" s="46"/>
      <c r="E969" s="71"/>
      <c r="F969" s="71" t="str">
        <f ca="1">IFERROR(__xludf.DUMMYFUNCTION("unique(filter($C$5:$C1123,$B$5:$B1123=E969))"),"")</f>
        <v/>
      </c>
      <c r="G969" s="203" t="str">
        <f ca="1">IFERROR(__xludf.DUMMYFUNCTION("unique(filter($D$5:$D1123,$B$5:$B1123=E969))"),"")</f>
        <v/>
      </c>
      <c r="K969" s="48"/>
      <c r="M969" s="205" t="s">
        <v>3279</v>
      </c>
    </row>
    <row r="970" spans="2:13" ht="15.75" customHeight="1" x14ac:dyDescent="0.2">
      <c r="B970" s="46"/>
      <c r="E970" s="71"/>
      <c r="F970" s="71" t="str">
        <f ca="1">IFERROR(__xludf.DUMMYFUNCTION("unique(filter($C$5:$C1123,$B$5:$B1123=E970))"),"")</f>
        <v/>
      </c>
      <c r="G970" s="203" t="str">
        <f ca="1">IFERROR(__xludf.DUMMYFUNCTION("unique(filter($D$5:$D1123,$B$5:$B1123=E970))"),"")</f>
        <v/>
      </c>
      <c r="K970" s="48"/>
      <c r="M970" s="205" t="s">
        <v>3280</v>
      </c>
    </row>
    <row r="971" spans="2:13" ht="15.75" customHeight="1" x14ac:dyDescent="0.2">
      <c r="B971" s="46"/>
      <c r="E971" s="71"/>
      <c r="F971" s="71" t="str">
        <f ca="1">IFERROR(__xludf.DUMMYFUNCTION("unique(filter($C$5:$C1123,$B$5:$B1123=E971))"),"")</f>
        <v/>
      </c>
      <c r="G971" s="203" t="str">
        <f ca="1">IFERROR(__xludf.DUMMYFUNCTION("unique(filter($D$5:$D1123,$B$5:$B1123=E971))"),"")</f>
        <v/>
      </c>
      <c r="K971" s="48"/>
      <c r="M971" s="205" t="s">
        <v>3281</v>
      </c>
    </row>
    <row r="972" spans="2:13" ht="15.75" customHeight="1" x14ac:dyDescent="0.2">
      <c r="B972" s="46"/>
      <c r="E972" s="71"/>
      <c r="F972" s="71" t="str">
        <f ca="1">IFERROR(__xludf.DUMMYFUNCTION("unique(filter($C$5:$C1123,$B$5:$B1123=E972))"),"")</f>
        <v/>
      </c>
      <c r="G972" s="203" t="str">
        <f ca="1">IFERROR(__xludf.DUMMYFUNCTION("unique(filter($D$5:$D1123,$B$5:$B1123=E972))"),"")</f>
        <v/>
      </c>
      <c r="K972" s="48"/>
      <c r="M972" s="205" t="s">
        <v>3282</v>
      </c>
    </row>
    <row r="973" spans="2:13" ht="15.75" customHeight="1" x14ac:dyDescent="0.2">
      <c r="B973" s="46"/>
      <c r="E973" s="71"/>
      <c r="F973" s="71" t="str">
        <f ca="1">IFERROR(__xludf.DUMMYFUNCTION("unique(filter($C$5:$C1123,$B$5:$B1123=E973))"),"")</f>
        <v/>
      </c>
      <c r="G973" s="203" t="str">
        <f ca="1">IFERROR(__xludf.DUMMYFUNCTION("unique(filter($D$5:$D1123,$B$5:$B1123=E973))"),"")</f>
        <v/>
      </c>
      <c r="K973" s="48"/>
      <c r="M973" s="205" t="s">
        <v>3283</v>
      </c>
    </row>
    <row r="974" spans="2:13" ht="15.75" customHeight="1" x14ac:dyDescent="0.2">
      <c r="B974" s="46"/>
      <c r="E974" s="71"/>
      <c r="F974" s="71" t="str">
        <f ca="1">IFERROR(__xludf.DUMMYFUNCTION("unique(filter($C$5:$C1123,$B$5:$B1123=E974))"),"")</f>
        <v/>
      </c>
      <c r="G974" s="203" t="str">
        <f ca="1">IFERROR(__xludf.DUMMYFUNCTION("unique(filter($D$5:$D1123,$B$5:$B1123=E974))"),"")</f>
        <v/>
      </c>
      <c r="K974" s="48"/>
      <c r="M974" s="205" t="s">
        <v>3284</v>
      </c>
    </row>
    <row r="975" spans="2:13" ht="15.75" customHeight="1" x14ac:dyDescent="0.2">
      <c r="B975" s="46"/>
      <c r="E975" s="71"/>
      <c r="F975" s="71" t="str">
        <f ca="1">IFERROR(__xludf.DUMMYFUNCTION("unique(filter($C$5:$C1123,$B$5:$B1123=E975))"),"")</f>
        <v/>
      </c>
      <c r="G975" s="203" t="str">
        <f ca="1">IFERROR(__xludf.DUMMYFUNCTION("unique(filter($D$5:$D1123,$B$5:$B1123=E975))"),"")</f>
        <v/>
      </c>
      <c r="K975" s="48"/>
      <c r="M975" s="205" t="s">
        <v>3285</v>
      </c>
    </row>
    <row r="976" spans="2:13" ht="15.75" customHeight="1" x14ac:dyDescent="0.2">
      <c r="B976" s="46"/>
      <c r="E976" s="71"/>
      <c r="F976" s="71" t="str">
        <f ca="1">IFERROR(__xludf.DUMMYFUNCTION("unique(filter($C$5:$C1123,$B$5:$B1123=E976))"),"")</f>
        <v/>
      </c>
      <c r="G976" s="203" t="str">
        <f ca="1">IFERROR(__xludf.DUMMYFUNCTION("unique(filter($D$5:$D1123,$B$5:$B1123=E976))"),"")</f>
        <v/>
      </c>
      <c r="K976" s="48"/>
      <c r="M976" s="205" t="s">
        <v>3286</v>
      </c>
    </row>
    <row r="977" spans="2:13" ht="15.75" customHeight="1" x14ac:dyDescent="0.2">
      <c r="B977" s="46"/>
      <c r="E977" s="71"/>
      <c r="F977" s="71" t="str">
        <f ca="1">IFERROR(__xludf.DUMMYFUNCTION("unique(filter($C$5:$C1123,$B$5:$B1123=E977))"),"")</f>
        <v/>
      </c>
      <c r="G977" s="203" t="str">
        <f ca="1">IFERROR(__xludf.DUMMYFUNCTION("unique(filter($D$5:$D1123,$B$5:$B1123=E977))"),"")</f>
        <v/>
      </c>
      <c r="K977" s="48"/>
      <c r="M977" s="205" t="s">
        <v>3287</v>
      </c>
    </row>
    <row r="978" spans="2:13" ht="15.75" customHeight="1" x14ac:dyDescent="0.2">
      <c r="B978" s="46"/>
      <c r="E978" s="71"/>
      <c r="F978" s="71" t="str">
        <f ca="1">IFERROR(__xludf.DUMMYFUNCTION("unique(filter($C$5:$C1123,$B$5:$B1123=E978))"),"")</f>
        <v/>
      </c>
      <c r="G978" s="203" t="str">
        <f ca="1">IFERROR(__xludf.DUMMYFUNCTION("unique(filter($D$5:$D1123,$B$5:$B1123=E978))"),"")</f>
        <v/>
      </c>
      <c r="K978" s="48"/>
      <c r="M978" s="205" t="s">
        <v>3288</v>
      </c>
    </row>
    <row r="979" spans="2:13" ht="15.75" customHeight="1" x14ac:dyDescent="0.2">
      <c r="B979" s="46"/>
      <c r="E979" s="71"/>
      <c r="F979" s="71" t="str">
        <f ca="1">IFERROR(__xludf.DUMMYFUNCTION("unique(filter($C$5:$C1123,$B$5:$B1123=E979))"),"")</f>
        <v/>
      </c>
      <c r="G979" s="203" t="str">
        <f ca="1">IFERROR(__xludf.DUMMYFUNCTION("unique(filter($D$5:$D1123,$B$5:$B1123=E979))"),"")</f>
        <v/>
      </c>
      <c r="K979" s="48"/>
      <c r="M979" s="205" t="s">
        <v>3289</v>
      </c>
    </row>
    <row r="980" spans="2:13" ht="15.75" customHeight="1" x14ac:dyDescent="0.2">
      <c r="B980" s="46"/>
      <c r="E980" s="71"/>
      <c r="F980" s="71" t="str">
        <f ca="1">IFERROR(__xludf.DUMMYFUNCTION("unique(filter($C$5:$C1123,$B$5:$B1123=E980))"),"")</f>
        <v/>
      </c>
      <c r="G980" s="203" t="str">
        <f ca="1">IFERROR(__xludf.DUMMYFUNCTION("unique(filter($D$5:$D1123,$B$5:$B1123=E980))"),"")</f>
        <v/>
      </c>
      <c r="K980" s="48"/>
      <c r="M980" s="205" t="s">
        <v>3290</v>
      </c>
    </row>
    <row r="981" spans="2:13" ht="15.75" customHeight="1" x14ac:dyDescent="0.2">
      <c r="B981" s="46"/>
      <c r="E981" s="71"/>
      <c r="F981" s="71" t="str">
        <f ca="1">IFERROR(__xludf.DUMMYFUNCTION("unique(filter($C$5:$C1123,$B$5:$B1123=E981))"),"")</f>
        <v/>
      </c>
      <c r="G981" s="203" t="str">
        <f ca="1">IFERROR(__xludf.DUMMYFUNCTION("unique(filter($D$5:$D1123,$B$5:$B1123=E981))"),"")</f>
        <v/>
      </c>
      <c r="K981" s="48"/>
      <c r="M981" s="205" t="s">
        <v>3291</v>
      </c>
    </row>
    <row r="982" spans="2:13" ht="15.75" customHeight="1" x14ac:dyDescent="0.2">
      <c r="B982" s="46"/>
      <c r="E982" s="71"/>
      <c r="F982" s="71" t="str">
        <f ca="1">IFERROR(__xludf.DUMMYFUNCTION("unique(filter($C$5:$C1123,$B$5:$B1123=E982))"),"")</f>
        <v/>
      </c>
      <c r="G982" s="203" t="str">
        <f ca="1">IFERROR(__xludf.DUMMYFUNCTION("unique(filter($D$5:$D1123,$B$5:$B1123=E982))"),"")</f>
        <v/>
      </c>
      <c r="K982" s="48"/>
      <c r="M982" s="205" t="s">
        <v>3292</v>
      </c>
    </row>
    <row r="983" spans="2:13" ht="15.75" customHeight="1" x14ac:dyDescent="0.2">
      <c r="B983" s="46"/>
      <c r="E983" s="71"/>
      <c r="F983" s="71" t="str">
        <f ca="1">IFERROR(__xludf.DUMMYFUNCTION("unique(filter($C$5:$C1123,$B$5:$B1123=E983))"),"")</f>
        <v/>
      </c>
      <c r="G983" s="203" t="str">
        <f ca="1">IFERROR(__xludf.DUMMYFUNCTION("unique(filter($D$5:$D1123,$B$5:$B1123=E983))"),"")</f>
        <v/>
      </c>
      <c r="K983" s="48"/>
      <c r="M983" s="205" t="s">
        <v>3293</v>
      </c>
    </row>
    <row r="984" spans="2:13" ht="15.75" customHeight="1" x14ac:dyDescent="0.2">
      <c r="B984" s="46"/>
      <c r="E984" s="71"/>
      <c r="F984" s="71" t="str">
        <f ca="1">IFERROR(__xludf.DUMMYFUNCTION("unique(filter($C$5:$C1123,$B$5:$B1123=E984))"),"")</f>
        <v/>
      </c>
      <c r="G984" s="203" t="str">
        <f ca="1">IFERROR(__xludf.DUMMYFUNCTION("unique(filter($D$5:$D1123,$B$5:$B1123=E984))"),"")</f>
        <v/>
      </c>
      <c r="K984" s="48"/>
      <c r="M984" s="205" t="s">
        <v>3294</v>
      </c>
    </row>
    <row r="985" spans="2:13" ht="15.75" customHeight="1" x14ac:dyDescent="0.2">
      <c r="B985" s="46"/>
      <c r="E985" s="71"/>
      <c r="F985" s="71" t="str">
        <f ca="1">IFERROR(__xludf.DUMMYFUNCTION("unique(filter($C$5:$C1123,$B$5:$B1123=E985))"),"")</f>
        <v/>
      </c>
      <c r="G985" s="203" t="str">
        <f ca="1">IFERROR(__xludf.DUMMYFUNCTION("unique(filter($D$5:$D1123,$B$5:$B1123=E985))"),"")</f>
        <v/>
      </c>
      <c r="K985" s="48"/>
      <c r="M985" s="205" t="s">
        <v>3295</v>
      </c>
    </row>
    <row r="986" spans="2:13" ht="15.75" customHeight="1" x14ac:dyDescent="0.2">
      <c r="B986" s="46"/>
      <c r="E986" s="71"/>
      <c r="F986" s="71" t="str">
        <f ca="1">IFERROR(__xludf.DUMMYFUNCTION("unique(filter($C$5:$C1123,$B$5:$B1123=E986))"),"")</f>
        <v/>
      </c>
      <c r="G986" s="203" t="str">
        <f ca="1">IFERROR(__xludf.DUMMYFUNCTION("unique(filter($D$5:$D1123,$B$5:$B1123=E986))"),"")</f>
        <v/>
      </c>
      <c r="K986" s="48"/>
      <c r="M986" s="205" t="s">
        <v>3296</v>
      </c>
    </row>
    <row r="987" spans="2:13" ht="15.75" customHeight="1" x14ac:dyDescent="0.2">
      <c r="B987" s="46"/>
      <c r="E987" s="71"/>
      <c r="F987" s="71" t="str">
        <f ca="1">IFERROR(__xludf.DUMMYFUNCTION("unique(filter($C$5:$C1123,$B$5:$B1123=E987))"),"")</f>
        <v/>
      </c>
      <c r="G987" s="203" t="str">
        <f ca="1">IFERROR(__xludf.DUMMYFUNCTION("unique(filter($D$5:$D1123,$B$5:$B1123=E987))"),"")</f>
        <v/>
      </c>
      <c r="K987" s="48"/>
      <c r="M987" s="205" t="s">
        <v>3297</v>
      </c>
    </row>
    <row r="988" spans="2:13" ht="15.75" customHeight="1" x14ac:dyDescent="0.2">
      <c r="B988" s="46"/>
      <c r="E988" s="71"/>
      <c r="F988" s="71" t="str">
        <f ca="1">IFERROR(__xludf.DUMMYFUNCTION("unique(filter($C$5:$C1123,$B$5:$B1123=E988))"),"")</f>
        <v/>
      </c>
      <c r="G988" s="203" t="str">
        <f ca="1">IFERROR(__xludf.DUMMYFUNCTION("unique(filter($D$5:$D1123,$B$5:$B1123=E988))"),"")</f>
        <v/>
      </c>
      <c r="K988" s="48"/>
      <c r="M988" s="205" t="s">
        <v>3298</v>
      </c>
    </row>
    <row r="989" spans="2:13" ht="15.75" customHeight="1" x14ac:dyDescent="0.2">
      <c r="B989" s="46"/>
      <c r="E989" s="71"/>
      <c r="F989" s="71" t="str">
        <f ca="1">IFERROR(__xludf.DUMMYFUNCTION("unique(filter($C$5:$C1123,$B$5:$B1123=E989))"),"")</f>
        <v/>
      </c>
      <c r="G989" s="203" t="str">
        <f ca="1">IFERROR(__xludf.DUMMYFUNCTION("unique(filter($D$5:$D1123,$B$5:$B1123=E989))"),"")</f>
        <v/>
      </c>
      <c r="K989" s="48"/>
      <c r="M989" s="205" t="s">
        <v>3299</v>
      </c>
    </row>
    <row r="990" spans="2:13" ht="15.75" customHeight="1" x14ac:dyDescent="0.2">
      <c r="B990" s="46"/>
      <c r="E990" s="71"/>
      <c r="F990" s="71" t="str">
        <f ca="1">IFERROR(__xludf.DUMMYFUNCTION("unique(filter($C$5:$C1123,$B$5:$B1123=E990))"),"")</f>
        <v/>
      </c>
      <c r="G990" s="203" t="str">
        <f ca="1">IFERROR(__xludf.DUMMYFUNCTION("unique(filter($D$5:$D1123,$B$5:$B1123=E990))"),"")</f>
        <v/>
      </c>
      <c r="K990" s="48"/>
      <c r="M990" s="205" t="s">
        <v>3300</v>
      </c>
    </row>
    <row r="991" spans="2:13" ht="15.75" customHeight="1" x14ac:dyDescent="0.2">
      <c r="B991" s="46"/>
      <c r="E991" s="71"/>
      <c r="F991" s="71" t="str">
        <f ca="1">IFERROR(__xludf.DUMMYFUNCTION("unique(filter($C$5:$C1123,$B$5:$B1123=E991))"),"")</f>
        <v/>
      </c>
      <c r="G991" s="203" t="str">
        <f ca="1">IFERROR(__xludf.DUMMYFUNCTION("unique(filter($D$5:$D1123,$B$5:$B1123=E991))"),"")</f>
        <v/>
      </c>
      <c r="K991" s="48"/>
      <c r="M991" s="205" t="s">
        <v>3301</v>
      </c>
    </row>
    <row r="992" spans="2:13" ht="15.75" customHeight="1" x14ac:dyDescent="0.2">
      <c r="B992" s="46"/>
      <c r="E992" s="71"/>
      <c r="F992" s="71" t="str">
        <f ca="1">IFERROR(__xludf.DUMMYFUNCTION("unique(filter($C$5:$C1123,$B$5:$B1123=E992))"),"")</f>
        <v/>
      </c>
      <c r="G992" s="203" t="str">
        <f ca="1">IFERROR(__xludf.DUMMYFUNCTION("unique(filter($D$5:$D1123,$B$5:$B1123=E992))"),"")</f>
        <v/>
      </c>
      <c r="K992" s="48"/>
      <c r="M992" s="205" t="s">
        <v>3302</v>
      </c>
    </row>
    <row r="993" spans="2:13" ht="15.75" customHeight="1" x14ac:dyDescent="0.2">
      <c r="B993" s="46"/>
      <c r="E993" s="71"/>
      <c r="F993" s="71" t="str">
        <f ca="1">IFERROR(__xludf.DUMMYFUNCTION("unique(filter($C$5:$C1123,$B$5:$B1123=E993))"),"")</f>
        <v/>
      </c>
      <c r="G993" s="203" t="str">
        <f ca="1">IFERROR(__xludf.DUMMYFUNCTION("unique(filter($D$5:$D1123,$B$5:$B1123=E993))"),"")</f>
        <v/>
      </c>
      <c r="K993" s="48"/>
      <c r="M993" s="205" t="s">
        <v>3303</v>
      </c>
    </row>
    <row r="994" spans="2:13" ht="15.75" customHeight="1" x14ac:dyDescent="0.2">
      <c r="B994" s="46"/>
      <c r="E994" s="71"/>
      <c r="F994" s="71" t="str">
        <f ca="1">IFERROR(__xludf.DUMMYFUNCTION("unique(filter($C$5:$C1123,$B$5:$B1123=E994))"),"")</f>
        <v/>
      </c>
      <c r="G994" s="203" t="str">
        <f ca="1">IFERROR(__xludf.DUMMYFUNCTION("unique(filter($D$5:$D1123,$B$5:$B1123=E994))"),"")</f>
        <v/>
      </c>
      <c r="K994" s="48"/>
      <c r="M994" s="205" t="s">
        <v>3304</v>
      </c>
    </row>
    <row r="995" spans="2:13" ht="15.75" customHeight="1" x14ac:dyDescent="0.2">
      <c r="B995" s="46"/>
      <c r="E995" s="71"/>
      <c r="F995" s="71" t="str">
        <f ca="1">IFERROR(__xludf.DUMMYFUNCTION("unique(filter($C$5:$C1123,$B$5:$B1123=E995))"),"")</f>
        <v/>
      </c>
      <c r="G995" s="203" t="str">
        <f ca="1">IFERROR(__xludf.DUMMYFUNCTION("unique(filter($D$5:$D1123,$B$5:$B1123=E995))"),"")</f>
        <v/>
      </c>
      <c r="K995" s="48"/>
      <c r="M995" s="205" t="s">
        <v>3305</v>
      </c>
    </row>
    <row r="996" spans="2:13" ht="15.75" customHeight="1" x14ac:dyDescent="0.2">
      <c r="B996" s="46"/>
      <c r="E996" s="71"/>
      <c r="F996" s="71" t="str">
        <f ca="1">IFERROR(__xludf.DUMMYFUNCTION("unique(filter($C$5:$C1123,$B$5:$B1123=E996))"),"")</f>
        <v/>
      </c>
      <c r="G996" s="203" t="str">
        <f ca="1">IFERROR(__xludf.DUMMYFUNCTION("unique(filter($D$5:$D1123,$B$5:$B1123=E996))"),"")</f>
        <v/>
      </c>
      <c r="K996" s="48"/>
      <c r="M996" s="205" t="s">
        <v>3306</v>
      </c>
    </row>
    <row r="997" spans="2:13" ht="15.75" customHeight="1" x14ac:dyDescent="0.2">
      <c r="B997" s="46"/>
      <c r="E997" s="71"/>
      <c r="F997" s="71" t="str">
        <f ca="1">IFERROR(__xludf.DUMMYFUNCTION("unique(filter($C$5:$C1123,$B$5:$B1123=E997))"),"")</f>
        <v/>
      </c>
      <c r="G997" s="203" t="str">
        <f ca="1">IFERROR(__xludf.DUMMYFUNCTION("unique(filter($D$5:$D1123,$B$5:$B1123=E997))"),"")</f>
        <v/>
      </c>
      <c r="K997" s="48"/>
      <c r="M997" s="205" t="s">
        <v>3307</v>
      </c>
    </row>
    <row r="998" spans="2:13" ht="15.75" customHeight="1" x14ac:dyDescent="0.2">
      <c r="B998" s="46"/>
      <c r="E998" s="71"/>
      <c r="F998" s="71" t="str">
        <f ca="1">IFERROR(__xludf.DUMMYFUNCTION("unique(filter($C$5:$C1123,$B$5:$B1123=E998))"),"")</f>
        <v/>
      </c>
      <c r="G998" s="203" t="str">
        <f ca="1">IFERROR(__xludf.DUMMYFUNCTION("unique(filter($D$5:$D1123,$B$5:$B1123=E998))"),"")</f>
        <v/>
      </c>
      <c r="K998" s="48"/>
      <c r="M998" s="205" t="s">
        <v>3308</v>
      </c>
    </row>
    <row r="999" spans="2:13" ht="15.75" customHeight="1" x14ac:dyDescent="0.2">
      <c r="B999" s="46"/>
      <c r="E999" s="71"/>
      <c r="F999" s="71" t="str">
        <f ca="1">IFERROR(__xludf.DUMMYFUNCTION("unique(filter($C$5:$C1123,$B$5:$B1123=E999))"),"")</f>
        <v/>
      </c>
      <c r="G999" s="203" t="str">
        <f ca="1">IFERROR(__xludf.DUMMYFUNCTION("unique(filter($D$5:$D1123,$B$5:$B1123=E999))"),"")</f>
        <v/>
      </c>
      <c r="K999" s="48"/>
      <c r="M999" s="205" t="s">
        <v>3309</v>
      </c>
    </row>
    <row r="1000" spans="2:13" ht="15.75" customHeight="1" x14ac:dyDescent="0.2">
      <c r="B1000" s="46"/>
      <c r="E1000" s="71"/>
      <c r="F1000" s="71" t="str">
        <f ca="1">IFERROR(__xludf.DUMMYFUNCTION("unique(filter($C$5:$C1123,$B$5:$B1123=E1000))"),"")</f>
        <v/>
      </c>
      <c r="G1000" s="203" t="str">
        <f ca="1">IFERROR(__xludf.DUMMYFUNCTION("unique(filter($D$5:$D1123,$B$5:$B1123=E1000))"),"")</f>
        <v/>
      </c>
      <c r="K1000" s="48"/>
      <c r="M1000" s="205" t="s">
        <v>3310</v>
      </c>
    </row>
    <row r="1001" spans="2:13" ht="15.75" customHeight="1" x14ac:dyDescent="0.2">
      <c r="B1001" s="46"/>
      <c r="E1001" s="71"/>
      <c r="F1001" s="71" t="str">
        <f ca="1">IFERROR(__xludf.DUMMYFUNCTION("unique(filter($C$5:$C1123,$B$5:$B1123=E1001))"),"")</f>
        <v/>
      </c>
      <c r="G1001" s="203" t="str">
        <f ca="1">IFERROR(__xludf.DUMMYFUNCTION("unique(filter($D$5:$D1123,$B$5:$B1123=E1001))"),"")</f>
        <v/>
      </c>
      <c r="K1001" s="48"/>
      <c r="M1001" s="205" t="s">
        <v>3311</v>
      </c>
    </row>
    <row r="1002" spans="2:13" ht="15.75" customHeight="1" x14ac:dyDescent="0.2">
      <c r="B1002" s="46"/>
      <c r="E1002" s="71"/>
      <c r="F1002" s="71" t="str">
        <f ca="1">IFERROR(__xludf.DUMMYFUNCTION("unique(filter($C$5:$C1123,$B$5:$B1123=E1002))"),"")</f>
        <v/>
      </c>
      <c r="G1002" s="203" t="str">
        <f ca="1">IFERROR(__xludf.DUMMYFUNCTION("unique(filter($D$5:$D1123,$B$5:$B1123=E1002))"),"")</f>
        <v/>
      </c>
      <c r="K1002" s="48"/>
      <c r="M1002" s="205" t="s">
        <v>3312</v>
      </c>
    </row>
    <row r="1003" spans="2:13" ht="15.75" customHeight="1" x14ac:dyDescent="0.2">
      <c r="B1003" s="46"/>
      <c r="E1003" s="71"/>
      <c r="F1003" s="71" t="str">
        <f ca="1">IFERROR(__xludf.DUMMYFUNCTION("unique(filter($C$5:$C1123,$B$5:$B1123=E1003))"),"")</f>
        <v/>
      </c>
      <c r="G1003" s="203" t="str">
        <f ca="1">IFERROR(__xludf.DUMMYFUNCTION("unique(filter($D$5:$D1123,$B$5:$B1123=E1003))"),"")</f>
        <v/>
      </c>
      <c r="K1003" s="48"/>
      <c r="M1003" s="205" t="s">
        <v>3313</v>
      </c>
    </row>
    <row r="1004" spans="2:13" ht="15.75" customHeight="1" x14ac:dyDescent="0.2">
      <c r="B1004" s="46"/>
      <c r="E1004" s="71"/>
      <c r="F1004" s="71" t="str">
        <f ca="1">IFERROR(__xludf.DUMMYFUNCTION("unique(filter($C$5:$C1123,$B$5:$B1123=E1004))"),"")</f>
        <v/>
      </c>
      <c r="G1004" s="203" t="str">
        <f ca="1">IFERROR(__xludf.DUMMYFUNCTION("unique(filter($D$5:$D1123,$B$5:$B1123=E1004))"),"")</f>
        <v/>
      </c>
      <c r="K1004" s="48"/>
      <c r="M1004" s="205" t="s">
        <v>3314</v>
      </c>
    </row>
    <row r="1005" spans="2:13" ht="15.75" customHeight="1" x14ac:dyDescent="0.2">
      <c r="B1005" s="46"/>
      <c r="E1005" s="71"/>
      <c r="F1005" s="71" t="str">
        <f ca="1">IFERROR(__xludf.DUMMYFUNCTION("unique(filter($C$5:$C1123,$B$5:$B1123=E1005))"),"")</f>
        <v/>
      </c>
      <c r="G1005" s="203" t="str">
        <f ca="1">IFERROR(__xludf.DUMMYFUNCTION("unique(filter($D$5:$D1123,$B$5:$B1123=E1005))"),"")</f>
        <v/>
      </c>
      <c r="K1005" s="48"/>
      <c r="M1005" s="205" t="s">
        <v>3315</v>
      </c>
    </row>
    <row r="1006" spans="2:13" ht="15.75" customHeight="1" x14ac:dyDescent="0.2">
      <c r="B1006" s="46"/>
      <c r="E1006" s="71"/>
      <c r="F1006" s="71" t="str">
        <f ca="1">IFERROR(__xludf.DUMMYFUNCTION("unique(filter($C$5:$C1123,$B$5:$B1123=E1006))"),"")</f>
        <v/>
      </c>
      <c r="G1006" s="203" t="str">
        <f ca="1">IFERROR(__xludf.DUMMYFUNCTION("unique(filter($D$5:$D1123,$B$5:$B1123=E1006))"),"")</f>
        <v/>
      </c>
      <c r="K1006" s="48"/>
      <c r="M1006" s="205" t="s">
        <v>3316</v>
      </c>
    </row>
    <row r="1007" spans="2:13" ht="15.75" customHeight="1" x14ac:dyDescent="0.2">
      <c r="B1007" s="46"/>
      <c r="E1007" s="71"/>
      <c r="F1007" s="71" t="str">
        <f ca="1">IFERROR(__xludf.DUMMYFUNCTION("unique(filter($C$5:$C1123,$B$5:$B1123=E1007))"),"")</f>
        <v/>
      </c>
      <c r="G1007" s="203" t="str">
        <f ca="1">IFERROR(__xludf.DUMMYFUNCTION("unique(filter($D$5:$D1123,$B$5:$B1123=E1007))"),"")</f>
        <v/>
      </c>
      <c r="K1007" s="48"/>
      <c r="M1007" s="205" t="s">
        <v>3317</v>
      </c>
    </row>
    <row r="1008" spans="2:13" ht="15.75" customHeight="1" x14ac:dyDescent="0.2">
      <c r="B1008" s="46"/>
      <c r="E1008" s="71"/>
      <c r="F1008" s="71" t="str">
        <f ca="1">IFERROR(__xludf.DUMMYFUNCTION("unique(filter($C$5:$C1123,$B$5:$B1123=E1008))"),"")</f>
        <v/>
      </c>
      <c r="G1008" s="203" t="str">
        <f ca="1">IFERROR(__xludf.DUMMYFUNCTION("unique(filter($D$5:$D1123,$B$5:$B1123=E1008))"),"")</f>
        <v/>
      </c>
      <c r="K1008" s="48"/>
      <c r="M1008" s="205" t="s">
        <v>3318</v>
      </c>
    </row>
    <row r="1009" spans="2:13" ht="15.75" customHeight="1" x14ac:dyDescent="0.2">
      <c r="B1009" s="46"/>
      <c r="E1009" s="71"/>
      <c r="F1009" s="71" t="str">
        <f ca="1">IFERROR(__xludf.DUMMYFUNCTION("unique(filter($C$5:$C1123,$B$5:$B1123=E1009))"),"")</f>
        <v/>
      </c>
      <c r="G1009" s="203" t="str">
        <f ca="1">IFERROR(__xludf.DUMMYFUNCTION("unique(filter($D$5:$D1123,$B$5:$B1123=E1009))"),"")</f>
        <v/>
      </c>
      <c r="K1009" s="48"/>
      <c r="M1009" s="205" t="s">
        <v>3319</v>
      </c>
    </row>
    <row r="1010" spans="2:13" ht="15.75" customHeight="1" x14ac:dyDescent="0.2">
      <c r="B1010" s="46"/>
      <c r="E1010" s="71"/>
      <c r="F1010" s="71" t="str">
        <f ca="1">IFERROR(__xludf.DUMMYFUNCTION("unique(filter($C$5:$C1123,$B$5:$B1123=E1010))"),"")</f>
        <v/>
      </c>
      <c r="G1010" s="203" t="str">
        <f ca="1">IFERROR(__xludf.DUMMYFUNCTION("unique(filter($D$5:$D1123,$B$5:$B1123=E1010))"),"")</f>
        <v/>
      </c>
      <c r="K1010" s="48"/>
      <c r="M1010" s="205" t="s">
        <v>3320</v>
      </c>
    </row>
    <row r="1011" spans="2:13" ht="15.75" customHeight="1" x14ac:dyDescent="0.2">
      <c r="B1011" s="46"/>
      <c r="E1011" s="71"/>
      <c r="F1011" s="71" t="str">
        <f ca="1">IFERROR(__xludf.DUMMYFUNCTION("unique(filter($C$5:$C1123,$B$5:$B1123=E1011))"),"")</f>
        <v/>
      </c>
      <c r="G1011" s="203" t="str">
        <f ca="1">IFERROR(__xludf.DUMMYFUNCTION("unique(filter($D$5:$D1123,$B$5:$B1123=E1011))"),"")</f>
        <v/>
      </c>
      <c r="K1011" s="48"/>
      <c r="M1011" s="205" t="s">
        <v>3321</v>
      </c>
    </row>
    <row r="1012" spans="2:13" ht="15.75" customHeight="1" x14ac:dyDescent="0.2">
      <c r="B1012" s="46"/>
      <c r="E1012" s="71"/>
      <c r="F1012" s="71" t="str">
        <f ca="1">IFERROR(__xludf.DUMMYFUNCTION("unique(filter($C$5:$C1123,$B$5:$B1123=E1012))"),"")</f>
        <v/>
      </c>
      <c r="G1012" s="203" t="str">
        <f ca="1">IFERROR(__xludf.DUMMYFUNCTION("unique(filter($D$5:$D1123,$B$5:$B1123=E1012))"),"")</f>
        <v/>
      </c>
      <c r="K1012" s="48"/>
      <c r="M1012" s="205" t="s">
        <v>3322</v>
      </c>
    </row>
    <row r="1013" spans="2:13" ht="15.75" customHeight="1" x14ac:dyDescent="0.2">
      <c r="B1013" s="46"/>
      <c r="E1013" s="71"/>
      <c r="F1013" s="71" t="str">
        <f ca="1">IFERROR(__xludf.DUMMYFUNCTION("unique(filter($C$5:$C1123,$B$5:$B1123=E1013))"),"")</f>
        <v/>
      </c>
      <c r="G1013" s="203" t="str">
        <f ca="1">IFERROR(__xludf.DUMMYFUNCTION("unique(filter($D$5:$D1123,$B$5:$B1123=E1013))"),"")</f>
        <v/>
      </c>
      <c r="K1013" s="48"/>
      <c r="M1013" s="205" t="s">
        <v>3323</v>
      </c>
    </row>
    <row r="1014" spans="2:13" ht="15.75" customHeight="1" x14ac:dyDescent="0.2">
      <c r="B1014" s="46"/>
      <c r="E1014" s="71"/>
      <c r="F1014" s="71" t="str">
        <f ca="1">IFERROR(__xludf.DUMMYFUNCTION("unique(filter($C$5:$C1123,$B$5:$B1123=E1014))"),"")</f>
        <v/>
      </c>
      <c r="G1014" s="203" t="str">
        <f ca="1">IFERROR(__xludf.DUMMYFUNCTION("unique(filter($D$5:$D1123,$B$5:$B1123=E1014))"),"")</f>
        <v/>
      </c>
      <c r="K1014" s="48"/>
      <c r="M1014" s="205" t="s">
        <v>3324</v>
      </c>
    </row>
    <row r="1015" spans="2:13" ht="15.75" customHeight="1" x14ac:dyDescent="0.2">
      <c r="B1015" s="46"/>
      <c r="E1015" s="71"/>
      <c r="F1015" s="71" t="str">
        <f ca="1">IFERROR(__xludf.DUMMYFUNCTION("unique(filter($C$5:$C1123,$B$5:$B1123=E1015))"),"")</f>
        <v/>
      </c>
      <c r="G1015" s="203" t="str">
        <f ca="1">IFERROR(__xludf.DUMMYFUNCTION("unique(filter($D$5:$D1123,$B$5:$B1123=E1015))"),"")</f>
        <v/>
      </c>
      <c r="K1015" s="48"/>
      <c r="M1015" s="205" t="s">
        <v>3325</v>
      </c>
    </row>
    <row r="1016" spans="2:13" ht="15.75" customHeight="1" x14ac:dyDescent="0.2">
      <c r="B1016" s="46"/>
      <c r="E1016" s="71"/>
      <c r="F1016" s="71" t="str">
        <f ca="1">IFERROR(__xludf.DUMMYFUNCTION("unique(filter($C$5:$C1123,$B$5:$B1123=E1016))"),"")</f>
        <v/>
      </c>
      <c r="G1016" s="203" t="str">
        <f ca="1">IFERROR(__xludf.DUMMYFUNCTION("unique(filter($D$5:$D1123,$B$5:$B1123=E1016))"),"")</f>
        <v/>
      </c>
      <c r="K1016" s="48"/>
      <c r="M1016" s="205" t="s">
        <v>3326</v>
      </c>
    </row>
    <row r="1017" spans="2:13" ht="15.75" customHeight="1" x14ac:dyDescent="0.2">
      <c r="B1017" s="46"/>
      <c r="E1017" s="71"/>
      <c r="F1017" s="71" t="str">
        <f ca="1">IFERROR(__xludf.DUMMYFUNCTION("unique(filter($C$5:$C1123,$B$5:$B1123=E1017))"),"")</f>
        <v/>
      </c>
      <c r="G1017" s="203" t="str">
        <f ca="1">IFERROR(__xludf.DUMMYFUNCTION("unique(filter($D$5:$D1123,$B$5:$B1123=E1017))"),"")</f>
        <v/>
      </c>
      <c r="K1017" s="48"/>
      <c r="M1017" s="205" t="s">
        <v>3327</v>
      </c>
    </row>
    <row r="1018" spans="2:13" ht="15.75" customHeight="1" x14ac:dyDescent="0.2">
      <c r="B1018" s="46"/>
      <c r="E1018" s="71"/>
      <c r="F1018" s="71" t="str">
        <f ca="1">IFERROR(__xludf.DUMMYFUNCTION("unique(filter($C$5:$C1123,$B$5:$B1123=E1018))"),"")</f>
        <v/>
      </c>
      <c r="G1018" s="203" t="str">
        <f ca="1">IFERROR(__xludf.DUMMYFUNCTION("unique(filter($D$5:$D1123,$B$5:$B1123=E1018))"),"")</f>
        <v/>
      </c>
      <c r="K1018" s="48"/>
      <c r="M1018" s="205" t="s">
        <v>3328</v>
      </c>
    </row>
    <row r="1019" spans="2:13" ht="15.75" customHeight="1" x14ac:dyDescent="0.2">
      <c r="B1019" s="46"/>
      <c r="E1019" s="71"/>
      <c r="F1019" s="71" t="str">
        <f ca="1">IFERROR(__xludf.DUMMYFUNCTION("unique(filter($C$5:$C1123,$B$5:$B1123=E1019))"),"")</f>
        <v/>
      </c>
      <c r="G1019" s="203" t="str">
        <f ca="1">IFERROR(__xludf.DUMMYFUNCTION("unique(filter($D$5:$D1123,$B$5:$B1123=E1019))"),"")</f>
        <v/>
      </c>
      <c r="K1019" s="48"/>
      <c r="M1019" s="205" t="s">
        <v>3329</v>
      </c>
    </row>
    <row r="1020" spans="2:13" ht="15.75" customHeight="1" x14ac:dyDescent="0.2">
      <c r="B1020" s="46"/>
      <c r="E1020" s="71"/>
      <c r="F1020" s="71" t="str">
        <f ca="1">IFERROR(__xludf.DUMMYFUNCTION("unique(filter($C$5:$C1123,$B$5:$B1123=E1020))"),"")</f>
        <v/>
      </c>
      <c r="G1020" s="203" t="str">
        <f ca="1">IFERROR(__xludf.DUMMYFUNCTION("unique(filter($D$5:$D1123,$B$5:$B1123=E1020))"),"")</f>
        <v/>
      </c>
      <c r="K1020" s="48"/>
      <c r="M1020" s="205" t="s">
        <v>3330</v>
      </c>
    </row>
    <row r="1021" spans="2:13" ht="15.75" customHeight="1" x14ac:dyDescent="0.2">
      <c r="B1021" s="46"/>
      <c r="E1021" s="71"/>
      <c r="F1021" s="71" t="str">
        <f ca="1">IFERROR(__xludf.DUMMYFUNCTION("unique(filter($C$5:$C1123,$B$5:$B1123=E1021))"),"")</f>
        <v/>
      </c>
      <c r="G1021" s="203" t="str">
        <f ca="1">IFERROR(__xludf.DUMMYFUNCTION("unique(filter($D$5:$D1123,$B$5:$B1123=E1021))"),"")</f>
        <v/>
      </c>
      <c r="K1021" s="48"/>
      <c r="M1021" s="205" t="s">
        <v>3331</v>
      </c>
    </row>
    <row r="1022" spans="2:13" ht="15.75" customHeight="1" x14ac:dyDescent="0.2">
      <c r="B1022" s="46"/>
      <c r="E1022" s="71"/>
      <c r="F1022" s="71" t="str">
        <f ca="1">IFERROR(__xludf.DUMMYFUNCTION("unique(filter($C$5:$C1123,$B$5:$B1123=E1022))"),"")</f>
        <v/>
      </c>
      <c r="G1022" s="203" t="str">
        <f ca="1">IFERROR(__xludf.DUMMYFUNCTION("unique(filter($D$5:$D1123,$B$5:$B1123=E1022))"),"")</f>
        <v/>
      </c>
      <c r="K1022" s="48"/>
      <c r="M1022" s="205" t="s">
        <v>3332</v>
      </c>
    </row>
    <row r="1023" spans="2:13" ht="15.75" customHeight="1" x14ac:dyDescent="0.2">
      <c r="B1023" s="46"/>
      <c r="E1023" s="71"/>
      <c r="F1023" s="71" t="str">
        <f ca="1">IFERROR(__xludf.DUMMYFUNCTION("unique(filter($C$5:$C1123,$B$5:$B1123=E1023))"),"")</f>
        <v/>
      </c>
      <c r="G1023" s="203" t="str">
        <f ca="1">IFERROR(__xludf.DUMMYFUNCTION("unique(filter($D$5:$D1123,$B$5:$B1123=E1023))"),"")</f>
        <v/>
      </c>
      <c r="K1023" s="48"/>
      <c r="M1023" s="205" t="s">
        <v>3333</v>
      </c>
    </row>
    <row r="1024" spans="2:13" ht="15.75" customHeight="1" x14ac:dyDescent="0.2">
      <c r="B1024" s="46"/>
      <c r="E1024" s="71"/>
      <c r="F1024" s="71" t="str">
        <f ca="1">IFERROR(__xludf.DUMMYFUNCTION("unique(filter($C$5:$C1123,$B$5:$B1123=E1024))"),"")</f>
        <v/>
      </c>
      <c r="G1024" s="203" t="str">
        <f ca="1">IFERROR(__xludf.DUMMYFUNCTION("unique(filter($D$5:$D1123,$B$5:$B1123=E1024))"),"")</f>
        <v/>
      </c>
      <c r="K1024" s="48"/>
      <c r="M1024" s="205" t="s">
        <v>3334</v>
      </c>
    </row>
    <row r="1025" spans="2:13" ht="15.75" customHeight="1" x14ac:dyDescent="0.2">
      <c r="B1025" s="46"/>
      <c r="E1025" s="71"/>
      <c r="F1025" s="71" t="str">
        <f ca="1">IFERROR(__xludf.DUMMYFUNCTION("unique(filter($C$5:$C1123,$B$5:$B1123=E1025))"),"")</f>
        <v/>
      </c>
      <c r="G1025" s="203" t="str">
        <f ca="1">IFERROR(__xludf.DUMMYFUNCTION("unique(filter($D$5:$D1123,$B$5:$B1123=E1025))"),"")</f>
        <v/>
      </c>
      <c r="K1025" s="48"/>
      <c r="M1025" s="205" t="s">
        <v>3335</v>
      </c>
    </row>
    <row r="1026" spans="2:13" ht="15.75" customHeight="1" x14ac:dyDescent="0.2">
      <c r="B1026" s="46"/>
      <c r="E1026" s="71"/>
      <c r="F1026" s="71" t="str">
        <f ca="1">IFERROR(__xludf.DUMMYFUNCTION("unique(filter($C$5:$C1123,$B$5:$B1123=E1026))"),"")</f>
        <v/>
      </c>
      <c r="G1026" s="203" t="str">
        <f ca="1">IFERROR(__xludf.DUMMYFUNCTION("unique(filter($D$5:$D1123,$B$5:$B1123=E1026))"),"")</f>
        <v/>
      </c>
      <c r="K1026" s="48"/>
      <c r="M1026" s="205" t="s">
        <v>3336</v>
      </c>
    </row>
    <row r="1027" spans="2:13" ht="15.75" customHeight="1" x14ac:dyDescent="0.2">
      <c r="B1027" s="46"/>
      <c r="E1027" s="71"/>
      <c r="F1027" s="71" t="str">
        <f ca="1">IFERROR(__xludf.DUMMYFUNCTION("unique(filter($C$5:$C1123,$B$5:$B1123=E1027))"),"")</f>
        <v/>
      </c>
      <c r="G1027" s="203" t="str">
        <f ca="1">IFERROR(__xludf.DUMMYFUNCTION("unique(filter($D$5:$D1123,$B$5:$B1123=E1027))"),"")</f>
        <v/>
      </c>
      <c r="K1027" s="48"/>
      <c r="M1027" s="205" t="s">
        <v>3337</v>
      </c>
    </row>
    <row r="1028" spans="2:13" ht="15.75" customHeight="1" x14ac:dyDescent="0.2">
      <c r="B1028" s="46"/>
      <c r="E1028" s="71"/>
      <c r="F1028" s="71" t="str">
        <f ca="1">IFERROR(__xludf.DUMMYFUNCTION("unique(filter($C$5:$C1123,$B$5:$B1123=E1028))"),"")</f>
        <v/>
      </c>
      <c r="G1028" s="203" t="str">
        <f ca="1">IFERROR(__xludf.DUMMYFUNCTION("unique(filter($D$5:$D1123,$B$5:$B1123=E1028))"),"")</f>
        <v/>
      </c>
      <c r="K1028" s="48"/>
      <c r="M1028" s="205" t="s">
        <v>3338</v>
      </c>
    </row>
    <row r="1029" spans="2:13" ht="15.75" customHeight="1" x14ac:dyDescent="0.2">
      <c r="B1029" s="46"/>
      <c r="E1029" s="71"/>
      <c r="F1029" s="71" t="str">
        <f ca="1">IFERROR(__xludf.DUMMYFUNCTION("unique(filter($C$5:$C1123,$B$5:$B1123=E1029))"),"")</f>
        <v/>
      </c>
      <c r="G1029" s="203" t="str">
        <f ca="1">IFERROR(__xludf.DUMMYFUNCTION("unique(filter($D$5:$D1123,$B$5:$B1123=E1029))"),"")</f>
        <v/>
      </c>
      <c r="K1029" s="48"/>
      <c r="M1029" s="205" t="s">
        <v>3339</v>
      </c>
    </row>
    <row r="1030" spans="2:13" ht="15.75" customHeight="1" x14ac:dyDescent="0.2">
      <c r="B1030" s="46"/>
      <c r="E1030" s="71"/>
      <c r="F1030" s="71" t="str">
        <f ca="1">IFERROR(__xludf.DUMMYFUNCTION("unique(filter($C$5:$C1123,$B$5:$B1123=E1030))"),"")</f>
        <v/>
      </c>
      <c r="G1030" s="203" t="str">
        <f ca="1">IFERROR(__xludf.DUMMYFUNCTION("unique(filter($D$5:$D1123,$B$5:$B1123=E1030))"),"")</f>
        <v/>
      </c>
      <c r="K1030" s="48"/>
      <c r="M1030" s="205" t="s">
        <v>3340</v>
      </c>
    </row>
    <row r="1031" spans="2:13" ht="15.75" customHeight="1" x14ac:dyDescent="0.2">
      <c r="B1031" s="46"/>
      <c r="E1031" s="71"/>
      <c r="F1031" s="71" t="str">
        <f ca="1">IFERROR(__xludf.DUMMYFUNCTION("unique(filter($C$5:$C1123,$B$5:$B1123=E1031))"),"")</f>
        <v/>
      </c>
      <c r="G1031" s="203" t="str">
        <f ca="1">IFERROR(__xludf.DUMMYFUNCTION("unique(filter($D$5:$D1123,$B$5:$B1123=E1031))"),"")</f>
        <v/>
      </c>
      <c r="K1031" s="48"/>
      <c r="M1031" s="205" t="s">
        <v>3341</v>
      </c>
    </row>
    <row r="1032" spans="2:13" ht="15.75" customHeight="1" x14ac:dyDescent="0.2">
      <c r="B1032" s="46"/>
      <c r="E1032" s="71"/>
      <c r="F1032" s="71" t="str">
        <f ca="1">IFERROR(__xludf.DUMMYFUNCTION("unique(filter($C$5:$C1123,$B$5:$B1123=E1032))"),"")</f>
        <v/>
      </c>
      <c r="G1032" s="203" t="str">
        <f ca="1">IFERROR(__xludf.DUMMYFUNCTION("unique(filter($D$5:$D1123,$B$5:$B1123=E1032))"),"")</f>
        <v/>
      </c>
      <c r="K1032" s="48"/>
      <c r="M1032" s="205" t="s">
        <v>3342</v>
      </c>
    </row>
    <row r="1033" spans="2:13" ht="15.75" customHeight="1" x14ac:dyDescent="0.2">
      <c r="B1033" s="46"/>
      <c r="E1033" s="71"/>
      <c r="F1033" s="71" t="str">
        <f ca="1">IFERROR(__xludf.DUMMYFUNCTION("unique(filter($C$5:$C1123,$B$5:$B1123=E1033))"),"")</f>
        <v/>
      </c>
      <c r="G1033" s="203" t="str">
        <f ca="1">IFERROR(__xludf.DUMMYFUNCTION("unique(filter($D$5:$D1123,$B$5:$B1123=E1033))"),"")</f>
        <v/>
      </c>
      <c r="K1033" s="48"/>
      <c r="M1033" s="205" t="s">
        <v>3343</v>
      </c>
    </row>
    <row r="1034" spans="2:13" ht="15.75" customHeight="1" x14ac:dyDescent="0.2">
      <c r="B1034" s="46"/>
      <c r="E1034" s="71"/>
      <c r="F1034" s="71" t="str">
        <f ca="1">IFERROR(__xludf.DUMMYFUNCTION("unique(filter($C$5:$C1123,$B$5:$B1123=E1034))"),"")</f>
        <v/>
      </c>
      <c r="G1034" s="203" t="str">
        <f ca="1">IFERROR(__xludf.DUMMYFUNCTION("unique(filter($D$5:$D1123,$B$5:$B1123=E1034))"),"")</f>
        <v/>
      </c>
      <c r="K1034" s="48"/>
      <c r="M1034" s="205" t="s">
        <v>3344</v>
      </c>
    </row>
    <row r="1035" spans="2:13" ht="15.75" customHeight="1" x14ac:dyDescent="0.2">
      <c r="B1035" s="46"/>
      <c r="E1035" s="71"/>
      <c r="F1035" s="71" t="str">
        <f ca="1">IFERROR(__xludf.DUMMYFUNCTION("unique(filter($C$5:$C1123,$B$5:$B1123=E1035))"),"")</f>
        <v/>
      </c>
      <c r="G1035" s="203" t="str">
        <f ca="1">IFERROR(__xludf.DUMMYFUNCTION("unique(filter($D$5:$D1123,$B$5:$B1123=E1035))"),"")</f>
        <v/>
      </c>
      <c r="K1035" s="48"/>
      <c r="M1035" s="205" t="s">
        <v>3345</v>
      </c>
    </row>
    <row r="1036" spans="2:13" ht="15.75" customHeight="1" x14ac:dyDescent="0.2">
      <c r="B1036" s="46"/>
      <c r="E1036" s="71"/>
      <c r="F1036" s="71" t="str">
        <f ca="1">IFERROR(__xludf.DUMMYFUNCTION("unique(filter($C$5:$C1123,$B$5:$B1123=E1036))"),"")</f>
        <v/>
      </c>
      <c r="G1036" s="203" t="str">
        <f ca="1">IFERROR(__xludf.DUMMYFUNCTION("unique(filter($D$5:$D1123,$B$5:$B1123=E1036))"),"")</f>
        <v/>
      </c>
      <c r="K1036" s="48"/>
      <c r="M1036" s="205" t="s">
        <v>3346</v>
      </c>
    </row>
    <row r="1037" spans="2:13" ht="15.75" customHeight="1" x14ac:dyDescent="0.2">
      <c r="B1037" s="46"/>
      <c r="E1037" s="71"/>
      <c r="F1037" s="71" t="str">
        <f ca="1">IFERROR(__xludf.DUMMYFUNCTION("unique(filter($C$5:$C1123,$B$5:$B1123=E1037))"),"")</f>
        <v/>
      </c>
      <c r="G1037" s="203" t="str">
        <f ca="1">IFERROR(__xludf.DUMMYFUNCTION("unique(filter($D$5:$D1123,$B$5:$B1123=E1037))"),"")</f>
        <v/>
      </c>
      <c r="K1037" s="48"/>
      <c r="M1037" s="205" t="s">
        <v>3347</v>
      </c>
    </row>
    <row r="1038" spans="2:13" ht="15.75" customHeight="1" x14ac:dyDescent="0.2">
      <c r="B1038" s="46"/>
      <c r="E1038" s="71"/>
      <c r="F1038" s="71" t="str">
        <f ca="1">IFERROR(__xludf.DUMMYFUNCTION("unique(filter($C$5:$C1123,$B$5:$B1123=E1038))"),"")</f>
        <v/>
      </c>
      <c r="G1038" s="203" t="str">
        <f ca="1">IFERROR(__xludf.DUMMYFUNCTION("unique(filter($D$5:$D1123,$B$5:$B1123=E1038))"),"")</f>
        <v/>
      </c>
      <c r="K1038" s="48"/>
      <c r="M1038" s="205" t="s">
        <v>3348</v>
      </c>
    </row>
    <row r="1039" spans="2:13" ht="15.75" customHeight="1" x14ac:dyDescent="0.2">
      <c r="B1039" s="46"/>
      <c r="E1039" s="71"/>
      <c r="F1039" s="71" t="str">
        <f ca="1">IFERROR(__xludf.DUMMYFUNCTION("unique(filter($C$5:$C1123,$B$5:$B1123=E1039))"),"")</f>
        <v/>
      </c>
      <c r="G1039" s="203" t="str">
        <f ca="1">IFERROR(__xludf.DUMMYFUNCTION("unique(filter($D$5:$D1123,$B$5:$B1123=E1039))"),"")</f>
        <v/>
      </c>
      <c r="K1039" s="48"/>
      <c r="M1039" s="205" t="s">
        <v>3349</v>
      </c>
    </row>
    <row r="1040" spans="2:13" ht="15.75" customHeight="1" x14ac:dyDescent="0.2">
      <c r="B1040" s="46"/>
      <c r="E1040" s="71"/>
      <c r="F1040" s="71" t="str">
        <f ca="1">IFERROR(__xludf.DUMMYFUNCTION("unique(filter($C$5:$C1123,$B$5:$B1123=E1040))"),"")</f>
        <v/>
      </c>
      <c r="G1040" s="203" t="str">
        <f ca="1">IFERROR(__xludf.DUMMYFUNCTION("unique(filter($D$5:$D1123,$B$5:$B1123=E1040))"),"")</f>
        <v/>
      </c>
      <c r="K1040" s="48"/>
      <c r="M1040" s="205" t="s">
        <v>3350</v>
      </c>
    </row>
    <row r="1041" spans="2:13" ht="15.75" customHeight="1" x14ac:dyDescent="0.2">
      <c r="B1041" s="46"/>
      <c r="E1041" s="71"/>
      <c r="F1041" s="71" t="str">
        <f ca="1">IFERROR(__xludf.DUMMYFUNCTION("unique(filter($C$5:$C1123,$B$5:$B1123=E1041))"),"")</f>
        <v/>
      </c>
      <c r="G1041" s="203" t="str">
        <f ca="1">IFERROR(__xludf.DUMMYFUNCTION("unique(filter($D$5:$D1123,$B$5:$B1123=E1041))"),"")</f>
        <v/>
      </c>
      <c r="K1041" s="48"/>
      <c r="M1041" s="205" t="s">
        <v>3351</v>
      </c>
    </row>
    <row r="1042" spans="2:13" ht="15.75" customHeight="1" x14ac:dyDescent="0.2">
      <c r="B1042" s="46"/>
      <c r="E1042" s="71"/>
      <c r="F1042" s="71" t="str">
        <f ca="1">IFERROR(__xludf.DUMMYFUNCTION("unique(filter($C$5:$C1123,$B$5:$B1123=E1042))"),"")</f>
        <v/>
      </c>
      <c r="G1042" s="203" t="str">
        <f ca="1">IFERROR(__xludf.DUMMYFUNCTION("unique(filter($D$5:$D1123,$B$5:$B1123=E1042))"),"")</f>
        <v/>
      </c>
      <c r="K1042" s="48"/>
      <c r="M1042" s="205" t="s">
        <v>3352</v>
      </c>
    </row>
    <row r="1043" spans="2:13" ht="15.75" customHeight="1" x14ac:dyDescent="0.2">
      <c r="B1043" s="46"/>
      <c r="E1043" s="71"/>
      <c r="F1043" s="71" t="str">
        <f ca="1">IFERROR(__xludf.DUMMYFUNCTION("unique(filter($C$5:$C1123,$B$5:$B1123=E1043))"),"")</f>
        <v/>
      </c>
      <c r="G1043" s="203" t="str">
        <f ca="1">IFERROR(__xludf.DUMMYFUNCTION("unique(filter($D$5:$D1123,$B$5:$B1123=E1043))"),"")</f>
        <v/>
      </c>
      <c r="K1043" s="48"/>
      <c r="M1043" s="205" t="s">
        <v>3353</v>
      </c>
    </row>
    <row r="1044" spans="2:13" ht="15.75" customHeight="1" x14ac:dyDescent="0.2">
      <c r="B1044" s="46"/>
      <c r="E1044" s="71"/>
      <c r="F1044" s="71" t="str">
        <f ca="1">IFERROR(__xludf.DUMMYFUNCTION("unique(filter($C$5:$C1123,$B$5:$B1123=E1044))"),"")</f>
        <v/>
      </c>
      <c r="G1044" s="203" t="str">
        <f ca="1">IFERROR(__xludf.DUMMYFUNCTION("unique(filter($D$5:$D1123,$B$5:$B1123=E1044))"),"")</f>
        <v/>
      </c>
      <c r="K1044" s="48"/>
      <c r="M1044" s="205" t="s">
        <v>3354</v>
      </c>
    </row>
    <row r="1045" spans="2:13" ht="15.75" customHeight="1" x14ac:dyDescent="0.2">
      <c r="B1045" s="46"/>
      <c r="E1045" s="71"/>
      <c r="F1045" s="71" t="str">
        <f ca="1">IFERROR(__xludf.DUMMYFUNCTION("unique(filter($C$5:$C1123,$B$5:$B1123=E1045))"),"")</f>
        <v/>
      </c>
      <c r="G1045" s="203" t="str">
        <f ca="1">IFERROR(__xludf.DUMMYFUNCTION("unique(filter($D$5:$D1123,$B$5:$B1123=E1045))"),"")</f>
        <v/>
      </c>
      <c r="K1045" s="48"/>
      <c r="M1045" s="205" t="s">
        <v>3355</v>
      </c>
    </row>
    <row r="1046" spans="2:13" ht="15.75" customHeight="1" x14ac:dyDescent="0.2">
      <c r="B1046" s="46"/>
      <c r="E1046" s="71"/>
      <c r="F1046" s="71" t="str">
        <f ca="1">IFERROR(__xludf.DUMMYFUNCTION("unique(filter($C$5:$C1123,$B$5:$B1123=E1046))"),"")</f>
        <v/>
      </c>
      <c r="G1046" s="203" t="str">
        <f ca="1">IFERROR(__xludf.DUMMYFUNCTION("unique(filter($D$5:$D1123,$B$5:$B1123=E1046))"),"")</f>
        <v/>
      </c>
      <c r="K1046" s="48"/>
      <c r="M1046" s="205" t="s">
        <v>3356</v>
      </c>
    </row>
    <row r="1047" spans="2:13" ht="15.75" customHeight="1" x14ac:dyDescent="0.2">
      <c r="B1047" s="46"/>
      <c r="E1047" s="71"/>
      <c r="F1047" s="71" t="str">
        <f ca="1">IFERROR(__xludf.DUMMYFUNCTION("unique(filter($C$5:$C1123,$B$5:$B1123=E1047))"),"")</f>
        <v/>
      </c>
      <c r="G1047" s="203" t="str">
        <f ca="1">IFERROR(__xludf.DUMMYFUNCTION("unique(filter($D$5:$D1123,$B$5:$B1123=E1047))"),"")</f>
        <v/>
      </c>
      <c r="K1047" s="48"/>
      <c r="M1047" s="205" t="s">
        <v>3357</v>
      </c>
    </row>
    <row r="1048" spans="2:13" ht="15.75" customHeight="1" x14ac:dyDescent="0.2">
      <c r="B1048" s="46"/>
      <c r="E1048" s="71"/>
      <c r="F1048" s="71" t="str">
        <f ca="1">IFERROR(__xludf.DUMMYFUNCTION("unique(filter($C$5:$C1123,$B$5:$B1123=E1048))"),"")</f>
        <v/>
      </c>
      <c r="G1048" s="203" t="str">
        <f ca="1">IFERROR(__xludf.DUMMYFUNCTION("unique(filter($D$5:$D1123,$B$5:$B1123=E1048))"),"")</f>
        <v/>
      </c>
      <c r="K1048" s="48"/>
      <c r="M1048" s="205" t="s">
        <v>3358</v>
      </c>
    </row>
    <row r="1049" spans="2:13" ht="15.75" customHeight="1" x14ac:dyDescent="0.2">
      <c r="B1049" s="46"/>
      <c r="E1049" s="71"/>
      <c r="F1049" s="71" t="str">
        <f ca="1">IFERROR(__xludf.DUMMYFUNCTION("unique(filter($C$5:$C1123,$B$5:$B1123=E1049))"),"")</f>
        <v/>
      </c>
      <c r="G1049" s="203" t="str">
        <f ca="1">IFERROR(__xludf.DUMMYFUNCTION("unique(filter($D$5:$D1123,$B$5:$B1123=E1049))"),"")</f>
        <v/>
      </c>
      <c r="K1049" s="48"/>
      <c r="M1049" s="205" t="s">
        <v>3359</v>
      </c>
    </row>
    <row r="1050" spans="2:13" ht="15.75" customHeight="1" x14ac:dyDescent="0.2">
      <c r="B1050" s="46"/>
      <c r="E1050" s="71"/>
      <c r="F1050" s="71" t="str">
        <f ca="1">IFERROR(__xludf.DUMMYFUNCTION("unique(filter($C$5:$C1123,$B$5:$B1123=E1050))"),"")</f>
        <v/>
      </c>
      <c r="G1050" s="203" t="str">
        <f ca="1">IFERROR(__xludf.DUMMYFUNCTION("unique(filter($D$5:$D1123,$B$5:$B1123=E1050))"),"")</f>
        <v/>
      </c>
      <c r="K1050" s="48"/>
      <c r="M1050" s="205" t="s">
        <v>3360</v>
      </c>
    </row>
    <row r="1051" spans="2:13" ht="15.75" customHeight="1" x14ac:dyDescent="0.2">
      <c r="B1051" s="46"/>
      <c r="E1051" s="71"/>
      <c r="F1051" s="71" t="str">
        <f ca="1">IFERROR(__xludf.DUMMYFUNCTION("unique(filter($C$5:$C1123,$B$5:$B1123=E1051))"),"")</f>
        <v/>
      </c>
      <c r="G1051" s="203" t="str">
        <f ca="1">IFERROR(__xludf.DUMMYFUNCTION("unique(filter($D$5:$D1123,$B$5:$B1123=E1051))"),"")</f>
        <v/>
      </c>
      <c r="K1051" s="48"/>
      <c r="M1051" s="205" t="s">
        <v>3361</v>
      </c>
    </row>
    <row r="1052" spans="2:13" ht="15.75" customHeight="1" x14ac:dyDescent="0.2">
      <c r="B1052" s="46"/>
      <c r="E1052" s="71"/>
      <c r="F1052" s="71" t="str">
        <f ca="1">IFERROR(__xludf.DUMMYFUNCTION("unique(filter($C$5:$C1123,$B$5:$B1123=E1052))"),"")</f>
        <v/>
      </c>
      <c r="G1052" s="203" t="str">
        <f ca="1">IFERROR(__xludf.DUMMYFUNCTION("unique(filter($D$5:$D1123,$B$5:$B1123=E1052))"),"")</f>
        <v/>
      </c>
      <c r="K1052" s="48"/>
      <c r="M1052" s="205" t="s">
        <v>3362</v>
      </c>
    </row>
    <row r="1053" spans="2:13" ht="15.75" customHeight="1" x14ac:dyDescent="0.2">
      <c r="B1053" s="46"/>
      <c r="E1053" s="71"/>
      <c r="F1053" s="71" t="str">
        <f ca="1">IFERROR(__xludf.DUMMYFUNCTION("unique(filter($C$5:$C1123,$B$5:$B1123=E1053))"),"")</f>
        <v/>
      </c>
      <c r="G1053" s="203" t="str">
        <f ca="1">IFERROR(__xludf.DUMMYFUNCTION("unique(filter($D$5:$D1123,$B$5:$B1123=E1053))"),"")</f>
        <v/>
      </c>
      <c r="K1053" s="48"/>
      <c r="M1053" s="205" t="s">
        <v>3363</v>
      </c>
    </row>
    <row r="1054" spans="2:13" ht="15.75" customHeight="1" x14ac:dyDescent="0.2">
      <c r="B1054" s="46"/>
      <c r="E1054" s="71"/>
      <c r="F1054" s="71" t="str">
        <f ca="1">IFERROR(__xludf.DUMMYFUNCTION("unique(filter($C$5:$C1123,$B$5:$B1123=E1054))"),"")</f>
        <v/>
      </c>
      <c r="G1054" s="203" t="str">
        <f ca="1">IFERROR(__xludf.DUMMYFUNCTION("unique(filter($D$5:$D1123,$B$5:$B1123=E1054))"),"")</f>
        <v/>
      </c>
      <c r="K1054" s="48"/>
      <c r="M1054" s="205" t="s">
        <v>3364</v>
      </c>
    </row>
    <row r="1055" spans="2:13" ht="15.75" customHeight="1" x14ac:dyDescent="0.2">
      <c r="B1055" s="46"/>
      <c r="E1055" s="71"/>
      <c r="F1055" s="71" t="str">
        <f ca="1">IFERROR(__xludf.DUMMYFUNCTION("unique(filter($C$5:$C1123,$B$5:$B1123=E1055))"),"")</f>
        <v/>
      </c>
      <c r="G1055" s="203" t="str">
        <f ca="1">IFERROR(__xludf.DUMMYFUNCTION("unique(filter($D$5:$D1123,$B$5:$B1123=E1055))"),"")</f>
        <v/>
      </c>
      <c r="K1055" s="48"/>
      <c r="M1055" s="205" t="s">
        <v>3365</v>
      </c>
    </row>
    <row r="1056" spans="2:13" ht="15.75" customHeight="1" x14ac:dyDescent="0.2">
      <c r="B1056" s="46"/>
      <c r="E1056" s="71"/>
      <c r="F1056" s="71" t="str">
        <f ca="1">IFERROR(__xludf.DUMMYFUNCTION("unique(filter($C$5:$C1123,$B$5:$B1123=E1056))"),"")</f>
        <v/>
      </c>
      <c r="G1056" s="203" t="str">
        <f ca="1">IFERROR(__xludf.DUMMYFUNCTION("unique(filter($D$5:$D1123,$B$5:$B1123=E1056))"),"")</f>
        <v/>
      </c>
      <c r="K1056" s="48"/>
      <c r="M1056" s="205" t="s">
        <v>3366</v>
      </c>
    </row>
    <row r="1057" spans="2:13" ht="15.75" customHeight="1" x14ac:dyDescent="0.2">
      <c r="B1057" s="46"/>
      <c r="E1057" s="71"/>
      <c r="F1057" s="71" t="str">
        <f ca="1">IFERROR(__xludf.DUMMYFUNCTION("unique(filter($C$5:$C1123,$B$5:$B1123=E1057))"),"")</f>
        <v/>
      </c>
      <c r="G1057" s="203" t="str">
        <f ca="1">IFERROR(__xludf.DUMMYFUNCTION("unique(filter($D$5:$D1123,$B$5:$B1123=E1057))"),"")</f>
        <v/>
      </c>
      <c r="K1057" s="48"/>
      <c r="M1057" s="205" t="s">
        <v>3367</v>
      </c>
    </row>
    <row r="1058" spans="2:13" ht="15.75" customHeight="1" x14ac:dyDescent="0.2">
      <c r="B1058" s="46"/>
      <c r="E1058" s="71"/>
      <c r="F1058" s="71" t="str">
        <f ca="1">IFERROR(__xludf.DUMMYFUNCTION("unique(filter($C$5:$C1123,$B$5:$B1123=E1058))"),"")</f>
        <v/>
      </c>
      <c r="G1058" s="203" t="str">
        <f ca="1">IFERROR(__xludf.DUMMYFUNCTION("unique(filter($D$5:$D1123,$B$5:$B1123=E1058))"),"")</f>
        <v/>
      </c>
      <c r="K1058" s="48"/>
      <c r="M1058" s="205" t="s">
        <v>3368</v>
      </c>
    </row>
    <row r="1059" spans="2:13" ht="15.75" customHeight="1" x14ac:dyDescent="0.2">
      <c r="B1059" s="46"/>
      <c r="E1059" s="71"/>
      <c r="F1059" s="71" t="str">
        <f ca="1">IFERROR(__xludf.DUMMYFUNCTION("unique(filter($C$5:$C1123,$B$5:$B1123=E1059))"),"")</f>
        <v/>
      </c>
      <c r="G1059" s="203" t="str">
        <f ca="1">IFERROR(__xludf.DUMMYFUNCTION("unique(filter($D$5:$D1123,$B$5:$B1123=E1059))"),"")</f>
        <v/>
      </c>
      <c r="K1059" s="48"/>
      <c r="M1059" s="205" t="s">
        <v>3369</v>
      </c>
    </row>
    <row r="1060" spans="2:13" ht="15.75" customHeight="1" x14ac:dyDescent="0.2">
      <c r="B1060" s="46"/>
      <c r="E1060" s="71"/>
      <c r="F1060" s="71" t="str">
        <f ca="1">IFERROR(__xludf.DUMMYFUNCTION("unique(filter($C$5:$C1123,$B$5:$B1123=E1060))"),"")</f>
        <v/>
      </c>
      <c r="G1060" s="203" t="str">
        <f ca="1">IFERROR(__xludf.DUMMYFUNCTION("unique(filter($D$5:$D1123,$B$5:$B1123=E1060))"),"")</f>
        <v/>
      </c>
      <c r="K1060" s="48"/>
      <c r="M1060" s="205" t="s">
        <v>3370</v>
      </c>
    </row>
    <row r="1061" spans="2:13" ht="15.75" customHeight="1" x14ac:dyDescent="0.2">
      <c r="B1061" s="46"/>
      <c r="E1061" s="71"/>
      <c r="F1061" s="71" t="str">
        <f ca="1">IFERROR(__xludf.DUMMYFUNCTION("unique(filter($C$5:$C1123,$B$5:$B1123=E1061))"),"")</f>
        <v/>
      </c>
      <c r="G1061" s="203" t="str">
        <f ca="1">IFERROR(__xludf.DUMMYFUNCTION("unique(filter($D$5:$D1123,$B$5:$B1123=E1061))"),"")</f>
        <v/>
      </c>
      <c r="K1061" s="48"/>
      <c r="M1061" s="205" t="s">
        <v>3371</v>
      </c>
    </row>
    <row r="1062" spans="2:13" ht="15.75" customHeight="1" x14ac:dyDescent="0.2">
      <c r="B1062" s="46"/>
      <c r="E1062" s="71"/>
      <c r="F1062" s="71" t="str">
        <f ca="1">IFERROR(__xludf.DUMMYFUNCTION("unique(filter($C$5:$C1123,$B$5:$B1123=E1062))"),"")</f>
        <v/>
      </c>
      <c r="G1062" s="203" t="str">
        <f ca="1">IFERROR(__xludf.DUMMYFUNCTION("unique(filter($D$5:$D1123,$B$5:$B1123=E1062))"),"")</f>
        <v/>
      </c>
      <c r="K1062" s="48"/>
      <c r="M1062" s="205" t="s">
        <v>3372</v>
      </c>
    </row>
    <row r="1063" spans="2:13" ht="15.75" customHeight="1" x14ac:dyDescent="0.2">
      <c r="B1063" s="46"/>
      <c r="E1063" s="71"/>
      <c r="F1063" s="71" t="str">
        <f ca="1">IFERROR(__xludf.DUMMYFUNCTION("unique(filter($C$5:$C1123,$B$5:$B1123=E1063))"),"")</f>
        <v/>
      </c>
      <c r="G1063" s="203" t="str">
        <f ca="1">IFERROR(__xludf.DUMMYFUNCTION("unique(filter($D$5:$D1123,$B$5:$B1123=E1063))"),"")</f>
        <v/>
      </c>
      <c r="K1063" s="48"/>
      <c r="M1063" s="205" t="s">
        <v>3373</v>
      </c>
    </row>
    <row r="1064" spans="2:13" ht="15.75" customHeight="1" x14ac:dyDescent="0.2">
      <c r="B1064" s="46"/>
      <c r="E1064" s="71"/>
      <c r="F1064" s="71" t="str">
        <f ca="1">IFERROR(__xludf.DUMMYFUNCTION("unique(filter($C$5:$C1123,$B$5:$B1123=E1064))"),"")</f>
        <v/>
      </c>
      <c r="G1064" s="203" t="str">
        <f ca="1">IFERROR(__xludf.DUMMYFUNCTION("unique(filter($D$5:$D1123,$B$5:$B1123=E1064))"),"")</f>
        <v/>
      </c>
      <c r="K1064" s="48"/>
      <c r="M1064" s="205" t="s">
        <v>3374</v>
      </c>
    </row>
    <row r="1065" spans="2:13" ht="15.75" customHeight="1" x14ac:dyDescent="0.2">
      <c r="B1065" s="46"/>
      <c r="E1065" s="71"/>
      <c r="F1065" s="71" t="str">
        <f ca="1">IFERROR(__xludf.DUMMYFUNCTION("unique(filter($C$5:$C1123,$B$5:$B1123=E1065))"),"")</f>
        <v/>
      </c>
      <c r="G1065" s="203" t="str">
        <f ca="1">IFERROR(__xludf.DUMMYFUNCTION("unique(filter($D$5:$D1123,$B$5:$B1123=E1065))"),"")</f>
        <v/>
      </c>
      <c r="K1065" s="48"/>
      <c r="M1065" s="205" t="s">
        <v>3375</v>
      </c>
    </row>
    <row r="1066" spans="2:13" ht="15.75" customHeight="1" x14ac:dyDescent="0.2">
      <c r="B1066" s="46"/>
      <c r="E1066" s="71"/>
      <c r="F1066" s="71" t="str">
        <f ca="1">IFERROR(__xludf.DUMMYFUNCTION("unique(filter($C$5:$C1123,$B$5:$B1123=E1066))"),"")</f>
        <v/>
      </c>
      <c r="G1066" s="203" t="str">
        <f ca="1">IFERROR(__xludf.DUMMYFUNCTION("unique(filter($D$5:$D1123,$B$5:$B1123=E1066))"),"")</f>
        <v/>
      </c>
      <c r="K1066" s="48"/>
      <c r="M1066" s="205" t="s">
        <v>3376</v>
      </c>
    </row>
    <row r="1067" spans="2:13" ht="15.75" customHeight="1" x14ac:dyDescent="0.2">
      <c r="B1067" s="46"/>
      <c r="E1067" s="71"/>
      <c r="F1067" s="71" t="str">
        <f ca="1">IFERROR(__xludf.DUMMYFUNCTION("unique(filter($C$5:$C1123,$B$5:$B1123=E1067))"),"")</f>
        <v/>
      </c>
      <c r="G1067" s="203" t="str">
        <f ca="1">IFERROR(__xludf.DUMMYFUNCTION("unique(filter($D$5:$D1123,$B$5:$B1123=E1067))"),"")</f>
        <v/>
      </c>
      <c r="K1067" s="48"/>
      <c r="M1067" s="205" t="s">
        <v>3377</v>
      </c>
    </row>
    <row r="1068" spans="2:13" ht="15.75" customHeight="1" x14ac:dyDescent="0.2">
      <c r="B1068" s="46"/>
      <c r="E1068" s="71"/>
      <c r="F1068" s="71" t="str">
        <f ca="1">IFERROR(__xludf.DUMMYFUNCTION("unique(filter($C$5:$C1123,$B$5:$B1123=E1068))"),"")</f>
        <v/>
      </c>
      <c r="G1068" s="203" t="str">
        <f ca="1">IFERROR(__xludf.DUMMYFUNCTION("unique(filter($D$5:$D1123,$B$5:$B1123=E1068))"),"")</f>
        <v/>
      </c>
      <c r="K1068" s="48"/>
      <c r="M1068" s="205" t="s">
        <v>3378</v>
      </c>
    </row>
    <row r="1069" spans="2:13" ht="15.75" customHeight="1" x14ac:dyDescent="0.2">
      <c r="B1069" s="46"/>
      <c r="E1069" s="71"/>
      <c r="F1069" s="71" t="str">
        <f ca="1">IFERROR(__xludf.DUMMYFUNCTION("unique(filter($C$5:$C1123,$B$5:$B1123=E1069))"),"")</f>
        <v/>
      </c>
      <c r="G1069" s="203" t="str">
        <f ca="1">IFERROR(__xludf.DUMMYFUNCTION("unique(filter($D$5:$D1123,$B$5:$B1123=E1069))"),"")</f>
        <v/>
      </c>
      <c r="K1069" s="48"/>
      <c r="M1069" s="205" t="s">
        <v>3379</v>
      </c>
    </row>
    <row r="1070" spans="2:13" ht="15.75" customHeight="1" x14ac:dyDescent="0.2">
      <c r="B1070" s="46"/>
      <c r="E1070" s="71"/>
      <c r="F1070" s="71" t="str">
        <f ca="1">IFERROR(__xludf.DUMMYFUNCTION("unique(filter($C$5:$C1123,$B$5:$B1123=E1070))"),"")</f>
        <v/>
      </c>
      <c r="G1070" s="203" t="str">
        <f ca="1">IFERROR(__xludf.DUMMYFUNCTION("unique(filter($D$5:$D1123,$B$5:$B1123=E1070))"),"")</f>
        <v/>
      </c>
      <c r="K1070" s="48"/>
      <c r="M1070" s="205" t="s">
        <v>3380</v>
      </c>
    </row>
    <row r="1071" spans="2:13" ht="15.75" customHeight="1" x14ac:dyDescent="0.2">
      <c r="B1071" s="46"/>
      <c r="E1071" s="71"/>
      <c r="F1071" s="71" t="str">
        <f ca="1">IFERROR(__xludf.DUMMYFUNCTION("unique(filter($C$5:$C1123,$B$5:$B1123=E1071))"),"")</f>
        <v/>
      </c>
      <c r="G1071" s="203" t="str">
        <f ca="1">IFERROR(__xludf.DUMMYFUNCTION("unique(filter($D$5:$D1123,$B$5:$B1123=E1071))"),"")</f>
        <v/>
      </c>
      <c r="K1071" s="48"/>
      <c r="M1071" s="205" t="s">
        <v>3381</v>
      </c>
    </row>
    <row r="1072" spans="2:13" ht="15.75" customHeight="1" x14ac:dyDescent="0.2">
      <c r="B1072" s="46"/>
      <c r="E1072" s="71"/>
      <c r="F1072" s="71" t="str">
        <f ca="1">IFERROR(__xludf.DUMMYFUNCTION("unique(filter($C$5:$C1123,$B$5:$B1123=E1072))"),"")</f>
        <v/>
      </c>
      <c r="G1072" s="203" t="str">
        <f ca="1">IFERROR(__xludf.DUMMYFUNCTION("unique(filter($D$5:$D1123,$B$5:$B1123=E1072))"),"")</f>
        <v/>
      </c>
      <c r="K1072" s="48"/>
      <c r="M1072" s="205" t="s">
        <v>3382</v>
      </c>
    </row>
    <row r="1073" spans="2:13" ht="15.75" customHeight="1" x14ac:dyDescent="0.2">
      <c r="B1073" s="46"/>
      <c r="E1073" s="71"/>
      <c r="F1073" s="71" t="str">
        <f ca="1">IFERROR(__xludf.DUMMYFUNCTION("unique(filter($C$5:$C1123,$B$5:$B1123=E1073))"),"")</f>
        <v/>
      </c>
      <c r="G1073" s="203" t="str">
        <f ca="1">IFERROR(__xludf.DUMMYFUNCTION("unique(filter($D$5:$D1123,$B$5:$B1123=E1073))"),"")</f>
        <v/>
      </c>
      <c r="K1073" s="48"/>
      <c r="M1073" s="205" t="s">
        <v>3383</v>
      </c>
    </row>
    <row r="1074" spans="2:13" ht="15.75" customHeight="1" x14ac:dyDescent="0.2">
      <c r="B1074" s="46"/>
      <c r="E1074" s="71"/>
      <c r="F1074" s="71" t="str">
        <f ca="1">IFERROR(__xludf.DUMMYFUNCTION("unique(filter($C$5:$C1123,$B$5:$B1123=E1074))"),"")</f>
        <v/>
      </c>
      <c r="G1074" s="203" t="str">
        <f ca="1">IFERROR(__xludf.DUMMYFUNCTION("unique(filter($D$5:$D1123,$B$5:$B1123=E1074))"),"")</f>
        <v/>
      </c>
      <c r="K1074" s="48"/>
      <c r="M1074" s="205" t="s">
        <v>3384</v>
      </c>
    </row>
    <row r="1075" spans="2:13" ht="15.75" customHeight="1" x14ac:dyDescent="0.2">
      <c r="B1075" s="46"/>
      <c r="E1075" s="71"/>
      <c r="F1075" s="71" t="str">
        <f ca="1">IFERROR(__xludf.DUMMYFUNCTION("unique(filter($C$5:$C1123,$B$5:$B1123=E1075))"),"")</f>
        <v/>
      </c>
      <c r="G1075" s="203" t="str">
        <f ca="1">IFERROR(__xludf.DUMMYFUNCTION("unique(filter($D$5:$D1123,$B$5:$B1123=E1075))"),"")</f>
        <v/>
      </c>
      <c r="K1075" s="48"/>
      <c r="M1075" s="205" t="s">
        <v>3385</v>
      </c>
    </row>
    <row r="1076" spans="2:13" ht="15.75" customHeight="1" x14ac:dyDescent="0.2">
      <c r="B1076" s="46"/>
      <c r="E1076" s="71"/>
      <c r="F1076" s="71" t="str">
        <f ca="1">IFERROR(__xludf.DUMMYFUNCTION("unique(filter($C$5:$C1123,$B$5:$B1123=E1076))"),"")</f>
        <v/>
      </c>
      <c r="G1076" s="203" t="str">
        <f ca="1">IFERROR(__xludf.DUMMYFUNCTION("unique(filter($D$5:$D1123,$B$5:$B1123=E1076))"),"")</f>
        <v/>
      </c>
      <c r="K1076" s="48"/>
      <c r="M1076" s="205" t="s">
        <v>3386</v>
      </c>
    </row>
    <row r="1077" spans="2:13" ht="15.75" customHeight="1" x14ac:dyDescent="0.2">
      <c r="B1077" s="46"/>
      <c r="E1077" s="71"/>
      <c r="F1077" s="71" t="str">
        <f ca="1">IFERROR(__xludf.DUMMYFUNCTION("unique(filter($C$5:$C1123,$B$5:$B1123=E1077))"),"")</f>
        <v/>
      </c>
      <c r="G1077" s="203" t="str">
        <f ca="1">IFERROR(__xludf.DUMMYFUNCTION("unique(filter($D$5:$D1123,$B$5:$B1123=E1077))"),"")</f>
        <v/>
      </c>
      <c r="K1077" s="48"/>
      <c r="M1077" s="205" t="s">
        <v>3387</v>
      </c>
    </row>
    <row r="1078" spans="2:13" ht="15.75" customHeight="1" x14ac:dyDescent="0.2">
      <c r="B1078" s="46"/>
      <c r="E1078" s="71"/>
      <c r="F1078" s="71" t="str">
        <f ca="1">IFERROR(__xludf.DUMMYFUNCTION("unique(filter($C$5:$C1123,$B$5:$B1123=E1078))"),"")</f>
        <v/>
      </c>
      <c r="G1078" s="203" t="str">
        <f ca="1">IFERROR(__xludf.DUMMYFUNCTION("unique(filter($D$5:$D1123,$B$5:$B1123=E1078))"),"")</f>
        <v/>
      </c>
      <c r="K1078" s="48"/>
      <c r="M1078" s="205" t="s">
        <v>3388</v>
      </c>
    </row>
    <row r="1079" spans="2:13" ht="15.75" customHeight="1" x14ac:dyDescent="0.2">
      <c r="B1079" s="46"/>
      <c r="E1079" s="71"/>
      <c r="F1079" s="71" t="str">
        <f ca="1">IFERROR(__xludf.DUMMYFUNCTION("unique(filter($C$5:$C1123,$B$5:$B1123=E1079))"),"")</f>
        <v/>
      </c>
      <c r="G1079" s="203" t="str">
        <f ca="1">IFERROR(__xludf.DUMMYFUNCTION("unique(filter($D$5:$D1123,$B$5:$B1123=E1079))"),"")</f>
        <v/>
      </c>
      <c r="K1079" s="48"/>
      <c r="M1079" s="205" t="s">
        <v>3389</v>
      </c>
    </row>
    <row r="1080" spans="2:13" ht="15.75" customHeight="1" x14ac:dyDescent="0.2">
      <c r="B1080" s="46"/>
      <c r="E1080" s="71"/>
      <c r="F1080" s="71" t="str">
        <f ca="1">IFERROR(__xludf.DUMMYFUNCTION("unique(filter($C$5:$C1123,$B$5:$B1123=E1080))"),"")</f>
        <v/>
      </c>
      <c r="G1080" s="203" t="str">
        <f ca="1">IFERROR(__xludf.DUMMYFUNCTION("unique(filter($D$5:$D1123,$B$5:$B1123=E1080))"),"")</f>
        <v/>
      </c>
      <c r="K1080" s="48"/>
      <c r="M1080" s="205" t="s">
        <v>3390</v>
      </c>
    </row>
    <row r="1081" spans="2:13" ht="15.75" customHeight="1" x14ac:dyDescent="0.2">
      <c r="B1081" s="46"/>
      <c r="E1081" s="71"/>
      <c r="F1081" s="71" t="str">
        <f ca="1">IFERROR(__xludf.DUMMYFUNCTION("unique(filter($C$5:$C1123,$B$5:$B1123=E1081))"),"")</f>
        <v/>
      </c>
      <c r="G1081" s="203" t="str">
        <f ca="1">IFERROR(__xludf.DUMMYFUNCTION("unique(filter($D$5:$D1123,$B$5:$B1123=E1081))"),"")</f>
        <v/>
      </c>
      <c r="K1081" s="48"/>
      <c r="M1081" s="205" t="s">
        <v>3391</v>
      </c>
    </row>
    <row r="1082" spans="2:13" ht="15.75" customHeight="1" x14ac:dyDescent="0.2">
      <c r="B1082" s="46"/>
      <c r="E1082" s="71"/>
      <c r="F1082" s="71" t="str">
        <f ca="1">IFERROR(__xludf.DUMMYFUNCTION("unique(filter($C$5:$C1123,$B$5:$B1123=E1082))"),"")</f>
        <v/>
      </c>
      <c r="G1082" s="203" t="str">
        <f ca="1">IFERROR(__xludf.DUMMYFUNCTION("unique(filter($D$5:$D1123,$B$5:$B1123=E1082))"),"")</f>
        <v/>
      </c>
      <c r="K1082" s="48"/>
      <c r="M1082" s="205" t="s">
        <v>3392</v>
      </c>
    </row>
    <row r="1083" spans="2:13" ht="15.75" customHeight="1" x14ac:dyDescent="0.2">
      <c r="B1083" s="46"/>
      <c r="E1083" s="71"/>
      <c r="F1083" s="71" t="str">
        <f ca="1">IFERROR(__xludf.DUMMYFUNCTION("unique(filter($C$5:$C1123,$B$5:$B1123=E1083))"),"")</f>
        <v/>
      </c>
      <c r="G1083" s="203" t="str">
        <f ca="1">IFERROR(__xludf.DUMMYFUNCTION("unique(filter($D$5:$D1123,$B$5:$B1123=E1083))"),"")</f>
        <v/>
      </c>
      <c r="K1083" s="48"/>
      <c r="M1083" s="205" t="s">
        <v>3393</v>
      </c>
    </row>
    <row r="1084" spans="2:13" ht="15.75" customHeight="1" x14ac:dyDescent="0.2">
      <c r="B1084" s="46"/>
      <c r="E1084" s="71"/>
      <c r="F1084" s="71" t="str">
        <f ca="1">IFERROR(__xludf.DUMMYFUNCTION("unique(filter($C$5:$C1123,$B$5:$B1123=E1084))"),"")</f>
        <v/>
      </c>
      <c r="G1084" s="203" t="str">
        <f ca="1">IFERROR(__xludf.DUMMYFUNCTION("unique(filter($D$5:$D1123,$B$5:$B1123=E1084))"),"")</f>
        <v/>
      </c>
      <c r="K1084" s="48"/>
      <c r="M1084" s="205" t="s">
        <v>3394</v>
      </c>
    </row>
    <row r="1085" spans="2:13" ht="15.75" customHeight="1" x14ac:dyDescent="0.2">
      <c r="B1085" s="46"/>
      <c r="E1085" s="71"/>
      <c r="F1085" s="71" t="str">
        <f ca="1">IFERROR(__xludf.DUMMYFUNCTION("unique(filter($C$5:$C1123,$B$5:$B1123=E1085))"),"")</f>
        <v/>
      </c>
      <c r="G1085" s="203" t="str">
        <f ca="1">IFERROR(__xludf.DUMMYFUNCTION("unique(filter($D$5:$D1123,$B$5:$B1123=E1085))"),"")</f>
        <v/>
      </c>
      <c r="K1085" s="48"/>
      <c r="M1085" s="205" t="s">
        <v>3395</v>
      </c>
    </row>
    <row r="1086" spans="2:13" ht="15.75" customHeight="1" x14ac:dyDescent="0.2">
      <c r="B1086" s="46"/>
      <c r="E1086" s="71"/>
      <c r="F1086" s="71" t="str">
        <f ca="1">IFERROR(__xludf.DUMMYFUNCTION("unique(filter($C$5:$C1123,$B$5:$B1123=E1086))"),"")</f>
        <v/>
      </c>
      <c r="G1086" s="203" t="str">
        <f ca="1">IFERROR(__xludf.DUMMYFUNCTION("unique(filter($D$5:$D1123,$B$5:$B1123=E1086))"),"")</f>
        <v/>
      </c>
      <c r="K1086" s="48"/>
      <c r="M1086" s="205" t="s">
        <v>3396</v>
      </c>
    </row>
    <row r="1087" spans="2:13" ht="15.75" customHeight="1" x14ac:dyDescent="0.2">
      <c r="B1087" s="46"/>
      <c r="E1087" s="71"/>
      <c r="F1087" s="71" t="str">
        <f ca="1">IFERROR(__xludf.DUMMYFUNCTION("unique(filter($C$5:$C1123,$B$5:$B1123=E1087))"),"")</f>
        <v/>
      </c>
      <c r="G1087" s="203" t="str">
        <f ca="1">IFERROR(__xludf.DUMMYFUNCTION("unique(filter($D$5:$D1123,$B$5:$B1123=E1087))"),"")</f>
        <v/>
      </c>
      <c r="K1087" s="48"/>
      <c r="M1087" s="205" t="s">
        <v>3397</v>
      </c>
    </row>
    <row r="1088" spans="2:13" ht="15.75" customHeight="1" x14ac:dyDescent="0.2">
      <c r="B1088" s="46"/>
      <c r="E1088" s="71"/>
      <c r="F1088" s="71" t="str">
        <f ca="1">IFERROR(__xludf.DUMMYFUNCTION("unique(filter($C$5:$C1123,$B$5:$B1123=E1088))"),"")</f>
        <v/>
      </c>
      <c r="G1088" s="203" t="str">
        <f ca="1">IFERROR(__xludf.DUMMYFUNCTION("unique(filter($D$5:$D1123,$B$5:$B1123=E1088))"),"")</f>
        <v/>
      </c>
      <c r="K1088" s="48"/>
      <c r="M1088" s="205" t="s">
        <v>3398</v>
      </c>
    </row>
    <row r="1089" spans="2:13" ht="15.75" customHeight="1" x14ac:dyDescent="0.2">
      <c r="B1089" s="46"/>
      <c r="E1089" s="71"/>
      <c r="F1089" s="71" t="str">
        <f ca="1">IFERROR(__xludf.DUMMYFUNCTION("unique(filter($C$5:$C1123,$B$5:$B1123=E1089))"),"")</f>
        <v/>
      </c>
      <c r="G1089" s="203" t="str">
        <f ca="1">IFERROR(__xludf.DUMMYFUNCTION("unique(filter($D$5:$D1123,$B$5:$B1123=E1089))"),"")</f>
        <v/>
      </c>
      <c r="K1089" s="48"/>
      <c r="M1089" s="205" t="s">
        <v>3399</v>
      </c>
    </row>
    <row r="1090" spans="2:13" ht="15.75" customHeight="1" x14ac:dyDescent="0.2">
      <c r="B1090" s="46"/>
      <c r="E1090" s="71"/>
      <c r="F1090" s="71" t="str">
        <f ca="1">IFERROR(__xludf.DUMMYFUNCTION("unique(filter($C$5:$C1123,$B$5:$B1123=E1090))"),"")</f>
        <v/>
      </c>
      <c r="G1090" s="203" t="str">
        <f ca="1">IFERROR(__xludf.DUMMYFUNCTION("unique(filter($D$5:$D1123,$B$5:$B1123=E1090))"),"")</f>
        <v/>
      </c>
      <c r="K1090" s="48"/>
      <c r="M1090" s="205" t="s">
        <v>3400</v>
      </c>
    </row>
    <row r="1091" spans="2:13" ht="15.75" customHeight="1" x14ac:dyDescent="0.2">
      <c r="B1091" s="46"/>
      <c r="E1091" s="71"/>
      <c r="F1091" s="71" t="str">
        <f ca="1">IFERROR(__xludf.DUMMYFUNCTION("unique(filter($C$5:$C1123,$B$5:$B1123=E1091))"),"")</f>
        <v/>
      </c>
      <c r="G1091" s="203" t="str">
        <f ca="1">IFERROR(__xludf.DUMMYFUNCTION("unique(filter($D$5:$D1123,$B$5:$B1123=E1091))"),"")</f>
        <v/>
      </c>
      <c r="K1091" s="48"/>
      <c r="M1091" s="205" t="s">
        <v>3401</v>
      </c>
    </row>
    <row r="1092" spans="2:13" ht="15.75" customHeight="1" x14ac:dyDescent="0.2">
      <c r="B1092" s="46"/>
      <c r="E1092" s="71"/>
      <c r="F1092" s="71" t="str">
        <f ca="1">IFERROR(__xludf.DUMMYFUNCTION("unique(filter($C$5:$C1123,$B$5:$B1123=E1092))"),"")</f>
        <v/>
      </c>
      <c r="G1092" s="203" t="str">
        <f ca="1">IFERROR(__xludf.DUMMYFUNCTION("unique(filter($D$5:$D1123,$B$5:$B1123=E1092))"),"")</f>
        <v/>
      </c>
      <c r="K1092" s="48"/>
      <c r="M1092" s="205" t="s">
        <v>3402</v>
      </c>
    </row>
    <row r="1093" spans="2:13" ht="15.75" customHeight="1" x14ac:dyDescent="0.2">
      <c r="B1093" s="46"/>
      <c r="E1093" s="71"/>
      <c r="F1093" s="71" t="str">
        <f ca="1">IFERROR(__xludf.DUMMYFUNCTION("unique(filter($C$5:$C1123,$B$5:$B1123=E1093))"),"")</f>
        <v/>
      </c>
      <c r="G1093" s="203" t="str">
        <f ca="1">IFERROR(__xludf.DUMMYFUNCTION("unique(filter($D$5:$D1123,$B$5:$B1123=E1093))"),"")</f>
        <v/>
      </c>
      <c r="K1093" s="48"/>
      <c r="M1093" s="205" t="s">
        <v>3403</v>
      </c>
    </row>
    <row r="1094" spans="2:13" ht="15.75" customHeight="1" x14ac:dyDescent="0.2">
      <c r="B1094" s="46"/>
      <c r="E1094" s="71"/>
      <c r="F1094" s="71" t="str">
        <f ca="1">IFERROR(__xludf.DUMMYFUNCTION("unique(filter($C$5:$C1123,$B$5:$B1123=E1094))"),"")</f>
        <v/>
      </c>
      <c r="G1094" s="203" t="str">
        <f ca="1">IFERROR(__xludf.DUMMYFUNCTION("unique(filter($D$5:$D1123,$B$5:$B1123=E1094))"),"")</f>
        <v/>
      </c>
      <c r="K1094" s="48"/>
      <c r="M1094" s="205" t="s">
        <v>3404</v>
      </c>
    </row>
    <row r="1095" spans="2:13" ht="15.75" customHeight="1" x14ac:dyDescent="0.2">
      <c r="B1095" s="46"/>
      <c r="E1095" s="71"/>
      <c r="F1095" s="71" t="str">
        <f ca="1">IFERROR(__xludf.DUMMYFUNCTION("unique(filter($C$5:$C1123,$B$5:$B1123=E1095))"),"")</f>
        <v/>
      </c>
      <c r="G1095" s="203" t="str">
        <f ca="1">IFERROR(__xludf.DUMMYFUNCTION("unique(filter($D$5:$D1123,$B$5:$B1123=E1095))"),"")</f>
        <v/>
      </c>
      <c r="K1095" s="48"/>
      <c r="M1095" s="205" t="s">
        <v>3405</v>
      </c>
    </row>
    <row r="1096" spans="2:13" ht="15.75" customHeight="1" x14ac:dyDescent="0.2">
      <c r="B1096" s="46"/>
      <c r="E1096" s="71"/>
      <c r="F1096" s="71" t="str">
        <f ca="1">IFERROR(__xludf.DUMMYFUNCTION("unique(filter($C$5:$C1123,$B$5:$B1123=E1096))"),"")</f>
        <v/>
      </c>
      <c r="G1096" s="203" t="str">
        <f ca="1">IFERROR(__xludf.DUMMYFUNCTION("unique(filter($D$5:$D1123,$B$5:$B1123=E1096))"),"")</f>
        <v/>
      </c>
      <c r="K1096" s="48"/>
      <c r="M1096" s="205" t="s">
        <v>3406</v>
      </c>
    </row>
    <row r="1097" spans="2:13" ht="15.75" customHeight="1" x14ac:dyDescent="0.2">
      <c r="B1097" s="46"/>
      <c r="E1097" s="71"/>
      <c r="F1097" s="71" t="str">
        <f ca="1">IFERROR(__xludf.DUMMYFUNCTION("unique(filter($C$5:$C1123,$B$5:$B1123=E1097))"),"")</f>
        <v/>
      </c>
      <c r="G1097" s="203" t="str">
        <f ca="1">IFERROR(__xludf.DUMMYFUNCTION("unique(filter($D$5:$D1123,$B$5:$B1123=E1097))"),"")</f>
        <v/>
      </c>
      <c r="K1097" s="48"/>
      <c r="M1097" s="205" t="s">
        <v>3407</v>
      </c>
    </row>
    <row r="1098" spans="2:13" ht="15.75" customHeight="1" x14ac:dyDescent="0.2">
      <c r="B1098" s="46"/>
      <c r="E1098" s="71"/>
      <c r="F1098" s="71" t="str">
        <f ca="1">IFERROR(__xludf.DUMMYFUNCTION("unique(filter($C$5:$C1123,$B$5:$B1123=E1098))"),"")</f>
        <v/>
      </c>
      <c r="G1098" s="203" t="str">
        <f ca="1">IFERROR(__xludf.DUMMYFUNCTION("unique(filter($D$5:$D1123,$B$5:$B1123=E1098))"),"")</f>
        <v/>
      </c>
      <c r="K1098" s="48"/>
      <c r="M1098" s="205" t="s">
        <v>3408</v>
      </c>
    </row>
    <row r="1099" spans="2:13" ht="15.75" customHeight="1" x14ac:dyDescent="0.2">
      <c r="B1099" s="46"/>
      <c r="E1099" s="71"/>
      <c r="F1099" s="71" t="str">
        <f ca="1">IFERROR(__xludf.DUMMYFUNCTION("unique(filter($C$5:$C1123,$B$5:$B1123=E1099))"),"")</f>
        <v/>
      </c>
      <c r="G1099" s="203" t="str">
        <f ca="1">IFERROR(__xludf.DUMMYFUNCTION("unique(filter($D$5:$D1123,$B$5:$B1123=E1099))"),"")</f>
        <v/>
      </c>
      <c r="K1099" s="48"/>
      <c r="M1099" s="205" t="s">
        <v>3409</v>
      </c>
    </row>
    <row r="1100" spans="2:13" ht="15.75" customHeight="1" x14ac:dyDescent="0.2">
      <c r="B1100" s="46"/>
      <c r="E1100" s="71"/>
      <c r="F1100" s="71" t="str">
        <f ca="1">IFERROR(__xludf.DUMMYFUNCTION("unique(filter($C$5:$C1123,$B$5:$B1123=E1100))"),"")</f>
        <v/>
      </c>
      <c r="G1100" s="203" t="str">
        <f ca="1">IFERROR(__xludf.DUMMYFUNCTION("unique(filter($D$5:$D1123,$B$5:$B1123=E1100))"),"")</f>
        <v/>
      </c>
      <c r="K1100" s="48"/>
      <c r="M1100" s="205" t="s">
        <v>3410</v>
      </c>
    </row>
    <row r="1101" spans="2:13" ht="15.75" customHeight="1" x14ac:dyDescent="0.2">
      <c r="B1101" s="46"/>
      <c r="E1101" s="71"/>
      <c r="F1101" s="71" t="str">
        <f ca="1">IFERROR(__xludf.DUMMYFUNCTION("unique(filter($C$5:$C1123,$B$5:$B1123=E1101))"),"")</f>
        <v/>
      </c>
      <c r="G1101" s="203" t="str">
        <f ca="1">IFERROR(__xludf.DUMMYFUNCTION("unique(filter($D$5:$D1123,$B$5:$B1123=E1101))"),"")</f>
        <v/>
      </c>
      <c r="K1101" s="48"/>
      <c r="M1101" s="205" t="s">
        <v>3411</v>
      </c>
    </row>
    <row r="1102" spans="2:13" ht="15.75" customHeight="1" x14ac:dyDescent="0.2">
      <c r="B1102" s="46"/>
      <c r="E1102" s="71"/>
      <c r="F1102" s="71" t="str">
        <f ca="1">IFERROR(__xludf.DUMMYFUNCTION("unique(filter($C$5:$C1123,$B$5:$B1123=E1102))"),"")</f>
        <v/>
      </c>
      <c r="G1102" s="203" t="str">
        <f ca="1">IFERROR(__xludf.DUMMYFUNCTION("unique(filter($D$5:$D1123,$B$5:$B1123=E1102))"),"")</f>
        <v/>
      </c>
      <c r="K1102" s="48"/>
      <c r="M1102" s="205" t="s">
        <v>3412</v>
      </c>
    </row>
    <row r="1103" spans="2:13" ht="15.75" customHeight="1" x14ac:dyDescent="0.2">
      <c r="B1103" s="46"/>
      <c r="E1103" s="71"/>
      <c r="F1103" s="71" t="str">
        <f ca="1">IFERROR(__xludf.DUMMYFUNCTION("unique(filter($C$5:$C1123,$B$5:$B1123=E1103))"),"")</f>
        <v/>
      </c>
      <c r="G1103" s="203" t="str">
        <f ca="1">IFERROR(__xludf.DUMMYFUNCTION("unique(filter($D$5:$D1123,$B$5:$B1123=E1103))"),"")</f>
        <v/>
      </c>
      <c r="K1103" s="48"/>
      <c r="M1103" s="205" t="s">
        <v>3413</v>
      </c>
    </row>
    <row r="1104" spans="2:13" ht="15.75" customHeight="1" x14ac:dyDescent="0.2">
      <c r="B1104" s="46"/>
      <c r="E1104" s="71"/>
      <c r="F1104" s="71" t="str">
        <f ca="1">IFERROR(__xludf.DUMMYFUNCTION("unique(filter($C$5:$C1123,$B$5:$B1123=E1104))"),"")</f>
        <v/>
      </c>
      <c r="G1104" s="203" t="str">
        <f ca="1">IFERROR(__xludf.DUMMYFUNCTION("unique(filter($D$5:$D1123,$B$5:$B1123=E1104))"),"")</f>
        <v/>
      </c>
      <c r="K1104" s="48"/>
      <c r="M1104" s="205" t="s">
        <v>3414</v>
      </c>
    </row>
    <row r="1105" spans="2:13" ht="15.75" customHeight="1" x14ac:dyDescent="0.2">
      <c r="B1105" s="46"/>
      <c r="E1105" s="71"/>
      <c r="F1105" s="71" t="str">
        <f ca="1">IFERROR(__xludf.DUMMYFUNCTION("unique(filter($C$5:$C1123,$B$5:$B1123=E1105))"),"")</f>
        <v/>
      </c>
      <c r="G1105" s="203" t="str">
        <f ca="1">IFERROR(__xludf.DUMMYFUNCTION("unique(filter($D$5:$D1123,$B$5:$B1123=E1105))"),"")</f>
        <v/>
      </c>
      <c r="K1105" s="48"/>
      <c r="M1105" s="205" t="s">
        <v>3415</v>
      </c>
    </row>
    <row r="1106" spans="2:13" ht="15.75" customHeight="1" x14ac:dyDescent="0.2">
      <c r="B1106" s="46"/>
      <c r="E1106" s="71"/>
      <c r="F1106" s="71" t="str">
        <f ca="1">IFERROR(__xludf.DUMMYFUNCTION("unique(filter($C$5:$C1123,$B$5:$B1123=E1106))"),"")</f>
        <v/>
      </c>
      <c r="G1106" s="203" t="str">
        <f ca="1">IFERROR(__xludf.DUMMYFUNCTION("unique(filter($D$5:$D1123,$B$5:$B1123=E1106))"),"")</f>
        <v/>
      </c>
      <c r="K1106" s="48"/>
      <c r="M1106" s="205" t="s">
        <v>3416</v>
      </c>
    </row>
    <row r="1107" spans="2:13" ht="15.75" customHeight="1" x14ac:dyDescent="0.2">
      <c r="B1107" s="46"/>
      <c r="E1107" s="71"/>
      <c r="F1107" s="71" t="str">
        <f ca="1">IFERROR(__xludf.DUMMYFUNCTION("unique(filter($C$5:$C1123,$B$5:$B1123=E1107))"),"")</f>
        <v/>
      </c>
      <c r="G1107" s="203" t="str">
        <f ca="1">IFERROR(__xludf.DUMMYFUNCTION("unique(filter($D$5:$D1123,$B$5:$B1123=E1107))"),"")</f>
        <v/>
      </c>
      <c r="K1107" s="48"/>
      <c r="M1107" s="205" t="s">
        <v>3417</v>
      </c>
    </row>
    <row r="1108" spans="2:13" ht="15.75" customHeight="1" x14ac:dyDescent="0.2">
      <c r="B1108" s="46"/>
      <c r="E1108" s="71"/>
      <c r="F1108" s="71" t="str">
        <f ca="1">IFERROR(__xludf.DUMMYFUNCTION("unique(filter($C$5:$C1123,$B$5:$B1123=E1108))"),"")</f>
        <v/>
      </c>
      <c r="G1108" s="203" t="str">
        <f ca="1">IFERROR(__xludf.DUMMYFUNCTION("unique(filter($D$5:$D1123,$B$5:$B1123=E1108))"),"")</f>
        <v/>
      </c>
      <c r="K1108" s="48"/>
      <c r="M1108" s="205" t="s">
        <v>3418</v>
      </c>
    </row>
    <row r="1109" spans="2:13" ht="15.75" customHeight="1" x14ac:dyDescent="0.2">
      <c r="B1109" s="46"/>
      <c r="E1109" s="71"/>
      <c r="F1109" s="71" t="str">
        <f ca="1">IFERROR(__xludf.DUMMYFUNCTION("unique(filter($C$5:$C1123,$B$5:$B1123=E1109))"),"")</f>
        <v/>
      </c>
      <c r="G1109" s="203" t="str">
        <f ca="1">IFERROR(__xludf.DUMMYFUNCTION("unique(filter($D$5:$D1123,$B$5:$B1123=E1109))"),"")</f>
        <v/>
      </c>
      <c r="K1109" s="48"/>
      <c r="M1109" s="205" t="s">
        <v>3419</v>
      </c>
    </row>
    <row r="1110" spans="2:13" ht="15.75" customHeight="1" x14ac:dyDescent="0.2">
      <c r="B1110" s="46"/>
      <c r="E1110" s="71"/>
      <c r="F1110" s="71" t="str">
        <f ca="1">IFERROR(__xludf.DUMMYFUNCTION("unique(filter($C$5:$C1123,$B$5:$B1123=E1110))"),"")</f>
        <v/>
      </c>
      <c r="G1110" s="203" t="str">
        <f ca="1">IFERROR(__xludf.DUMMYFUNCTION("unique(filter($D$5:$D1123,$B$5:$B1123=E1110))"),"")</f>
        <v/>
      </c>
      <c r="K1110" s="48"/>
      <c r="M1110" s="205" t="s">
        <v>3420</v>
      </c>
    </row>
    <row r="1111" spans="2:13" ht="15.75" customHeight="1" x14ac:dyDescent="0.2">
      <c r="B1111" s="46"/>
      <c r="E1111" s="71"/>
      <c r="F1111" s="71" t="str">
        <f ca="1">IFERROR(__xludf.DUMMYFUNCTION("unique(filter($C$5:$C1123,$B$5:$B1123=E1111))"),"")</f>
        <v/>
      </c>
      <c r="G1111" s="203" t="str">
        <f ca="1">IFERROR(__xludf.DUMMYFUNCTION("unique(filter($D$5:$D1123,$B$5:$B1123=E1111))"),"")</f>
        <v/>
      </c>
      <c r="K1111" s="48"/>
      <c r="M1111" s="205" t="s">
        <v>3421</v>
      </c>
    </row>
    <row r="1112" spans="2:13" ht="15.75" customHeight="1" x14ac:dyDescent="0.2">
      <c r="B1112" s="46"/>
      <c r="E1112" s="71"/>
      <c r="F1112" s="71" t="str">
        <f ca="1">IFERROR(__xludf.DUMMYFUNCTION("unique(filter($C$5:$C1123,$B$5:$B1123=E1112))"),"")</f>
        <v/>
      </c>
      <c r="G1112" s="203" t="str">
        <f ca="1">IFERROR(__xludf.DUMMYFUNCTION("unique(filter($D$5:$D1123,$B$5:$B1123=E1112))"),"")</f>
        <v/>
      </c>
      <c r="K1112" s="48"/>
      <c r="M1112" s="205" t="s">
        <v>3422</v>
      </c>
    </row>
    <row r="1113" spans="2:13" ht="15.75" customHeight="1" x14ac:dyDescent="0.2">
      <c r="B1113" s="46"/>
      <c r="E1113" s="71"/>
      <c r="F1113" s="71" t="str">
        <f ca="1">IFERROR(__xludf.DUMMYFUNCTION("unique(filter($C$5:$C1123,$B$5:$B1123=E1113))"),"")</f>
        <v/>
      </c>
      <c r="G1113" s="203" t="str">
        <f ca="1">IFERROR(__xludf.DUMMYFUNCTION("unique(filter($D$5:$D1123,$B$5:$B1123=E1113))"),"")</f>
        <v/>
      </c>
      <c r="K1113" s="48"/>
      <c r="M1113" s="205" t="s">
        <v>3423</v>
      </c>
    </row>
    <row r="1114" spans="2:13" ht="15.75" customHeight="1" x14ac:dyDescent="0.2">
      <c r="B1114" s="46"/>
      <c r="E1114" s="71"/>
      <c r="F1114" s="71" t="str">
        <f ca="1">IFERROR(__xludf.DUMMYFUNCTION("unique(filter($C$5:$C1123,$B$5:$B1123=E1114))"),"")</f>
        <v/>
      </c>
      <c r="G1114" s="203" t="str">
        <f ca="1">IFERROR(__xludf.DUMMYFUNCTION("unique(filter($D$5:$D1123,$B$5:$B1123=E1114))"),"")</f>
        <v/>
      </c>
      <c r="K1114" s="48"/>
      <c r="M1114" s="205" t="s">
        <v>3424</v>
      </c>
    </row>
    <row r="1115" spans="2:13" ht="15.75" customHeight="1" x14ac:dyDescent="0.2">
      <c r="B1115" s="46"/>
      <c r="E1115" s="71"/>
      <c r="F1115" s="71" t="str">
        <f ca="1">IFERROR(__xludf.DUMMYFUNCTION("unique(filter($C$5:$C1123,$B$5:$B1123=E1115))"),"")</f>
        <v/>
      </c>
      <c r="G1115" s="203" t="str">
        <f ca="1">IFERROR(__xludf.DUMMYFUNCTION("unique(filter($D$5:$D1123,$B$5:$B1123=E1115))"),"")</f>
        <v/>
      </c>
      <c r="K1115" s="48"/>
      <c r="M1115" s="205" t="s">
        <v>3425</v>
      </c>
    </row>
    <row r="1116" spans="2:13" ht="15.75" customHeight="1" x14ac:dyDescent="0.2">
      <c r="B1116" s="46"/>
      <c r="E1116" s="71"/>
      <c r="F1116" s="71" t="str">
        <f ca="1">IFERROR(__xludf.DUMMYFUNCTION("unique(filter($C$5:$C1123,$B$5:$B1123=E1116))"),"")</f>
        <v/>
      </c>
      <c r="G1116" s="203" t="str">
        <f ca="1">IFERROR(__xludf.DUMMYFUNCTION("unique(filter($D$5:$D1123,$B$5:$B1123=E1116))"),"")</f>
        <v/>
      </c>
      <c r="K1116" s="48"/>
      <c r="M1116" s="205" t="s">
        <v>3426</v>
      </c>
    </row>
    <row r="1117" spans="2:13" ht="15.75" customHeight="1" x14ac:dyDescent="0.2">
      <c r="B1117" s="46"/>
      <c r="E1117" s="71"/>
      <c r="F1117" s="71" t="str">
        <f ca="1">IFERROR(__xludf.DUMMYFUNCTION("unique(filter($C$5:$C1123,$B$5:$B1123=E1117))"),"")</f>
        <v/>
      </c>
      <c r="G1117" s="203" t="str">
        <f ca="1">IFERROR(__xludf.DUMMYFUNCTION("unique(filter($D$5:$D1123,$B$5:$B1123=E1117))"),"")</f>
        <v/>
      </c>
      <c r="K1117" s="48"/>
      <c r="M1117" s="205" t="s">
        <v>3427</v>
      </c>
    </row>
    <row r="1118" spans="2:13" ht="15.75" customHeight="1" x14ac:dyDescent="0.2">
      <c r="B1118" s="46"/>
      <c r="E1118" s="71"/>
      <c r="F1118" s="71" t="str">
        <f ca="1">IFERROR(__xludf.DUMMYFUNCTION("unique(filter($C$5:$C1123,$B$5:$B1123=E1118))"),"")</f>
        <v/>
      </c>
      <c r="G1118" s="203" t="str">
        <f ca="1">IFERROR(__xludf.DUMMYFUNCTION("unique(filter($D$5:$D1123,$B$5:$B1123=E1118))"),"")</f>
        <v/>
      </c>
      <c r="K1118" s="48"/>
      <c r="M1118" s="205" t="s">
        <v>3428</v>
      </c>
    </row>
    <row r="1119" spans="2:13" ht="15.75" customHeight="1" x14ac:dyDescent="0.2">
      <c r="B1119" s="46"/>
      <c r="E1119" s="71"/>
      <c r="F1119" s="71" t="str">
        <f ca="1">IFERROR(__xludf.DUMMYFUNCTION("unique(filter($C$5:$C1123,$B$5:$B1123=E1119))"),"")</f>
        <v/>
      </c>
      <c r="G1119" s="203" t="str">
        <f ca="1">IFERROR(__xludf.DUMMYFUNCTION("unique(filter($D$5:$D1123,$B$5:$B1123=E1119))"),"")</f>
        <v/>
      </c>
      <c r="K1119" s="48"/>
      <c r="M1119" s="205" t="s">
        <v>3429</v>
      </c>
    </row>
    <row r="1120" spans="2:13" ht="15.75" customHeight="1" x14ac:dyDescent="0.2">
      <c r="B1120" s="46"/>
      <c r="E1120" s="71"/>
      <c r="F1120" s="71" t="str">
        <f ca="1">IFERROR(__xludf.DUMMYFUNCTION("unique(filter($C$5:$C1123,$B$5:$B1123=E1120))"),"")</f>
        <v/>
      </c>
      <c r="G1120" s="203" t="str">
        <f ca="1">IFERROR(__xludf.DUMMYFUNCTION("unique(filter($D$5:$D1123,$B$5:$B1123=E1120))"),"")</f>
        <v/>
      </c>
      <c r="K1120" s="48"/>
      <c r="M1120" s="205" t="s">
        <v>3430</v>
      </c>
    </row>
    <row r="1121" spans="2:13" ht="15.75" customHeight="1" x14ac:dyDescent="0.2">
      <c r="B1121" s="46"/>
      <c r="E1121" s="71"/>
      <c r="F1121" s="71" t="str">
        <f ca="1">IFERROR(__xludf.DUMMYFUNCTION("unique(filter($C$5:$C1123,$B$5:$B1123=E1121))"),"")</f>
        <v/>
      </c>
      <c r="G1121" s="203" t="str">
        <f ca="1">IFERROR(__xludf.DUMMYFUNCTION("unique(filter($D$5:$D1123,$B$5:$B1123=E1121))"),"")</f>
        <v/>
      </c>
      <c r="K1121" s="48"/>
      <c r="M1121" s="205" t="s">
        <v>3431</v>
      </c>
    </row>
    <row r="1122" spans="2:13" ht="15.75" customHeight="1" x14ac:dyDescent="0.2">
      <c r="B1122" s="46"/>
      <c r="E1122" s="71"/>
      <c r="F1122" s="71" t="str">
        <f ca="1">IFERROR(__xludf.DUMMYFUNCTION("unique(filter($C$5:$C1123,$B$5:$B1123=E1122))"),"")</f>
        <v/>
      </c>
      <c r="G1122" s="203" t="str">
        <f ca="1">IFERROR(__xludf.DUMMYFUNCTION("unique(filter($D$5:$D1123,$B$5:$B1123=E1122))"),"")</f>
        <v/>
      </c>
      <c r="K1122" s="48"/>
      <c r="M1122" s="205" t="s">
        <v>3432</v>
      </c>
    </row>
    <row r="1123" spans="2:13" ht="15.75" customHeight="1" x14ac:dyDescent="0.2">
      <c r="B1123" s="46"/>
      <c r="E1123" s="71"/>
      <c r="F1123" s="71" t="str">
        <f ca="1">IFERROR(__xludf.DUMMYFUNCTION("unique(filter($C$5:$C1123,$B$5:$B1123=E1123))"),"")</f>
        <v/>
      </c>
      <c r="G1123" s="203" t="str">
        <f ca="1">IFERROR(__xludf.DUMMYFUNCTION("unique(filter($D$5:$D1123,$B$5:$B1123=E1123))"),"")</f>
        <v/>
      </c>
      <c r="K1123" s="48"/>
      <c r="M1123" s="205" t="s">
        <v>3433</v>
      </c>
    </row>
  </sheetData>
  <conditionalFormatting sqref="Q4">
    <cfRule type="notContainsBlanks" dxfId="0" priority="1">
      <formula>LEN(TRIM(Q4))&gt;0</formula>
    </cfRule>
  </conditionalFormatting>
  <hyperlinks>
    <hyperlink ref="X4" r:id="rId1" location="/metadata/0684d637-5b6a-40e8-80f4-bdf915b3e3da" xr:uid="{00000000-0004-0000-0600-000000000000}"/>
  </hyperlinks>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434343"/>
    <outlinePr summaryBelow="0" summaryRight="0"/>
  </sheetPr>
  <dimension ref="A1:K1000"/>
  <sheetViews>
    <sheetView workbookViewId="0"/>
  </sheetViews>
  <sheetFormatPr baseColWidth="10" defaultColWidth="12.5703125" defaultRowHeight="15" customHeight="1" x14ac:dyDescent="0.2"/>
  <cols>
    <col min="1" max="1" width="2.5703125" customWidth="1"/>
    <col min="2" max="2" width="19.7109375" customWidth="1"/>
    <col min="3" max="3" width="63.85546875" customWidth="1"/>
    <col min="4" max="4" width="36.42578125" customWidth="1"/>
  </cols>
  <sheetData>
    <row r="1" spans="1:11" ht="31.5" customHeight="1" x14ac:dyDescent="0.4">
      <c r="A1" s="187" t="s">
        <v>3434</v>
      </c>
      <c r="B1" s="223"/>
      <c r="C1" s="224"/>
      <c r="D1" s="224"/>
      <c r="E1" s="225"/>
    </row>
    <row r="2" spans="1:11" ht="15.75" customHeight="1" x14ac:dyDescent="0.4">
      <c r="A2" s="2"/>
      <c r="B2" s="226"/>
      <c r="C2" s="226"/>
      <c r="D2" s="226"/>
      <c r="E2" s="2"/>
      <c r="F2" s="2"/>
      <c r="G2" s="2"/>
      <c r="H2" s="2"/>
      <c r="I2" s="2"/>
      <c r="J2" s="2"/>
    </row>
    <row r="3" spans="1:11" ht="15.75" customHeight="1" x14ac:dyDescent="0.2">
      <c r="A3" s="2"/>
    </row>
    <row r="4" spans="1:11" ht="15.75" customHeight="1" x14ac:dyDescent="0.4">
      <c r="A4" s="227"/>
      <c r="B4" s="354" t="s">
        <v>13</v>
      </c>
      <c r="C4" s="355"/>
      <c r="D4" s="356"/>
      <c r="K4" s="37" t="s">
        <v>41</v>
      </c>
    </row>
    <row r="5" spans="1:11" ht="15.75" customHeight="1" x14ac:dyDescent="0.25">
      <c r="A5" s="228"/>
      <c r="B5" s="229" t="s">
        <v>3435</v>
      </c>
      <c r="C5" s="230" t="s">
        <v>3436</v>
      </c>
      <c r="D5" s="231" t="s">
        <v>3437</v>
      </c>
      <c r="K5" s="36" t="s">
        <v>40</v>
      </c>
    </row>
    <row r="6" spans="1:11" ht="15.75" customHeight="1" x14ac:dyDescent="0.2">
      <c r="A6" s="68"/>
      <c r="B6" s="232" t="s">
        <v>41</v>
      </c>
      <c r="C6" s="48" t="s">
        <v>3438</v>
      </c>
      <c r="D6" s="233" t="s">
        <v>3439</v>
      </c>
      <c r="K6" s="38" t="s">
        <v>42</v>
      </c>
    </row>
    <row r="7" spans="1:11" ht="15.75" customHeight="1" x14ac:dyDescent="0.2">
      <c r="A7" s="54"/>
      <c r="B7" s="234" t="s">
        <v>40</v>
      </c>
      <c r="C7" s="235" t="s">
        <v>3440</v>
      </c>
      <c r="D7" s="236" t="s">
        <v>3441</v>
      </c>
      <c r="K7" s="38" t="s">
        <v>43</v>
      </c>
    </row>
    <row r="8" spans="1:11" ht="15.75" customHeight="1" x14ac:dyDescent="0.2">
      <c r="A8" s="237"/>
      <c r="B8" s="238" t="s">
        <v>42</v>
      </c>
      <c r="C8" s="48" t="s">
        <v>3442</v>
      </c>
      <c r="D8" s="239"/>
      <c r="K8" s="38" t="s">
        <v>3443</v>
      </c>
    </row>
    <row r="9" spans="1:11" ht="15.75" customHeight="1" x14ac:dyDescent="0.2">
      <c r="A9" s="68"/>
      <c r="B9" s="238" t="s">
        <v>43</v>
      </c>
      <c r="C9" s="235" t="s">
        <v>3444</v>
      </c>
      <c r="D9" s="240" t="s">
        <v>3445</v>
      </c>
      <c r="K9" s="38" t="s">
        <v>44</v>
      </c>
    </row>
    <row r="10" spans="1:11" ht="15.75" customHeight="1" x14ac:dyDescent="0.2">
      <c r="A10" s="68"/>
      <c r="B10" s="238" t="s">
        <v>3443</v>
      </c>
      <c r="C10" s="235" t="s">
        <v>3446</v>
      </c>
      <c r="D10" s="240"/>
      <c r="K10" s="38" t="s">
        <v>45</v>
      </c>
    </row>
    <row r="11" spans="1:11" ht="15.75" customHeight="1" x14ac:dyDescent="0.2">
      <c r="A11" s="68"/>
      <c r="B11" s="238" t="s">
        <v>44</v>
      </c>
      <c r="C11" s="235" t="s">
        <v>3447</v>
      </c>
      <c r="D11" s="240" t="s">
        <v>3448</v>
      </c>
      <c r="K11" s="38" t="s">
        <v>3449</v>
      </c>
    </row>
    <row r="12" spans="1:11" ht="15.75" customHeight="1" x14ac:dyDescent="0.2">
      <c r="A12" s="68"/>
      <c r="B12" s="238" t="s">
        <v>45</v>
      </c>
      <c r="C12" s="241" t="s">
        <v>3450</v>
      </c>
      <c r="D12" s="240" t="s">
        <v>3448</v>
      </c>
      <c r="K12" s="38" t="s">
        <v>47</v>
      </c>
    </row>
    <row r="13" spans="1:11" ht="15.75" customHeight="1" x14ac:dyDescent="0.2">
      <c r="A13" s="54"/>
      <c r="B13" s="242" t="s">
        <v>3449</v>
      </c>
      <c r="C13" s="235" t="s">
        <v>3451</v>
      </c>
      <c r="D13" s="243"/>
      <c r="K13" s="38" t="s">
        <v>48</v>
      </c>
    </row>
    <row r="14" spans="1:11" ht="15.75" customHeight="1" x14ac:dyDescent="0.2">
      <c r="A14" s="68"/>
      <c r="B14" s="244" t="s">
        <v>47</v>
      </c>
      <c r="C14" s="48" t="s">
        <v>3452</v>
      </c>
      <c r="D14" s="236"/>
      <c r="K14" s="39" t="s">
        <v>49</v>
      </c>
    </row>
    <row r="15" spans="1:11" ht="15.75" customHeight="1" x14ac:dyDescent="0.2">
      <c r="A15" s="68"/>
      <c r="B15" s="245" t="s">
        <v>48</v>
      </c>
      <c r="C15" s="241" t="s">
        <v>3453</v>
      </c>
      <c r="D15" s="243" t="s">
        <v>3454</v>
      </c>
      <c r="K15" s="39" t="s">
        <v>50</v>
      </c>
    </row>
    <row r="16" spans="1:11" ht="15.75" customHeight="1" x14ac:dyDescent="0.2">
      <c r="A16" s="68"/>
      <c r="B16" s="238" t="s">
        <v>49</v>
      </c>
      <c r="C16" s="235" t="s">
        <v>3455</v>
      </c>
      <c r="D16" s="240" t="s">
        <v>3448</v>
      </c>
      <c r="K16" s="40" t="s">
        <v>51</v>
      </c>
    </row>
    <row r="17" spans="1:11" ht="15.75" customHeight="1" x14ac:dyDescent="0.2">
      <c r="A17" s="54"/>
      <c r="B17" s="242" t="s">
        <v>50</v>
      </c>
      <c r="C17" s="241" t="s">
        <v>3456</v>
      </c>
      <c r="D17" s="243" t="s">
        <v>3448</v>
      </c>
      <c r="K17" s="40" t="s">
        <v>3457</v>
      </c>
    </row>
    <row r="18" spans="1:11" ht="15.75" customHeight="1" x14ac:dyDescent="0.2">
      <c r="A18" s="68"/>
      <c r="B18" s="246" t="s">
        <v>51</v>
      </c>
      <c r="C18" s="247" t="s">
        <v>3458</v>
      </c>
      <c r="D18" s="240" t="s">
        <v>3448</v>
      </c>
      <c r="K18" s="41" t="s">
        <v>53</v>
      </c>
    </row>
    <row r="19" spans="1:11" ht="15.75" customHeight="1" x14ac:dyDescent="0.2">
      <c r="A19" s="54"/>
      <c r="B19" s="248" t="s">
        <v>3457</v>
      </c>
      <c r="C19" s="249" t="s">
        <v>3459</v>
      </c>
      <c r="D19" s="243" t="s">
        <v>3448</v>
      </c>
      <c r="K19" s="41" t="s">
        <v>54</v>
      </c>
    </row>
    <row r="20" spans="1:11" ht="15.75" customHeight="1" x14ac:dyDescent="0.2">
      <c r="A20" s="68"/>
      <c r="B20" s="250" t="s">
        <v>53</v>
      </c>
      <c r="C20" s="251" t="s">
        <v>3460</v>
      </c>
      <c r="D20" s="252" t="s">
        <v>3461</v>
      </c>
      <c r="K20" s="40" t="s">
        <v>3462</v>
      </c>
    </row>
    <row r="21" spans="1:11" ht="15.75" customHeight="1" x14ac:dyDescent="0.2">
      <c r="A21" s="54"/>
      <c r="B21" s="253" t="s">
        <v>54</v>
      </c>
      <c r="C21" s="54" t="s">
        <v>3463</v>
      </c>
      <c r="D21" s="254" t="s">
        <v>3461</v>
      </c>
      <c r="K21" s="40" t="s">
        <v>1091</v>
      </c>
    </row>
    <row r="22" spans="1:11" ht="15.75" customHeight="1" x14ac:dyDescent="0.2">
      <c r="A22" s="54"/>
      <c r="B22" s="255" t="s">
        <v>1091</v>
      </c>
      <c r="C22" s="235" t="s">
        <v>3464</v>
      </c>
      <c r="D22" s="256"/>
      <c r="K22" s="40" t="s">
        <v>3465</v>
      </c>
    </row>
    <row r="23" spans="1:11" ht="15.75" customHeight="1" x14ac:dyDescent="0.2">
      <c r="A23" s="54"/>
      <c r="B23" s="257" t="s">
        <v>3466</v>
      </c>
      <c r="C23" s="258" t="s">
        <v>3467</v>
      </c>
      <c r="D23" s="259"/>
      <c r="K23" s="42" t="s">
        <v>58</v>
      </c>
    </row>
    <row r="24" spans="1:11" ht="15.75" customHeight="1" x14ac:dyDescent="0.2">
      <c r="A24" s="54"/>
      <c r="B24" s="260" t="s">
        <v>3468</v>
      </c>
      <c r="C24" s="261" t="s">
        <v>3469</v>
      </c>
      <c r="D24" s="243"/>
      <c r="K24" s="42" t="s">
        <v>59</v>
      </c>
    </row>
    <row r="25" spans="1:11" ht="15.75" customHeight="1" x14ac:dyDescent="0.2">
      <c r="A25" s="68"/>
      <c r="B25" s="238" t="s">
        <v>58</v>
      </c>
      <c r="C25" s="241" t="s">
        <v>3470</v>
      </c>
      <c r="D25" s="259"/>
      <c r="K25" s="42" t="s">
        <v>60</v>
      </c>
    </row>
    <row r="26" spans="1:11" ht="15.75" customHeight="1" x14ac:dyDescent="0.2">
      <c r="A26" s="54"/>
      <c r="B26" s="242" t="s">
        <v>59</v>
      </c>
      <c r="C26" s="235" t="s">
        <v>3471</v>
      </c>
      <c r="D26" s="243"/>
      <c r="K26" s="42" t="s">
        <v>61</v>
      </c>
    </row>
    <row r="27" spans="1:11" ht="15.75" customHeight="1" x14ac:dyDescent="0.2">
      <c r="A27" s="68"/>
      <c r="B27" s="238" t="s">
        <v>60</v>
      </c>
      <c r="C27" s="241" t="s">
        <v>3472</v>
      </c>
      <c r="D27" s="259"/>
    </row>
    <row r="28" spans="1:11" ht="15.75" customHeight="1" x14ac:dyDescent="0.2">
      <c r="A28" s="68"/>
      <c r="B28" s="262" t="s">
        <v>61</v>
      </c>
      <c r="C28" s="263" t="s">
        <v>3473</v>
      </c>
      <c r="D28" s="264"/>
    </row>
    <row r="29" spans="1:11" ht="15.75" customHeight="1" x14ac:dyDescent="0.2">
      <c r="A29" s="2"/>
    </row>
    <row r="30" spans="1:11" ht="15.75" customHeight="1" x14ac:dyDescent="0.4">
      <c r="A30" s="2"/>
      <c r="B30" s="357" t="s">
        <v>3474</v>
      </c>
      <c r="C30" s="358"/>
      <c r="D30" s="359"/>
      <c r="E30" s="265"/>
      <c r="F30" s="265"/>
    </row>
    <row r="31" spans="1:11" ht="15.75" customHeight="1" x14ac:dyDescent="0.25">
      <c r="A31" s="2"/>
      <c r="B31" s="266" t="s">
        <v>3435</v>
      </c>
      <c r="C31" s="267" t="s">
        <v>3436</v>
      </c>
      <c r="D31" s="268" t="s">
        <v>3437</v>
      </c>
      <c r="E31" s="269"/>
    </row>
    <row r="32" spans="1:11" ht="15.75" customHeight="1" x14ac:dyDescent="0.2">
      <c r="A32" s="2"/>
      <c r="B32" s="270" t="s">
        <v>40</v>
      </c>
      <c r="C32" s="235" t="s">
        <v>3440</v>
      </c>
      <c r="D32" s="236" t="s">
        <v>3441</v>
      </c>
      <c r="E32" s="46"/>
    </row>
    <row r="33" spans="1:5" ht="15.75" customHeight="1" x14ac:dyDescent="0.2">
      <c r="A33" s="2"/>
      <c r="B33" s="172" t="s">
        <v>3475</v>
      </c>
      <c r="C33" s="235" t="s">
        <v>3476</v>
      </c>
      <c r="D33" s="271" t="s">
        <v>3477</v>
      </c>
      <c r="E33" s="46"/>
    </row>
    <row r="34" spans="1:5" ht="15.75" customHeight="1" x14ac:dyDescent="0.2">
      <c r="A34" s="2"/>
      <c r="B34" s="72" t="s">
        <v>102</v>
      </c>
      <c r="C34" s="235" t="s">
        <v>3478</v>
      </c>
      <c r="D34" s="272" t="s">
        <v>3479</v>
      </c>
      <c r="E34" s="273"/>
    </row>
    <row r="35" spans="1:5" ht="15.75" customHeight="1" x14ac:dyDescent="0.2">
      <c r="A35" s="2"/>
      <c r="B35" s="72" t="s">
        <v>103</v>
      </c>
      <c r="C35" s="92" t="s">
        <v>3480</v>
      </c>
      <c r="D35" s="274"/>
      <c r="E35" s="273"/>
    </row>
    <row r="36" spans="1:5" ht="15.75" customHeight="1" x14ac:dyDescent="0.2">
      <c r="A36" s="2"/>
      <c r="B36" s="72" t="s">
        <v>104</v>
      </c>
      <c r="C36" s="92" t="s">
        <v>3481</v>
      </c>
      <c r="D36" s="272"/>
      <c r="E36" s="273"/>
    </row>
    <row r="37" spans="1:5" ht="15.75" customHeight="1" x14ac:dyDescent="0.2">
      <c r="A37" s="2"/>
      <c r="B37" s="72" t="s">
        <v>98</v>
      </c>
      <c r="C37" s="241" t="s">
        <v>3482</v>
      </c>
      <c r="D37" s="272" t="s">
        <v>3479</v>
      </c>
      <c r="E37" s="275"/>
    </row>
    <row r="38" spans="1:5" ht="15.75" customHeight="1" x14ac:dyDescent="0.2">
      <c r="A38" s="2"/>
      <c r="B38" s="75" t="s">
        <v>115</v>
      </c>
      <c r="C38" s="276" t="s">
        <v>3483</v>
      </c>
      <c r="D38" s="272" t="s">
        <v>3448</v>
      </c>
      <c r="E38" s="273"/>
    </row>
    <row r="39" spans="1:5" ht="15.75" customHeight="1" x14ac:dyDescent="0.2">
      <c r="A39" s="2"/>
      <c r="B39" s="75" t="s">
        <v>116</v>
      </c>
      <c r="C39" s="276" t="s">
        <v>3484</v>
      </c>
      <c r="D39" s="272"/>
      <c r="E39" s="273"/>
    </row>
    <row r="40" spans="1:5" ht="15.75" customHeight="1" x14ac:dyDescent="0.2">
      <c r="A40" s="2"/>
      <c r="B40" s="75" t="s">
        <v>105</v>
      </c>
      <c r="C40" s="276" t="s">
        <v>3485</v>
      </c>
      <c r="D40" s="272" t="s">
        <v>3486</v>
      </c>
      <c r="E40" s="273"/>
    </row>
    <row r="41" spans="1:5" ht="15.75" customHeight="1" x14ac:dyDescent="0.2">
      <c r="A41" s="2"/>
      <c r="B41" s="75" t="s">
        <v>3487</v>
      </c>
      <c r="C41" s="92" t="s">
        <v>3488</v>
      </c>
      <c r="D41" s="277"/>
      <c r="E41" s="273"/>
    </row>
    <row r="42" spans="1:5" ht="15.75" customHeight="1" x14ac:dyDescent="0.2">
      <c r="A42" s="2"/>
      <c r="B42" s="75" t="s">
        <v>3489</v>
      </c>
      <c r="C42" s="278" t="s">
        <v>3490</v>
      </c>
      <c r="D42" s="272" t="s">
        <v>3491</v>
      </c>
      <c r="E42" s="273"/>
    </row>
    <row r="43" spans="1:5" ht="15.75" customHeight="1" x14ac:dyDescent="0.2">
      <c r="A43" s="2"/>
      <c r="B43" s="72" t="s">
        <v>106</v>
      </c>
      <c r="C43" s="92" t="s">
        <v>3492</v>
      </c>
      <c r="D43" s="272" t="s">
        <v>3479</v>
      </c>
      <c r="E43" s="47"/>
    </row>
    <row r="44" spans="1:5" ht="15.75" customHeight="1" x14ac:dyDescent="0.2">
      <c r="A44" s="2"/>
      <c r="B44" s="72" t="s">
        <v>3493</v>
      </c>
      <c r="C44" s="235" t="s">
        <v>3494</v>
      </c>
      <c r="D44" s="272"/>
      <c r="E44" s="47"/>
    </row>
    <row r="45" spans="1:5" ht="15.75" customHeight="1" x14ac:dyDescent="0.2">
      <c r="A45" s="2"/>
      <c r="B45" s="72" t="s">
        <v>113</v>
      </c>
      <c r="C45" s="279" t="s">
        <v>3495</v>
      </c>
      <c r="D45" s="280"/>
      <c r="E45" s="47"/>
    </row>
    <row r="46" spans="1:5" ht="15.75" customHeight="1" x14ac:dyDescent="0.2">
      <c r="A46" s="2"/>
      <c r="B46" s="72" t="s">
        <v>114</v>
      </c>
      <c r="C46" s="247" t="s">
        <v>3496</v>
      </c>
      <c r="D46" s="272" t="s">
        <v>3479</v>
      </c>
      <c r="E46" s="47"/>
    </row>
    <row r="47" spans="1:5" ht="15.75" customHeight="1" x14ac:dyDescent="0.2">
      <c r="A47" s="2"/>
      <c r="B47" s="72" t="s">
        <v>1113</v>
      </c>
      <c r="C47" s="48" t="s">
        <v>3497</v>
      </c>
      <c r="D47" s="281"/>
      <c r="E47" s="47"/>
    </row>
    <row r="48" spans="1:5" ht="15.75" customHeight="1" x14ac:dyDescent="0.2">
      <c r="A48" s="2"/>
      <c r="B48" s="72" t="s">
        <v>3498</v>
      </c>
      <c r="C48" s="235" t="s">
        <v>3499</v>
      </c>
      <c r="D48" s="272"/>
      <c r="E48" s="47"/>
    </row>
    <row r="49" spans="1:5" ht="15.75" customHeight="1" x14ac:dyDescent="0.2">
      <c r="A49" s="2"/>
      <c r="B49" s="72" t="s">
        <v>117</v>
      </c>
      <c r="C49" s="235" t="s">
        <v>3500</v>
      </c>
      <c r="D49" s="272"/>
      <c r="E49" s="47"/>
    </row>
    <row r="50" spans="1:5" ht="15.75" customHeight="1" x14ac:dyDescent="0.2">
      <c r="A50" s="2"/>
      <c r="B50" s="72" t="s">
        <v>118</v>
      </c>
      <c r="C50" s="235" t="s">
        <v>3501</v>
      </c>
      <c r="D50" s="272"/>
      <c r="E50" s="47"/>
    </row>
    <row r="51" spans="1:5" ht="15.75" customHeight="1" x14ac:dyDescent="0.2">
      <c r="A51" s="2"/>
      <c r="B51" s="282" t="s">
        <v>3502</v>
      </c>
      <c r="C51" s="235" t="s">
        <v>3503</v>
      </c>
      <c r="D51" s="272"/>
      <c r="E51" s="47"/>
    </row>
    <row r="52" spans="1:5" ht="15.75" customHeight="1" x14ac:dyDescent="0.2">
      <c r="A52" s="2"/>
      <c r="B52" s="72" t="s">
        <v>120</v>
      </c>
      <c r="C52" s="235" t="s">
        <v>3504</v>
      </c>
      <c r="D52" s="272"/>
      <c r="E52" s="47"/>
    </row>
    <row r="53" spans="1:5" ht="15.75" customHeight="1" x14ac:dyDescent="0.2">
      <c r="A53" s="2"/>
      <c r="B53" s="72" t="s">
        <v>122</v>
      </c>
      <c r="C53" s="235" t="s">
        <v>3505</v>
      </c>
      <c r="D53" s="272"/>
      <c r="E53" s="47"/>
    </row>
    <row r="54" spans="1:5" ht="15.75" customHeight="1" x14ac:dyDescent="0.2">
      <c r="A54" s="2"/>
      <c r="B54" s="77" t="s">
        <v>121</v>
      </c>
      <c r="C54" s="247" t="s">
        <v>3506</v>
      </c>
      <c r="D54" s="272"/>
      <c r="E54" s="47"/>
    </row>
    <row r="55" spans="1:5" ht="15.75" customHeight="1" x14ac:dyDescent="0.2">
      <c r="A55" s="2"/>
      <c r="B55" s="77" t="s">
        <v>3507</v>
      </c>
      <c r="C55" s="235" t="s">
        <v>3508</v>
      </c>
      <c r="D55" s="272"/>
      <c r="E55" s="47"/>
    </row>
    <row r="56" spans="1:5" ht="15.75" customHeight="1" x14ac:dyDescent="0.2">
      <c r="A56" s="2"/>
      <c r="B56" s="283" t="s">
        <v>58</v>
      </c>
      <c r="C56" s="235" t="s">
        <v>3509</v>
      </c>
      <c r="D56" s="272"/>
      <c r="E56" s="284"/>
    </row>
    <row r="57" spans="1:5" ht="15.75" customHeight="1" x14ac:dyDescent="0.2">
      <c r="A57" s="2"/>
      <c r="B57" s="285" t="s">
        <v>59</v>
      </c>
      <c r="C57" s="241" t="s">
        <v>3510</v>
      </c>
      <c r="D57" s="286"/>
      <c r="E57" s="284"/>
    </row>
    <row r="58" spans="1:5" ht="15.75" customHeight="1" x14ac:dyDescent="0.2">
      <c r="A58" s="2"/>
      <c r="B58" s="283" t="s">
        <v>60</v>
      </c>
      <c r="C58" s="235" t="s">
        <v>3511</v>
      </c>
      <c r="D58" s="272"/>
      <c r="E58" s="284"/>
    </row>
    <row r="59" spans="1:5" ht="15.75" customHeight="1" x14ac:dyDescent="0.2">
      <c r="A59" s="2"/>
      <c r="B59" s="287" t="s">
        <v>61</v>
      </c>
      <c r="C59" s="288" t="s">
        <v>3512</v>
      </c>
      <c r="D59" s="289"/>
    </row>
    <row r="60" spans="1:5" ht="15.75" customHeight="1" x14ac:dyDescent="0.2">
      <c r="A60" s="2"/>
    </row>
    <row r="61" spans="1:5" ht="36.75" customHeight="1" x14ac:dyDescent="0.4">
      <c r="A61" s="2"/>
      <c r="B61" s="360" t="s">
        <v>17</v>
      </c>
      <c r="C61" s="361"/>
      <c r="D61" s="362"/>
    </row>
    <row r="62" spans="1:5" ht="15.75" customHeight="1" x14ac:dyDescent="0.25">
      <c r="A62" s="2"/>
      <c r="B62" s="290" t="s">
        <v>3435</v>
      </c>
      <c r="C62" s="291" t="s">
        <v>3436</v>
      </c>
      <c r="D62" s="292" t="s">
        <v>3437</v>
      </c>
    </row>
    <row r="63" spans="1:5" ht="15.75" customHeight="1" x14ac:dyDescent="0.2">
      <c r="A63" s="2"/>
      <c r="B63" s="293" t="s">
        <v>3475</v>
      </c>
      <c r="C63" s="46" t="s">
        <v>3513</v>
      </c>
      <c r="D63" s="294"/>
    </row>
    <row r="64" spans="1:5" ht="15.75" customHeight="1" x14ac:dyDescent="0.2">
      <c r="A64" s="2"/>
      <c r="B64" s="295" t="s">
        <v>794</v>
      </c>
      <c r="C64" s="50" t="s">
        <v>3514</v>
      </c>
      <c r="D64" s="294"/>
    </row>
    <row r="65" spans="1:4" ht="15.75" customHeight="1" x14ac:dyDescent="0.2">
      <c r="A65" s="2"/>
      <c r="B65" s="295" t="s">
        <v>795</v>
      </c>
      <c r="C65" s="50" t="s">
        <v>3515</v>
      </c>
      <c r="D65" s="294"/>
    </row>
    <row r="66" spans="1:4" ht="15.75" customHeight="1" x14ac:dyDescent="0.2">
      <c r="A66" s="2"/>
      <c r="B66" s="295" t="s">
        <v>796</v>
      </c>
      <c r="C66" s="50" t="s">
        <v>3516</v>
      </c>
      <c r="D66" s="294"/>
    </row>
    <row r="67" spans="1:4" ht="15.75" customHeight="1" x14ac:dyDescent="0.2">
      <c r="A67" s="2"/>
      <c r="B67" s="295" t="s">
        <v>797</v>
      </c>
      <c r="C67" s="50" t="s">
        <v>3517</v>
      </c>
      <c r="D67" s="294"/>
    </row>
    <row r="68" spans="1:4" ht="15.75" customHeight="1" x14ac:dyDescent="0.2">
      <c r="A68" s="2"/>
      <c r="B68" s="295" t="s">
        <v>798</v>
      </c>
      <c r="C68" s="50" t="s">
        <v>3518</v>
      </c>
      <c r="D68" s="294"/>
    </row>
    <row r="69" spans="1:4" ht="15.75" customHeight="1" x14ac:dyDescent="0.2">
      <c r="A69" s="2"/>
      <c r="B69" s="295" t="s">
        <v>43</v>
      </c>
      <c r="C69" s="50" t="s">
        <v>3519</v>
      </c>
      <c r="D69" s="294"/>
    </row>
    <row r="70" spans="1:4" ht="15.75" customHeight="1" x14ac:dyDescent="0.2">
      <c r="A70" s="2"/>
      <c r="B70" s="295" t="s">
        <v>99</v>
      </c>
      <c r="C70" s="46" t="s">
        <v>3520</v>
      </c>
      <c r="D70" s="294"/>
    </row>
    <row r="71" spans="1:4" ht="15.75" customHeight="1" x14ac:dyDescent="0.2">
      <c r="A71" s="2"/>
      <c r="B71" s="295" t="s">
        <v>100</v>
      </c>
      <c r="C71" s="46" t="s">
        <v>3521</v>
      </c>
      <c r="D71" s="294"/>
    </row>
    <row r="72" spans="1:4" ht="15.75" customHeight="1" x14ac:dyDescent="0.2">
      <c r="A72" s="2"/>
      <c r="B72" s="295" t="s">
        <v>101</v>
      </c>
      <c r="C72" s="50" t="s">
        <v>3522</v>
      </c>
      <c r="D72" s="294"/>
    </row>
    <row r="73" spans="1:4" ht="15.75" customHeight="1" x14ac:dyDescent="0.2">
      <c r="A73" s="2"/>
      <c r="B73" s="295" t="s">
        <v>801</v>
      </c>
      <c r="C73" s="296" t="s">
        <v>3523</v>
      </c>
      <c r="D73" s="297" t="s">
        <v>3524</v>
      </c>
    </row>
    <row r="74" spans="1:4" ht="15.75" customHeight="1" x14ac:dyDescent="0.2">
      <c r="A74" s="2"/>
      <c r="B74" s="295" t="s">
        <v>3525</v>
      </c>
      <c r="C74" s="46" t="s">
        <v>3526</v>
      </c>
      <c r="D74" s="294" t="s">
        <v>3479</v>
      </c>
    </row>
    <row r="75" spans="1:4" ht="15.75" customHeight="1" x14ac:dyDescent="0.2">
      <c r="A75" s="2"/>
      <c r="B75" s="298" t="s">
        <v>3527</v>
      </c>
      <c r="C75" s="299" t="s">
        <v>3528</v>
      </c>
      <c r="D75" s="294"/>
    </row>
    <row r="76" spans="1:4" ht="15.75" customHeight="1" x14ac:dyDescent="0.2">
      <c r="A76" s="2"/>
      <c r="B76" s="300" t="s">
        <v>58</v>
      </c>
      <c r="C76" s="235" t="s">
        <v>3509</v>
      </c>
      <c r="D76" s="294"/>
    </row>
    <row r="77" spans="1:4" ht="15.75" customHeight="1" x14ac:dyDescent="0.2">
      <c r="A77" s="2"/>
      <c r="B77" s="301" t="s">
        <v>59</v>
      </c>
      <c r="C77" s="241" t="s">
        <v>3510</v>
      </c>
      <c r="D77" s="294"/>
    </row>
    <row r="78" spans="1:4" ht="15.75" customHeight="1" x14ac:dyDescent="0.2">
      <c r="A78" s="2"/>
      <c r="B78" s="300" t="s">
        <v>60</v>
      </c>
      <c r="C78" s="235" t="s">
        <v>3511</v>
      </c>
      <c r="D78" s="294"/>
    </row>
    <row r="79" spans="1:4" ht="15.75" customHeight="1" x14ac:dyDescent="0.2">
      <c r="A79" s="2"/>
      <c r="B79" s="302" t="s">
        <v>61</v>
      </c>
      <c r="C79" s="303" t="s">
        <v>3512</v>
      </c>
      <c r="D79" s="304"/>
    </row>
    <row r="80" spans="1:4" ht="15.75" customHeight="1" x14ac:dyDescent="0.2">
      <c r="A80" s="2"/>
    </row>
    <row r="81" spans="1:4" ht="15.75" customHeight="1" x14ac:dyDescent="0.4">
      <c r="A81" s="2"/>
      <c r="B81" s="363" t="s">
        <v>19</v>
      </c>
      <c r="C81" s="364"/>
      <c r="D81" s="365"/>
    </row>
    <row r="82" spans="1:4" ht="15.75" customHeight="1" x14ac:dyDescent="0.25">
      <c r="A82" s="2"/>
      <c r="B82" s="305" t="s">
        <v>3435</v>
      </c>
      <c r="C82" s="306" t="s">
        <v>3436</v>
      </c>
      <c r="D82" s="307" t="s">
        <v>3437</v>
      </c>
    </row>
    <row r="83" spans="1:4" ht="15.75" customHeight="1" x14ac:dyDescent="0.2">
      <c r="A83" s="2"/>
      <c r="B83" s="308" t="s">
        <v>3529</v>
      </c>
      <c r="C83" s="309" t="s">
        <v>3530</v>
      </c>
      <c r="D83" s="310" t="s">
        <v>3531</v>
      </c>
    </row>
    <row r="84" spans="1:4" ht="15.75" customHeight="1" x14ac:dyDescent="0.2">
      <c r="A84" s="2"/>
      <c r="B84" s="311" t="s">
        <v>1082</v>
      </c>
      <c r="C84" s="241" t="s">
        <v>3532</v>
      </c>
      <c r="D84" s="312" t="s">
        <v>3448</v>
      </c>
    </row>
    <row r="85" spans="1:4" ht="15.75" customHeight="1" x14ac:dyDescent="0.2">
      <c r="A85" s="2"/>
      <c r="B85" s="313" t="s">
        <v>1083</v>
      </c>
      <c r="C85" s="235" t="s">
        <v>3533</v>
      </c>
      <c r="D85" s="314" t="s">
        <v>3448</v>
      </c>
    </row>
    <row r="86" spans="1:4" ht="15.75" customHeight="1" x14ac:dyDescent="0.2">
      <c r="A86" s="2"/>
      <c r="B86" s="313" t="s">
        <v>1084</v>
      </c>
      <c r="C86" s="235" t="s">
        <v>3534</v>
      </c>
      <c r="D86" s="314"/>
    </row>
    <row r="87" spans="1:4" ht="15.75" customHeight="1" x14ac:dyDescent="0.2">
      <c r="A87" s="2"/>
      <c r="B87" s="311" t="s">
        <v>1085</v>
      </c>
      <c r="C87" s="241" t="s">
        <v>3535</v>
      </c>
      <c r="D87" s="312"/>
    </row>
    <row r="88" spans="1:4" ht="15.75" customHeight="1" x14ac:dyDescent="0.2">
      <c r="A88" s="2"/>
      <c r="B88" s="315" t="s">
        <v>1086</v>
      </c>
      <c r="C88" s="235" t="s">
        <v>3536</v>
      </c>
      <c r="D88" s="314" t="s">
        <v>3537</v>
      </c>
    </row>
    <row r="89" spans="1:4" ht="15.75" customHeight="1" x14ac:dyDescent="0.2">
      <c r="A89" s="2"/>
      <c r="B89" s="315" t="s">
        <v>1087</v>
      </c>
      <c r="C89" s="235" t="s">
        <v>3538</v>
      </c>
      <c r="D89" s="314"/>
    </row>
    <row r="90" spans="1:4" ht="15.75" customHeight="1" x14ac:dyDescent="0.2">
      <c r="A90" s="2"/>
      <c r="B90" s="316" t="s">
        <v>1088</v>
      </c>
      <c r="C90" s="241" t="s">
        <v>3539</v>
      </c>
      <c r="D90" s="312" t="s">
        <v>3448</v>
      </c>
    </row>
    <row r="91" spans="1:4" ht="15.75" customHeight="1" x14ac:dyDescent="0.2">
      <c r="A91" s="2"/>
      <c r="B91" s="315" t="s">
        <v>1089</v>
      </c>
      <c r="C91" s="235" t="s">
        <v>3540</v>
      </c>
      <c r="D91" s="314" t="s">
        <v>3541</v>
      </c>
    </row>
    <row r="92" spans="1:4" ht="15.75" customHeight="1" x14ac:dyDescent="0.2">
      <c r="A92" s="2"/>
      <c r="B92" s="315" t="s">
        <v>1090</v>
      </c>
      <c r="C92" s="235" t="s">
        <v>3542</v>
      </c>
      <c r="D92" s="314" t="s">
        <v>3543</v>
      </c>
    </row>
    <row r="93" spans="1:4" ht="15.75" customHeight="1" x14ac:dyDescent="0.2">
      <c r="A93" s="2"/>
      <c r="B93" s="316" t="s">
        <v>53</v>
      </c>
      <c r="C93" s="241" t="s">
        <v>3544</v>
      </c>
      <c r="D93" s="312"/>
    </row>
    <row r="94" spans="1:4" ht="15.75" customHeight="1" x14ac:dyDescent="0.2">
      <c r="A94" s="2"/>
      <c r="B94" s="315" t="s">
        <v>54</v>
      </c>
      <c r="C94" s="235" t="s">
        <v>3545</v>
      </c>
      <c r="D94" s="314"/>
    </row>
    <row r="95" spans="1:4" ht="15.75" customHeight="1" x14ac:dyDescent="0.2">
      <c r="A95" s="2"/>
      <c r="B95" s="317" t="s">
        <v>1091</v>
      </c>
      <c r="C95" s="48" t="s">
        <v>3464</v>
      </c>
      <c r="D95" s="318"/>
    </row>
    <row r="96" spans="1:4" ht="15.75" customHeight="1" x14ac:dyDescent="0.2">
      <c r="A96" s="2"/>
      <c r="B96" s="317" t="s">
        <v>1092</v>
      </c>
      <c r="C96" s="46" t="s">
        <v>3546</v>
      </c>
      <c r="D96" s="318"/>
    </row>
    <row r="97" spans="1:4" ht="15.75" customHeight="1" x14ac:dyDescent="0.2">
      <c r="A97" s="2"/>
      <c r="B97" s="319" t="s">
        <v>58</v>
      </c>
      <c r="C97" s="235" t="s">
        <v>3509</v>
      </c>
      <c r="D97" s="318"/>
    </row>
    <row r="98" spans="1:4" ht="15.75" customHeight="1" x14ac:dyDescent="0.2">
      <c r="A98" s="2"/>
      <c r="B98" s="319" t="s">
        <v>59</v>
      </c>
      <c r="C98" s="241" t="s">
        <v>3510</v>
      </c>
      <c r="D98" s="318"/>
    </row>
    <row r="99" spans="1:4" ht="15.75" customHeight="1" x14ac:dyDescent="0.2">
      <c r="A99" s="2"/>
      <c r="B99" s="319" t="s">
        <v>60</v>
      </c>
      <c r="C99" s="235" t="s">
        <v>3511</v>
      </c>
      <c r="D99" s="318"/>
    </row>
    <row r="100" spans="1:4" ht="15.75" customHeight="1" x14ac:dyDescent="0.2">
      <c r="A100" s="2"/>
      <c r="B100" s="320" t="s">
        <v>61</v>
      </c>
      <c r="C100" s="321" t="s">
        <v>3547</v>
      </c>
      <c r="D100" s="322"/>
    </row>
    <row r="101" spans="1:4" ht="15.75" customHeight="1" x14ac:dyDescent="0.2">
      <c r="A101" s="2"/>
    </row>
    <row r="102" spans="1:4" ht="15.75" customHeight="1" x14ac:dyDescent="0.4">
      <c r="A102" s="2"/>
      <c r="B102" s="366" t="s">
        <v>21</v>
      </c>
      <c r="C102" s="367"/>
      <c r="D102" s="368"/>
    </row>
    <row r="103" spans="1:4" ht="15.75" customHeight="1" x14ac:dyDescent="0.25">
      <c r="A103" s="2"/>
      <c r="B103" s="323" t="s">
        <v>3435</v>
      </c>
      <c r="C103" s="324" t="s">
        <v>3436</v>
      </c>
      <c r="D103" s="325" t="s">
        <v>3437</v>
      </c>
    </row>
    <row r="104" spans="1:4" ht="15.75" customHeight="1" x14ac:dyDescent="0.2">
      <c r="A104" s="2"/>
      <c r="B104" s="326" t="s">
        <v>3548</v>
      </c>
      <c r="C104" s="235" t="s">
        <v>3549</v>
      </c>
      <c r="D104" s="327" t="s">
        <v>3550</v>
      </c>
    </row>
    <row r="105" spans="1:4" ht="15.75" customHeight="1" x14ac:dyDescent="0.2">
      <c r="A105" s="2"/>
      <c r="B105" s="328" t="s">
        <v>1094</v>
      </c>
      <c r="C105" s="235" t="s">
        <v>3551</v>
      </c>
      <c r="D105" s="327" t="s">
        <v>3448</v>
      </c>
    </row>
    <row r="106" spans="1:4" ht="15.75" customHeight="1" x14ac:dyDescent="0.2">
      <c r="A106" s="2"/>
      <c r="B106" s="328" t="s">
        <v>1095</v>
      </c>
      <c r="C106" s="235" t="s">
        <v>3552</v>
      </c>
      <c r="D106" s="327"/>
    </row>
    <row r="107" spans="1:4" ht="15.75" customHeight="1" x14ac:dyDescent="0.2">
      <c r="A107" s="2"/>
      <c r="B107" s="328" t="s">
        <v>1096</v>
      </c>
      <c r="C107" s="48" t="s">
        <v>3553</v>
      </c>
      <c r="D107" s="327" t="s">
        <v>3448</v>
      </c>
    </row>
    <row r="108" spans="1:4" ht="15.75" customHeight="1" x14ac:dyDescent="0.2">
      <c r="A108" s="2"/>
      <c r="B108" s="328" t="s">
        <v>1097</v>
      </c>
      <c r="C108" s="235" t="s">
        <v>3554</v>
      </c>
      <c r="D108" s="327" t="s">
        <v>3448</v>
      </c>
    </row>
    <row r="109" spans="1:4" ht="15.75" customHeight="1" x14ac:dyDescent="0.2">
      <c r="A109" s="2"/>
      <c r="B109" s="328" t="s">
        <v>1098</v>
      </c>
      <c r="C109" s="235" t="s">
        <v>3555</v>
      </c>
      <c r="D109" s="327"/>
    </row>
    <row r="110" spans="1:4" ht="15.75" customHeight="1" x14ac:dyDescent="0.2">
      <c r="A110" s="2"/>
      <c r="B110" s="328" t="s">
        <v>1099</v>
      </c>
      <c r="C110" s="235" t="s">
        <v>3556</v>
      </c>
      <c r="D110" s="327" t="s">
        <v>3448</v>
      </c>
    </row>
    <row r="111" spans="1:4" ht="15.75" customHeight="1" x14ac:dyDescent="0.2">
      <c r="A111" s="2"/>
      <c r="B111" s="328" t="s">
        <v>1100</v>
      </c>
      <c r="C111" s="235" t="s">
        <v>3557</v>
      </c>
      <c r="D111" s="327" t="s">
        <v>3558</v>
      </c>
    </row>
    <row r="112" spans="1:4" ht="15.75" customHeight="1" x14ac:dyDescent="0.2">
      <c r="A112" s="2"/>
      <c r="B112" s="328" t="s">
        <v>1101</v>
      </c>
      <c r="C112" s="235" t="s">
        <v>3559</v>
      </c>
      <c r="D112" s="327" t="s">
        <v>3560</v>
      </c>
    </row>
    <row r="113" spans="1:4" ht="15.75" customHeight="1" x14ac:dyDescent="0.2">
      <c r="A113" s="2"/>
      <c r="B113" s="329" t="s">
        <v>1102</v>
      </c>
      <c r="C113" s="92" t="s">
        <v>3561</v>
      </c>
      <c r="D113" s="327"/>
    </row>
    <row r="114" spans="1:4" ht="15.75" customHeight="1" x14ac:dyDescent="0.2">
      <c r="A114" s="2"/>
      <c r="B114" s="329" t="s">
        <v>1103</v>
      </c>
      <c r="C114" s="92" t="s">
        <v>3562</v>
      </c>
      <c r="D114" s="327"/>
    </row>
    <row r="115" spans="1:4" ht="15.75" customHeight="1" x14ac:dyDescent="0.2">
      <c r="A115" s="2"/>
      <c r="B115" s="329" t="s">
        <v>1104</v>
      </c>
      <c r="C115" s="92" t="s">
        <v>3563</v>
      </c>
      <c r="D115" s="327"/>
    </row>
    <row r="116" spans="1:4" ht="15.75" customHeight="1" x14ac:dyDescent="0.2">
      <c r="A116" s="2"/>
      <c r="B116" s="330" t="s">
        <v>58</v>
      </c>
      <c r="C116" s="235" t="s">
        <v>3509</v>
      </c>
      <c r="D116" s="327"/>
    </row>
    <row r="117" spans="1:4" ht="15.75" customHeight="1" x14ac:dyDescent="0.2">
      <c r="A117" s="2"/>
      <c r="B117" s="330" t="s">
        <v>59</v>
      </c>
      <c r="C117" s="241" t="s">
        <v>3510</v>
      </c>
      <c r="D117" s="327"/>
    </row>
    <row r="118" spans="1:4" ht="15.75" customHeight="1" x14ac:dyDescent="0.2">
      <c r="A118" s="2"/>
      <c r="B118" s="330" t="s">
        <v>60</v>
      </c>
      <c r="C118" s="235" t="s">
        <v>3511</v>
      </c>
      <c r="D118" s="327"/>
    </row>
    <row r="119" spans="1:4" ht="15.75" customHeight="1" x14ac:dyDescent="0.2">
      <c r="A119" s="2"/>
      <c r="B119" s="331" t="s">
        <v>61</v>
      </c>
      <c r="C119" s="332" t="s">
        <v>3512</v>
      </c>
      <c r="D119" s="333"/>
    </row>
    <row r="120" spans="1:4" ht="15.75" customHeight="1" x14ac:dyDescent="0.2">
      <c r="A120" s="2"/>
    </row>
    <row r="121" spans="1:4" ht="15.75" customHeight="1" x14ac:dyDescent="0.2">
      <c r="A121" s="2"/>
    </row>
    <row r="122" spans="1:4" ht="15.75" customHeight="1" x14ac:dyDescent="0.2">
      <c r="A122" s="2"/>
    </row>
    <row r="123" spans="1:4" ht="15.75" customHeight="1" x14ac:dyDescent="0.2">
      <c r="A123" s="2"/>
    </row>
    <row r="124" spans="1:4" ht="15.75" customHeight="1" x14ac:dyDescent="0.2">
      <c r="A124" s="2"/>
    </row>
    <row r="125" spans="1:4" ht="15.75" customHeight="1" x14ac:dyDescent="0.2">
      <c r="A125" s="2"/>
    </row>
    <row r="126" spans="1:4" ht="15.75" customHeight="1" x14ac:dyDescent="0.2">
      <c r="A126" s="2"/>
    </row>
    <row r="127" spans="1:4" ht="15.75" customHeight="1" x14ac:dyDescent="0.2">
      <c r="A127" s="2"/>
    </row>
    <row r="128" spans="1:4" ht="15.75" customHeight="1" x14ac:dyDescent="0.2">
      <c r="A128" s="2"/>
    </row>
    <row r="129" spans="1:1" ht="15.75" customHeight="1" x14ac:dyDescent="0.2">
      <c r="A129" s="2"/>
    </row>
    <row r="130" spans="1:1" ht="15.75" customHeight="1" x14ac:dyDescent="0.2">
      <c r="A130" s="2"/>
    </row>
    <row r="131" spans="1:1" ht="15.75" customHeight="1" x14ac:dyDescent="0.2">
      <c r="A131" s="2"/>
    </row>
    <row r="132" spans="1:1" ht="15.75" customHeight="1" x14ac:dyDescent="0.2">
      <c r="A132" s="2"/>
    </row>
    <row r="133" spans="1:1" ht="15.75" customHeight="1" x14ac:dyDescent="0.2">
      <c r="A133" s="2"/>
    </row>
    <row r="134" spans="1:1" ht="15.75" customHeight="1" x14ac:dyDescent="0.2">
      <c r="A134" s="2"/>
    </row>
    <row r="135" spans="1:1" ht="15.75" customHeight="1" x14ac:dyDescent="0.2">
      <c r="A135" s="2"/>
    </row>
    <row r="136" spans="1:1" ht="15.75" customHeight="1" x14ac:dyDescent="0.2">
      <c r="A136" s="2"/>
    </row>
    <row r="137" spans="1:1" ht="15.75" customHeight="1" x14ac:dyDescent="0.2">
      <c r="A137" s="2"/>
    </row>
    <row r="138" spans="1:1" ht="15.75" customHeight="1" x14ac:dyDescent="0.2">
      <c r="A138" s="2"/>
    </row>
    <row r="139" spans="1:1" ht="15.75" customHeight="1" x14ac:dyDescent="0.2">
      <c r="A139" s="2"/>
    </row>
    <row r="140" spans="1:1" ht="15.75" customHeight="1" x14ac:dyDescent="0.2">
      <c r="A140" s="2"/>
    </row>
    <row r="141" spans="1:1" ht="15.75" customHeight="1" x14ac:dyDescent="0.2">
      <c r="A141" s="2"/>
    </row>
    <row r="142" spans="1:1" ht="15.75" customHeight="1" x14ac:dyDescent="0.2">
      <c r="A142" s="2"/>
    </row>
    <row r="143" spans="1:1" ht="15.75" customHeight="1" x14ac:dyDescent="0.2">
      <c r="A143" s="2"/>
    </row>
    <row r="144" spans="1:1" ht="15.75" customHeight="1" x14ac:dyDescent="0.2">
      <c r="A144" s="2"/>
    </row>
    <row r="145" spans="1:1" ht="15.75" customHeight="1" x14ac:dyDescent="0.2">
      <c r="A145" s="2"/>
    </row>
    <row r="146" spans="1:1" ht="15.75" customHeight="1" x14ac:dyDescent="0.2">
      <c r="A146" s="2"/>
    </row>
    <row r="147" spans="1:1" ht="15.75" customHeight="1" x14ac:dyDescent="0.2">
      <c r="A147" s="2"/>
    </row>
    <row r="148" spans="1:1" ht="15.75" customHeight="1" x14ac:dyDescent="0.2">
      <c r="A148" s="2"/>
    </row>
    <row r="149" spans="1:1" ht="15.75" customHeight="1" x14ac:dyDescent="0.2">
      <c r="A149" s="2"/>
    </row>
    <row r="150" spans="1:1" ht="15.75" customHeight="1" x14ac:dyDescent="0.2">
      <c r="A150" s="2"/>
    </row>
    <row r="151" spans="1:1" ht="15.75" customHeight="1" x14ac:dyDescent="0.2">
      <c r="A151" s="2"/>
    </row>
    <row r="152" spans="1:1" ht="15.75" customHeight="1" x14ac:dyDescent="0.2">
      <c r="A152" s="2"/>
    </row>
    <row r="153" spans="1:1" ht="15.75" customHeight="1" x14ac:dyDescent="0.2">
      <c r="A153" s="2"/>
    </row>
    <row r="154" spans="1:1" ht="15.75" customHeight="1" x14ac:dyDescent="0.2">
      <c r="A154" s="2"/>
    </row>
    <row r="155" spans="1:1" ht="15.75" customHeight="1" x14ac:dyDescent="0.2">
      <c r="A155" s="2"/>
    </row>
    <row r="156" spans="1:1" ht="15.75" customHeight="1" x14ac:dyDescent="0.2">
      <c r="A156" s="2"/>
    </row>
    <row r="157" spans="1:1" ht="15.75" customHeight="1" x14ac:dyDescent="0.2">
      <c r="A157" s="2"/>
    </row>
    <row r="158" spans="1:1" ht="15.75" customHeight="1" x14ac:dyDescent="0.2">
      <c r="A158" s="2"/>
    </row>
    <row r="159" spans="1:1" ht="15.75" customHeight="1" x14ac:dyDescent="0.2">
      <c r="A159" s="2"/>
    </row>
    <row r="160" spans="1:1" ht="15.75" customHeight="1" x14ac:dyDescent="0.2">
      <c r="A160" s="2"/>
    </row>
    <row r="161" spans="1:1" ht="15.75" customHeight="1" x14ac:dyDescent="0.2">
      <c r="A161" s="2"/>
    </row>
    <row r="162" spans="1:1" ht="15.75" customHeight="1" x14ac:dyDescent="0.2">
      <c r="A162" s="2"/>
    </row>
    <row r="163" spans="1:1" ht="15.75" customHeight="1" x14ac:dyDescent="0.2">
      <c r="A163" s="2"/>
    </row>
    <row r="164" spans="1:1" ht="15.75" customHeight="1" x14ac:dyDescent="0.2">
      <c r="A164" s="2"/>
    </row>
    <row r="165" spans="1:1" ht="15.75" customHeight="1" x14ac:dyDescent="0.2">
      <c r="A165" s="2"/>
    </row>
    <row r="166" spans="1:1" ht="15.75" customHeight="1" x14ac:dyDescent="0.2">
      <c r="A166" s="2"/>
    </row>
    <row r="167" spans="1:1" ht="15.75" customHeight="1" x14ac:dyDescent="0.2">
      <c r="A167" s="2"/>
    </row>
    <row r="168" spans="1:1" ht="15.75" customHeight="1" x14ac:dyDescent="0.2">
      <c r="A168" s="2"/>
    </row>
    <row r="169" spans="1:1" ht="15.75" customHeight="1" x14ac:dyDescent="0.2">
      <c r="A169" s="2"/>
    </row>
    <row r="170" spans="1:1" ht="15.75" customHeight="1" x14ac:dyDescent="0.2">
      <c r="A170" s="2"/>
    </row>
    <row r="171" spans="1:1" ht="15.75" customHeight="1" x14ac:dyDescent="0.2">
      <c r="A171" s="2"/>
    </row>
    <row r="172" spans="1:1" ht="15.75" customHeight="1" x14ac:dyDescent="0.2">
      <c r="A172" s="2"/>
    </row>
    <row r="173" spans="1:1" ht="15.75" customHeight="1" x14ac:dyDescent="0.2">
      <c r="A173" s="2"/>
    </row>
    <row r="174" spans="1:1" ht="15.75" customHeight="1" x14ac:dyDescent="0.2">
      <c r="A174" s="2"/>
    </row>
    <row r="175" spans="1:1" ht="15.75" customHeight="1" x14ac:dyDescent="0.2">
      <c r="A175" s="2"/>
    </row>
    <row r="176" spans="1:1" ht="15.75" customHeight="1" x14ac:dyDescent="0.2">
      <c r="A176" s="2"/>
    </row>
    <row r="177" spans="1:1" ht="15.75" customHeight="1" x14ac:dyDescent="0.2">
      <c r="A177" s="2"/>
    </row>
    <row r="178" spans="1:1" ht="15.75" customHeight="1" x14ac:dyDescent="0.2">
      <c r="A178" s="2"/>
    </row>
    <row r="179" spans="1:1" ht="15.75" customHeight="1" x14ac:dyDescent="0.2">
      <c r="A179" s="2"/>
    </row>
    <row r="180" spans="1:1" ht="15.75" customHeight="1" x14ac:dyDescent="0.2">
      <c r="A180" s="2"/>
    </row>
    <row r="181" spans="1:1" ht="15.75" customHeight="1" x14ac:dyDescent="0.2">
      <c r="A181" s="2"/>
    </row>
    <row r="182" spans="1:1" ht="15.75" customHeight="1" x14ac:dyDescent="0.2">
      <c r="A182" s="2"/>
    </row>
    <row r="183" spans="1:1" ht="15.75" customHeight="1" x14ac:dyDescent="0.2">
      <c r="A183" s="2"/>
    </row>
    <row r="184" spans="1:1" ht="15.75" customHeight="1" x14ac:dyDescent="0.2">
      <c r="A184" s="2"/>
    </row>
    <row r="185" spans="1:1" ht="15.75" customHeight="1" x14ac:dyDescent="0.2">
      <c r="A185" s="2"/>
    </row>
    <row r="186" spans="1:1" ht="15.75" customHeight="1" x14ac:dyDescent="0.2">
      <c r="A186" s="2"/>
    </row>
    <row r="187" spans="1:1" ht="15.75" customHeight="1" x14ac:dyDescent="0.2">
      <c r="A187" s="2"/>
    </row>
    <row r="188" spans="1:1" ht="15.75" customHeight="1" x14ac:dyDescent="0.2">
      <c r="A188" s="2"/>
    </row>
    <row r="189" spans="1:1" ht="15.75" customHeight="1" x14ac:dyDescent="0.2">
      <c r="A189" s="2"/>
    </row>
    <row r="190" spans="1:1" ht="15.75" customHeight="1" x14ac:dyDescent="0.2">
      <c r="A190" s="2"/>
    </row>
    <row r="191" spans="1:1" ht="15.75" customHeight="1" x14ac:dyDescent="0.2">
      <c r="A191" s="2"/>
    </row>
    <row r="192" spans="1:1" ht="15.75" customHeight="1" x14ac:dyDescent="0.2">
      <c r="A192" s="2"/>
    </row>
    <row r="193" spans="1:1" ht="15.75" customHeight="1" x14ac:dyDescent="0.2">
      <c r="A193" s="2"/>
    </row>
    <row r="194" spans="1:1" ht="15.75" customHeight="1" x14ac:dyDescent="0.2">
      <c r="A194" s="2"/>
    </row>
    <row r="195" spans="1:1" ht="15.75" customHeight="1" x14ac:dyDescent="0.2">
      <c r="A195" s="2"/>
    </row>
    <row r="196" spans="1:1" ht="15.75" customHeight="1" x14ac:dyDescent="0.2">
      <c r="A196" s="2"/>
    </row>
    <row r="197" spans="1:1" ht="15.75" customHeight="1" x14ac:dyDescent="0.2">
      <c r="A197" s="2"/>
    </row>
    <row r="198" spans="1:1" ht="15.75" customHeight="1" x14ac:dyDescent="0.2">
      <c r="A198" s="2"/>
    </row>
    <row r="199" spans="1:1" ht="15.75" customHeight="1" x14ac:dyDescent="0.2">
      <c r="A199" s="2"/>
    </row>
    <row r="200" spans="1:1" ht="15.75" customHeight="1" x14ac:dyDescent="0.2">
      <c r="A200" s="2"/>
    </row>
    <row r="201" spans="1:1" ht="15.75" customHeight="1" x14ac:dyDescent="0.2">
      <c r="A201" s="2"/>
    </row>
    <row r="202" spans="1:1" ht="15.75" customHeight="1" x14ac:dyDescent="0.2">
      <c r="A202" s="2"/>
    </row>
    <row r="203" spans="1:1" ht="15.75" customHeight="1" x14ac:dyDescent="0.2">
      <c r="A203" s="2"/>
    </row>
    <row r="204" spans="1:1" ht="15.75" customHeight="1" x14ac:dyDescent="0.2">
      <c r="A204" s="2"/>
    </row>
    <row r="205" spans="1:1" ht="15.75" customHeight="1" x14ac:dyDescent="0.2">
      <c r="A205" s="2"/>
    </row>
    <row r="206" spans="1:1" ht="15.75" customHeight="1" x14ac:dyDescent="0.2">
      <c r="A206" s="2"/>
    </row>
    <row r="207" spans="1:1" ht="15.75" customHeight="1" x14ac:dyDescent="0.2">
      <c r="A207" s="2"/>
    </row>
    <row r="208" spans="1:1" ht="15.75" customHeight="1" x14ac:dyDescent="0.2">
      <c r="A208" s="2"/>
    </row>
    <row r="209" spans="1:1" ht="15.75" customHeight="1" x14ac:dyDescent="0.2">
      <c r="A209" s="2"/>
    </row>
    <row r="210" spans="1:1" ht="15.75" customHeight="1" x14ac:dyDescent="0.2">
      <c r="A210" s="2"/>
    </row>
    <row r="211" spans="1:1" ht="15.75" customHeight="1" x14ac:dyDescent="0.2">
      <c r="A211" s="2"/>
    </row>
    <row r="212" spans="1:1" ht="15.75" customHeight="1" x14ac:dyDescent="0.2">
      <c r="A212" s="2"/>
    </row>
    <row r="213" spans="1:1" ht="15.75" customHeight="1" x14ac:dyDescent="0.2">
      <c r="A213" s="2"/>
    </row>
    <row r="214" spans="1:1" ht="15.75" customHeight="1" x14ac:dyDescent="0.2">
      <c r="A214" s="2"/>
    </row>
    <row r="215" spans="1:1" ht="15.75" customHeight="1" x14ac:dyDescent="0.2">
      <c r="A215" s="2"/>
    </row>
    <row r="216" spans="1:1" ht="15.75" customHeight="1" x14ac:dyDescent="0.2">
      <c r="A216" s="2"/>
    </row>
    <row r="217" spans="1:1" ht="15.75" customHeight="1" x14ac:dyDescent="0.2">
      <c r="A217" s="2"/>
    </row>
    <row r="218" spans="1:1" ht="15.75" customHeight="1" x14ac:dyDescent="0.2">
      <c r="A218" s="2"/>
    </row>
    <row r="219" spans="1:1" ht="15.75" customHeight="1" x14ac:dyDescent="0.2">
      <c r="A219" s="2"/>
    </row>
    <row r="220" spans="1:1" ht="15.75" customHeight="1" x14ac:dyDescent="0.2">
      <c r="A220" s="2"/>
    </row>
    <row r="221" spans="1:1" ht="15.75" customHeight="1" x14ac:dyDescent="0.2">
      <c r="A221" s="2"/>
    </row>
    <row r="222" spans="1:1" ht="15.75" customHeight="1" x14ac:dyDescent="0.2">
      <c r="A222" s="2"/>
    </row>
    <row r="223" spans="1:1" ht="15.75" customHeight="1" x14ac:dyDescent="0.2">
      <c r="A223" s="2"/>
    </row>
    <row r="224" spans="1:1" ht="15.75" customHeight="1" x14ac:dyDescent="0.2">
      <c r="A224" s="2"/>
    </row>
    <row r="225" spans="1:1" ht="15.75" customHeight="1" x14ac:dyDescent="0.2">
      <c r="A225" s="2"/>
    </row>
    <row r="226" spans="1:1" ht="15.75" customHeight="1" x14ac:dyDescent="0.2">
      <c r="A226" s="2"/>
    </row>
    <row r="227" spans="1:1" ht="15.75" customHeight="1" x14ac:dyDescent="0.2">
      <c r="A227" s="2"/>
    </row>
    <row r="228" spans="1:1" ht="15.75" customHeight="1" x14ac:dyDescent="0.2">
      <c r="A228" s="2"/>
    </row>
    <row r="229" spans="1:1" ht="15.75" customHeight="1" x14ac:dyDescent="0.2">
      <c r="A229" s="2"/>
    </row>
    <row r="230" spans="1:1" ht="15.75" customHeight="1" x14ac:dyDescent="0.2">
      <c r="A230" s="2"/>
    </row>
    <row r="231" spans="1:1" ht="15.75" customHeight="1" x14ac:dyDescent="0.2">
      <c r="A231" s="2"/>
    </row>
    <row r="232" spans="1:1" ht="15.75" customHeight="1" x14ac:dyDescent="0.2">
      <c r="A232" s="2"/>
    </row>
    <row r="233" spans="1:1" ht="15.75" customHeight="1" x14ac:dyDescent="0.2">
      <c r="A233" s="2"/>
    </row>
    <row r="234" spans="1:1" ht="15.75" customHeight="1" x14ac:dyDescent="0.2">
      <c r="A234" s="2"/>
    </row>
    <row r="235" spans="1:1" ht="15.75" customHeight="1" x14ac:dyDescent="0.2">
      <c r="A235" s="2"/>
    </row>
    <row r="236" spans="1:1" ht="15.75" customHeight="1" x14ac:dyDescent="0.2">
      <c r="A236" s="2"/>
    </row>
    <row r="237" spans="1:1" ht="15.75" customHeight="1" x14ac:dyDescent="0.2">
      <c r="A237" s="2"/>
    </row>
    <row r="238" spans="1:1" ht="15.75" customHeight="1" x14ac:dyDescent="0.2">
      <c r="A238" s="2"/>
    </row>
    <row r="239" spans="1:1" ht="15.75" customHeight="1" x14ac:dyDescent="0.2">
      <c r="A239" s="2"/>
    </row>
    <row r="240" spans="1:1" ht="15.75" customHeight="1" x14ac:dyDescent="0.2">
      <c r="A240" s="2"/>
    </row>
    <row r="241" spans="1:1" ht="15.75" customHeight="1" x14ac:dyDescent="0.2">
      <c r="A241" s="2"/>
    </row>
    <row r="242" spans="1:1" ht="15.75" customHeight="1" x14ac:dyDescent="0.2">
      <c r="A242" s="2"/>
    </row>
    <row r="243" spans="1:1" ht="15.75" customHeight="1" x14ac:dyDescent="0.2">
      <c r="A243" s="2"/>
    </row>
    <row r="244" spans="1:1" ht="15.75" customHeight="1" x14ac:dyDescent="0.2">
      <c r="A244" s="2"/>
    </row>
    <row r="245" spans="1:1" ht="15.75" customHeight="1" x14ac:dyDescent="0.2">
      <c r="A245" s="2"/>
    </row>
    <row r="246" spans="1:1" ht="15.75" customHeight="1" x14ac:dyDescent="0.2">
      <c r="A246" s="2"/>
    </row>
    <row r="247" spans="1:1" ht="15.75" customHeight="1" x14ac:dyDescent="0.2">
      <c r="A247" s="2"/>
    </row>
    <row r="248" spans="1:1" ht="15.75" customHeight="1" x14ac:dyDescent="0.2">
      <c r="A248" s="2"/>
    </row>
    <row r="249" spans="1:1" ht="15.75" customHeight="1" x14ac:dyDescent="0.2">
      <c r="A249" s="2"/>
    </row>
    <row r="250" spans="1:1" ht="15.75" customHeight="1" x14ac:dyDescent="0.2">
      <c r="A250" s="2"/>
    </row>
    <row r="251" spans="1:1" ht="15.75" customHeight="1" x14ac:dyDescent="0.2">
      <c r="A251" s="2"/>
    </row>
    <row r="252" spans="1:1" ht="15.75" customHeight="1" x14ac:dyDescent="0.2">
      <c r="A252" s="2"/>
    </row>
    <row r="253" spans="1:1" ht="15.75" customHeight="1" x14ac:dyDescent="0.2">
      <c r="A253" s="2"/>
    </row>
    <row r="254" spans="1:1" ht="15.75" customHeight="1" x14ac:dyDescent="0.2">
      <c r="A254" s="2"/>
    </row>
    <row r="255" spans="1:1" ht="15.75" customHeight="1" x14ac:dyDescent="0.2">
      <c r="A255" s="2"/>
    </row>
    <row r="256" spans="1:1" ht="15.75" customHeight="1" x14ac:dyDescent="0.2">
      <c r="A256" s="2"/>
    </row>
    <row r="257" spans="1:1" ht="15.75" customHeight="1" x14ac:dyDescent="0.2">
      <c r="A257" s="2"/>
    </row>
    <row r="258" spans="1:1" ht="15.75" customHeight="1" x14ac:dyDescent="0.2">
      <c r="A258" s="2"/>
    </row>
    <row r="259" spans="1:1" ht="15.75" customHeight="1" x14ac:dyDescent="0.2">
      <c r="A259" s="2"/>
    </row>
    <row r="260" spans="1:1" ht="15.75" customHeight="1" x14ac:dyDescent="0.2">
      <c r="A260" s="2"/>
    </row>
    <row r="261" spans="1:1" ht="15.75" customHeight="1" x14ac:dyDescent="0.2">
      <c r="A261" s="2"/>
    </row>
    <row r="262" spans="1:1" ht="15.75" customHeight="1" x14ac:dyDescent="0.2">
      <c r="A262" s="2"/>
    </row>
    <row r="263" spans="1:1" ht="15.75" customHeight="1" x14ac:dyDescent="0.2">
      <c r="A263" s="2"/>
    </row>
    <row r="264" spans="1:1" ht="15.75" customHeight="1" x14ac:dyDescent="0.2">
      <c r="A264" s="2"/>
    </row>
    <row r="265" spans="1:1" ht="15.75" customHeight="1" x14ac:dyDescent="0.2">
      <c r="A265" s="2"/>
    </row>
    <row r="266" spans="1:1" ht="15.75" customHeight="1" x14ac:dyDescent="0.2">
      <c r="A266" s="2"/>
    </row>
    <row r="267" spans="1:1" ht="15.75" customHeight="1" x14ac:dyDescent="0.2">
      <c r="A267" s="2"/>
    </row>
    <row r="268" spans="1:1" ht="15.75" customHeight="1" x14ac:dyDescent="0.2">
      <c r="A268" s="2"/>
    </row>
    <row r="269" spans="1:1" ht="15.75" customHeight="1" x14ac:dyDescent="0.2">
      <c r="A269" s="2"/>
    </row>
    <row r="270" spans="1:1" ht="15.75" customHeight="1" x14ac:dyDescent="0.2">
      <c r="A270" s="2"/>
    </row>
    <row r="271" spans="1:1" ht="15.75" customHeight="1" x14ac:dyDescent="0.2">
      <c r="A271" s="2"/>
    </row>
    <row r="272" spans="1:1" ht="15.75" customHeight="1" x14ac:dyDescent="0.2">
      <c r="A272" s="2"/>
    </row>
    <row r="273" spans="1:1" ht="15.75" customHeight="1" x14ac:dyDescent="0.2">
      <c r="A273" s="2"/>
    </row>
    <row r="274" spans="1:1" ht="15.75" customHeight="1" x14ac:dyDescent="0.2">
      <c r="A274" s="2"/>
    </row>
    <row r="275" spans="1:1" ht="15.75" customHeight="1" x14ac:dyDescent="0.2">
      <c r="A275" s="2"/>
    </row>
    <row r="276" spans="1:1" ht="15.75" customHeight="1" x14ac:dyDescent="0.2">
      <c r="A276" s="2"/>
    </row>
    <row r="277" spans="1:1" ht="15.75" customHeight="1" x14ac:dyDescent="0.2">
      <c r="A277" s="2"/>
    </row>
    <row r="278" spans="1:1" ht="15.75" customHeight="1" x14ac:dyDescent="0.2">
      <c r="A278" s="2"/>
    </row>
    <row r="279" spans="1:1" ht="15.75" customHeight="1" x14ac:dyDescent="0.2">
      <c r="A279" s="2"/>
    </row>
    <row r="280" spans="1:1" ht="15.75" customHeight="1" x14ac:dyDescent="0.2">
      <c r="A280" s="2"/>
    </row>
    <row r="281" spans="1:1" ht="15.75" customHeight="1" x14ac:dyDescent="0.2">
      <c r="A281" s="2"/>
    </row>
    <row r="282" spans="1:1" ht="15.75" customHeight="1" x14ac:dyDescent="0.2">
      <c r="A282" s="2"/>
    </row>
    <row r="283" spans="1:1" ht="15.75" customHeight="1" x14ac:dyDescent="0.2">
      <c r="A283" s="2"/>
    </row>
    <row r="284" spans="1:1" ht="15.75" customHeight="1" x14ac:dyDescent="0.2">
      <c r="A284" s="2"/>
    </row>
    <row r="285" spans="1:1" ht="15.75" customHeight="1" x14ac:dyDescent="0.2">
      <c r="A285" s="2"/>
    </row>
    <row r="286" spans="1:1" ht="15.75" customHeight="1" x14ac:dyDescent="0.2">
      <c r="A286" s="2"/>
    </row>
    <row r="287" spans="1:1" ht="15.75" customHeight="1" x14ac:dyDescent="0.2">
      <c r="A287" s="2"/>
    </row>
    <row r="288" spans="1:1" ht="15.75" customHeight="1" x14ac:dyDescent="0.2">
      <c r="A288" s="2"/>
    </row>
    <row r="289" spans="1:1" ht="15.75" customHeight="1" x14ac:dyDescent="0.2">
      <c r="A289" s="2"/>
    </row>
    <row r="290" spans="1:1" ht="15.75" customHeight="1" x14ac:dyDescent="0.2">
      <c r="A290" s="2"/>
    </row>
    <row r="291" spans="1:1" ht="15.75" customHeight="1" x14ac:dyDescent="0.2">
      <c r="A291" s="2"/>
    </row>
    <row r="292" spans="1:1" ht="15.75" customHeight="1" x14ac:dyDescent="0.2">
      <c r="A292" s="2"/>
    </row>
    <row r="293" spans="1:1" ht="15.75" customHeight="1" x14ac:dyDescent="0.2">
      <c r="A293" s="2"/>
    </row>
    <row r="294" spans="1:1" ht="15.75" customHeight="1" x14ac:dyDescent="0.2">
      <c r="A294" s="2"/>
    </row>
    <row r="295" spans="1:1" ht="15.75" customHeight="1" x14ac:dyDescent="0.2">
      <c r="A295" s="2"/>
    </row>
    <row r="296" spans="1:1" ht="15.75" customHeight="1" x14ac:dyDescent="0.2">
      <c r="A296" s="2"/>
    </row>
    <row r="297" spans="1:1" ht="15.75" customHeight="1" x14ac:dyDescent="0.2">
      <c r="A297" s="2"/>
    </row>
    <row r="298" spans="1:1" ht="15.75" customHeight="1" x14ac:dyDescent="0.2">
      <c r="A298" s="2"/>
    </row>
    <row r="299" spans="1:1" ht="15.75" customHeight="1" x14ac:dyDescent="0.2">
      <c r="A299" s="2"/>
    </row>
    <row r="300" spans="1:1" ht="15.75" customHeight="1" x14ac:dyDescent="0.2">
      <c r="A300" s="2"/>
    </row>
    <row r="301" spans="1:1" ht="15.75" customHeight="1" x14ac:dyDescent="0.2">
      <c r="A301" s="2"/>
    </row>
    <row r="302" spans="1:1" ht="15.75" customHeight="1" x14ac:dyDescent="0.2">
      <c r="A302" s="2"/>
    </row>
    <row r="303" spans="1:1" ht="15.75" customHeight="1" x14ac:dyDescent="0.2">
      <c r="A303" s="2"/>
    </row>
    <row r="304" spans="1:1" ht="15.75" customHeight="1" x14ac:dyDescent="0.2">
      <c r="A304" s="2"/>
    </row>
    <row r="305" spans="1:1" ht="15.75" customHeight="1" x14ac:dyDescent="0.2">
      <c r="A305" s="2"/>
    </row>
    <row r="306" spans="1:1" ht="15.75" customHeight="1" x14ac:dyDescent="0.2">
      <c r="A306" s="2"/>
    </row>
    <row r="307" spans="1:1" ht="15.75" customHeight="1" x14ac:dyDescent="0.2">
      <c r="A307" s="2"/>
    </row>
    <row r="308" spans="1:1" ht="15.75" customHeight="1" x14ac:dyDescent="0.2">
      <c r="A308" s="2"/>
    </row>
    <row r="309" spans="1:1" ht="15.75" customHeight="1" x14ac:dyDescent="0.2">
      <c r="A309" s="2"/>
    </row>
    <row r="310" spans="1:1" ht="15.75" customHeight="1" x14ac:dyDescent="0.2">
      <c r="A310" s="2"/>
    </row>
    <row r="311" spans="1:1" ht="15.75" customHeight="1" x14ac:dyDescent="0.2">
      <c r="A311" s="2"/>
    </row>
    <row r="312" spans="1:1" ht="15.75" customHeight="1" x14ac:dyDescent="0.2">
      <c r="A312" s="2"/>
    </row>
    <row r="313" spans="1:1" ht="15.75" customHeight="1" x14ac:dyDescent="0.2">
      <c r="A313" s="2"/>
    </row>
    <row r="314" spans="1:1" ht="15.75" customHeight="1" x14ac:dyDescent="0.2">
      <c r="A314" s="2"/>
    </row>
    <row r="315" spans="1:1" ht="15.75" customHeight="1" x14ac:dyDescent="0.2">
      <c r="A315" s="2"/>
    </row>
    <row r="316" spans="1:1" ht="15.75" customHeight="1" x14ac:dyDescent="0.2">
      <c r="A316" s="2"/>
    </row>
    <row r="317" spans="1:1" ht="15.75" customHeight="1" x14ac:dyDescent="0.2">
      <c r="A317" s="2"/>
    </row>
    <row r="318" spans="1:1" ht="15.75" customHeight="1" x14ac:dyDescent="0.2">
      <c r="A318" s="2"/>
    </row>
    <row r="319" spans="1:1" ht="15.75" customHeight="1" x14ac:dyDescent="0.2">
      <c r="A319" s="2"/>
    </row>
    <row r="320" spans="1:1"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5">
    <mergeCell ref="B4:D4"/>
    <mergeCell ref="B30:D30"/>
    <mergeCell ref="B61:D61"/>
    <mergeCell ref="B81:D81"/>
    <mergeCell ref="B102:D102"/>
  </mergeCells>
  <hyperlinks>
    <hyperlink ref="C73" r:id="rId1" xr:uid="{00000000-0004-0000-0700-000000000000}"/>
  </hyperlinks>
  <pageMargins left="0.7" right="0.7" top="0.75" bottom="0.75" header="0" footer="0"/>
  <pageSetup orientation="landscape"/>
  <tableParts count="7">
    <tablePart r:id="rId2"/>
    <tablePart r:id="rId3"/>
    <tablePart r:id="rId4"/>
    <tablePart r:id="rId5"/>
    <tablePart r:id="rId6"/>
    <tablePart r:id="rId7"/>
    <tablePart r:id="rId8"/>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8</vt:i4>
      </vt:variant>
    </vt:vector>
  </HeadingPairs>
  <TitlesOfParts>
    <vt:vector size="8" baseType="lpstr">
      <vt:lpstr>Instrucciones</vt:lpstr>
      <vt:lpstr>Usuario</vt:lpstr>
      <vt:lpstr>Practica de Uso</vt:lpstr>
      <vt:lpstr>Especie</vt:lpstr>
      <vt:lpstr>Espacialidad</vt:lpstr>
      <vt:lpstr>Producto</vt:lpstr>
      <vt:lpstr>Referencias</vt:lpstr>
      <vt:lpstr>Diccionario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Laura Isabel Castellanos Camacho</dc:creator>
  <cp:lastModifiedBy>Diego Randolf Pérez Rincón</cp:lastModifiedBy>
  <dcterms:created xsi:type="dcterms:W3CDTF">2026-01-06T23:54:00Z</dcterms:created>
  <dcterms:modified xsi:type="dcterms:W3CDTF">2026-07-27T15:32:26Z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66C9262BB59C49B4AB9BA086C48491DA_13</vt:lpwstr>
  </property>
  <property fmtid="{D5CDD505-2E9C-101B-9397-08002B2CF9AE}" pid="3" name="KSOProductBuildVer">
    <vt:lpwstr>2058-12.2.0.22549</vt:lpwstr>
  </property>
</Properties>
</file>